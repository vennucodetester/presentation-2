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08" yWindow="-108" windowWidth="23256" windowHeight="13176" firstSheet="1" activeTab="1"/>
  </bookViews>
  <sheets>
    <sheet name="README" sheetId="11" r:id="rId1"/>
    <sheet name="Dashboard" sheetId="12" r:id="rId2"/>
    <sheet name="Summary" sheetId="3" r:id="rId3"/>
    <sheet name="Raw Data" sheetId="2" r:id="rId4"/>
    <sheet name="Settings" sheetId="4" r:id="rId5"/>
    <sheet name="Store List" sheetId="9" r:id="rId6"/>
    <sheet name="Calc_Weekly" sheetId="6" state="hidden" r:id="rId7"/>
    <sheet name="Calc_Charts" sheetId="13" state="hidden" r:id="rId8"/>
    <sheet name="Data Checks" sheetId="8" r:id="rId9"/>
    <sheet name="Counts" sheetId="5" state="hidden" r:id="rId10"/>
    <sheet name="Graphs" sheetId="7" state="hidden" r:id="rId11"/>
    <sheet name="Case Nomenclature Graph" sheetId="10" state="hidden" r:id="rId12"/>
  </sheets>
  <definedNames>
    <definedName name="ch1_cats">OFFSET(Calc_Charts!$A$66,0,0,MAX(1,COUNTIF(Calc_Charts!$B$66:$B$90,"&gt;0")),1)</definedName>
    <definedName name="ch1_vals">OFFSET(Calc_Charts!$B$66,0,0,MAX(1,COUNTIF(Calc_Charts!$B$66:$B$90,"&gt;0")),1)</definedName>
    <definedName name="ch3_cats">OFFSET(Calc_Charts!$A$96,0,0,MAX(1,COUNTIF(Calc_Charts!$B$96:$B$120,"&gt;0")),1)</definedName>
    <definedName name="ch3_vals">OFFSET(Calc_Charts!$B$96,0,0,MAX(1,COUNTIF(Calc_Charts!$B$96:$B$120,"&gt;0")),1)</definedName>
    <definedName name="ch5_after">OFFSET(Calc_Charts!$B$126,0,0,MAX(1,COUNTIF(Calc_Charts!$D$126:$D$150,"&gt;0")),1)</definedName>
    <definedName name="ch5_before">OFFSET(Calc_Charts!$C$126,0,0,MAX(1,COUNTIF(Calc_Charts!$D$126:$D$150,"&gt;0")),1)</definedName>
    <definedName name="ch5_cats">OFFSET(Calc_Charts!$A$126,0,0,MAX(1,COUNTIF(Calc_Charts!$D$126:$D$150,"&gt;0")),1)</definedName>
    <definedName name="ch5_seg01">OFFSET(Calc_Charts!$B$156,0,0,MAX(1,COUNTIF(Calc_Charts!$D$126:$D$150,"&gt;0")),1)</definedName>
    <definedName name="ch5_seg02">OFFSET(Calc_Charts!$C$156,0,0,MAX(1,COUNTIF(Calc_Charts!$D$126:$D$150,"&gt;0")),1)</definedName>
    <definedName name="ch5_seg03">OFFSET(Calc_Charts!$D$156,0,0,MAX(1,COUNTIF(Calc_Charts!$D$126:$D$150,"&gt;0")),1)</definedName>
    <definedName name="ch5_seg04">OFFSET(Calc_Charts!$E$156,0,0,MAX(1,COUNTIF(Calc_Charts!$D$126:$D$150,"&gt;0")),1)</definedName>
    <definedName name="ch5_seg05">OFFSET(Calc_Charts!$F$156,0,0,MAX(1,COUNTIF(Calc_Charts!$D$126:$D$150,"&gt;0")),1)</definedName>
    <definedName name="ch5_seg06">OFFSET(Calc_Charts!$G$156,0,0,MAX(1,COUNTIF(Calc_Charts!$D$126:$D$150,"&gt;0")),1)</definedName>
    <definedName name="ch5_seg07">OFFSET(Calc_Charts!$H$156,0,0,MAX(1,COUNTIF(Calc_Charts!$D$126:$D$150,"&gt;0")),1)</definedName>
    <definedName name="ch5_seg08">OFFSET(Calc_Charts!$I$156,0,0,MAX(1,COUNTIF(Calc_Charts!$D$126:$D$150,"&gt;0")),1)</definedName>
    <definedName name="ch5_seg09">OFFSET(Calc_Charts!$J$156,0,0,MAX(1,COUNTIF(Calc_Charts!$D$126:$D$150,"&gt;0")),1)</definedName>
    <definedName name="ch5_seg10">OFFSET(Calc_Charts!$K$156,0,0,MAX(1,COUNTIF(Calc_Charts!$D$126:$D$150,"&gt;0")),1)</definedName>
    <definedName name="ch5_seg11">OFFSET(Calc_Charts!$L$156,0,0,MAX(1,COUNTIF(Calc_Charts!$D$126:$D$150,"&gt;0")),1)</definedName>
    <definedName name="ch5_seg12">OFFSET(Calc_Charts!$M$156,0,0,MAX(1,COUNTIF(Calc_Charts!$D$126:$D$150,"&gt;0")),1)</definedName>
    <definedName name="ch5_seg13">OFFSET(Calc_Charts!$N$156,0,0,MAX(1,COUNTIF(Calc_Charts!$D$126:$D$150,"&gt;0")),1)</definedName>
    <definedName name="ch5_seg14">OFFSET(Calc_Charts!$O$156,0,0,MAX(1,COUNTIF(Calc_Charts!$D$126:$D$150,"&gt;0")),1)</definedName>
    <definedName name="ch5_seg15">OFFSET(Calc_Charts!$P$156,0,0,MAX(1,COUNTIF(Calc_Charts!$D$126:$D$150,"&gt;0")),1)</definedName>
    <definedName name="ch5_seg16">OFFSET(Calc_Charts!$Q$156,0,0,MAX(1,COUNTIF(Calc_Charts!$D$126:$D$150,"&gt;0")),1)</definedName>
    <definedName name="ch5_seg17">OFFSET(Calc_Charts!$R$156,0,0,MAX(1,COUNTIF(Calc_Charts!$D$126:$D$150,"&gt;0")),1)</definedName>
    <definedName name="ch5_seg18">OFFSET(Calc_Charts!$S$156,0,0,MAX(1,COUNTIF(Calc_Charts!$D$126:$D$150,"&gt;0")),1)</definedName>
    <definedName name="ch5_seg19">OFFSET(Calc_Charts!$T$156,0,0,MAX(1,COUNTIF(Calc_Charts!$D$126:$D$150,"&gt;0")),1)</definedName>
    <definedName name="ch5_seg20">OFFSET(Calc_Charts!$U$156,0,0,MAX(1,COUNTIF(Calc_Charts!$D$126:$D$150,"&gt;0")),1)</definedName>
    <definedName name="ch5_seg21">OFFSET(Calc_Charts!$V$156,0,0,MAX(1,COUNTIF(Calc_Charts!$D$126:$D$150,"&gt;0")),1)</definedName>
    <definedName name="ch5_seg22">OFFSET(Calc_Charts!$W$156,0,0,MAX(1,COUNTIF(Calc_Charts!$D$126:$D$150,"&gt;0")),1)</definedName>
    <definedName name="ch5_seg23">OFFSET(Calc_Charts!$X$156,0,0,MAX(1,COUNTIF(Calc_Charts!$D$126:$D$150,"&gt;0")),1)</definedName>
    <definedName name="ch5_seg24">OFFSET(Calc_Charts!$Y$156,0,0,MAX(1,COUNTIF(Calc_Charts!$D$126:$D$150,"&gt;0")),1)</definedName>
    <definedName name="ch5_seg25">OFFSET(Calc_Charts!$Z$156,0,0,MAX(1,COUNTIF(Calc_Charts!$D$126:$D$150,"&gt;0")),1)</definedName>
    <definedName name="ch5_total">OFFSET(Calc_Charts!$D$126,0,0,MAX(1,COUNTIF(Calc_Charts!$D$126:$D$150,"&gt;0")),1)</definedName>
    <definedName name="ch6_cats">Calc_Charts!$A$244:$A$249</definedName>
    <definedName name="ch6_vals">Calc_Charts!$B$244:$B$249</definedName>
    <definedName name="ch7_after">OFFSET(Calc_Charts!$B$359,0,0,MAX(1,COUNTIF(Calc_Charts!$D$359:$D$383,"&gt;0")),1)</definedName>
    <definedName name="ch7_before">OFFSET(Calc_Charts!$C$359,0,0,MAX(1,COUNTIF(Calc_Charts!$D$359:$D$383,"&gt;0")),1)</definedName>
    <definedName name="ch7_cats">OFFSET(Calc_Charts!$A$359,0,0,MAX(1,COUNTIF(Calc_Charts!$D$359:$D$383,"&gt;0")),1)</definedName>
    <definedName name="ch7_prefix">Calc_Charts!$B$269</definedName>
    <definedName name="ch7_seg01">OFFSET(Calc_Charts!$B$387,0,0,MAX(1,COUNTIF(Calc_Charts!$D$359:$D$383,"&gt;0")),1)</definedName>
    <definedName name="ch7_seg02">OFFSET(Calc_Charts!$C$387,0,0,MAX(1,COUNTIF(Calc_Charts!$D$359:$D$383,"&gt;0")),1)</definedName>
    <definedName name="ch7_seg03">OFFSET(Calc_Charts!$D$387,0,0,MAX(1,COUNTIF(Calc_Charts!$D$359:$D$383,"&gt;0")),1)</definedName>
    <definedName name="ch7_seg04">OFFSET(Calc_Charts!$E$387,0,0,MAX(1,COUNTIF(Calc_Charts!$D$359:$D$383,"&gt;0")),1)</definedName>
    <definedName name="ch7_seg05">OFFSET(Calc_Charts!$F$387,0,0,MAX(1,COUNTIF(Calc_Charts!$D$359:$D$383,"&gt;0")),1)</definedName>
    <definedName name="ch7_seg06">OFFSET(Calc_Charts!$G$387,0,0,MAX(1,COUNTIF(Calc_Charts!$D$359:$D$383,"&gt;0")),1)</definedName>
    <definedName name="ch7_seg07">OFFSET(Calc_Charts!$H$387,0,0,MAX(1,COUNTIF(Calc_Charts!$D$359:$D$383,"&gt;0")),1)</definedName>
    <definedName name="ch7_seg08">OFFSET(Calc_Charts!$I$387,0,0,MAX(1,COUNTIF(Calc_Charts!$D$359:$D$383,"&gt;0")),1)</definedName>
    <definedName name="ch7_seg09">OFFSET(Calc_Charts!$J$387,0,0,MAX(1,COUNTIF(Calc_Charts!$D$359:$D$383,"&gt;0")),1)</definedName>
    <definedName name="ch7_seg10">OFFSET(Calc_Charts!$K$387,0,0,MAX(1,COUNTIF(Calc_Charts!$D$359:$D$383,"&gt;0")),1)</definedName>
    <definedName name="ch7_seg11">OFFSET(Calc_Charts!$L$387,0,0,MAX(1,COUNTIF(Calc_Charts!$D$359:$D$383,"&gt;0")),1)</definedName>
    <definedName name="ch7_seg12">OFFSET(Calc_Charts!$M$387,0,0,MAX(1,COUNTIF(Calc_Charts!$D$359:$D$383,"&gt;0")),1)</definedName>
    <definedName name="ch7_seg13">OFFSET(Calc_Charts!$N$387,0,0,MAX(1,COUNTIF(Calc_Charts!$D$359:$D$383,"&gt;0")),1)</definedName>
    <definedName name="ch7_seg14">OFFSET(Calc_Charts!$O$387,0,0,MAX(1,COUNTIF(Calc_Charts!$D$359:$D$383,"&gt;0")),1)</definedName>
    <definedName name="ch7_seg15">OFFSET(Calc_Charts!$P$387,0,0,MAX(1,COUNTIF(Calc_Charts!$D$359:$D$383,"&gt;0")),1)</definedName>
    <definedName name="ch7_seg16">OFFSET(Calc_Charts!$Q$387,0,0,MAX(1,COUNTIF(Calc_Charts!$D$359:$D$383,"&gt;0")),1)</definedName>
    <definedName name="ch7_seg17">OFFSET(Calc_Charts!$R$387,0,0,MAX(1,COUNTIF(Calc_Charts!$D$359:$D$383,"&gt;0")),1)</definedName>
    <definedName name="ch7_seg18">OFFSET(Calc_Charts!$S$387,0,0,MAX(1,COUNTIF(Calc_Charts!$D$359:$D$383,"&gt;0")),1)</definedName>
    <definedName name="ch7_seg19">OFFSET(Calc_Charts!$T$387,0,0,MAX(1,COUNTIF(Calc_Charts!$D$359:$D$383,"&gt;0")),1)</definedName>
    <definedName name="ch7_seg20">OFFSET(Calc_Charts!$U$387,0,0,MAX(1,COUNTIF(Calc_Charts!$D$359:$D$383,"&gt;0")),1)</definedName>
    <definedName name="ch7_seg21">OFFSET(Calc_Charts!$V$387,0,0,MAX(1,COUNTIF(Calc_Charts!$D$359:$D$383,"&gt;0")),1)</definedName>
    <definedName name="ch7_seg22">OFFSET(Calc_Charts!$W$387,0,0,MAX(1,COUNTIF(Calc_Charts!$D$359:$D$383,"&gt;0")),1)</definedName>
    <definedName name="ch7_seg23">OFFSET(Calc_Charts!$X$387,0,0,MAX(1,COUNTIF(Calc_Charts!$D$359:$D$383,"&gt;0")),1)</definedName>
    <definedName name="ch7_seg24">OFFSET(Calc_Charts!$Y$387,0,0,MAX(1,COUNTIF(Calc_Charts!$D$359:$D$383,"&gt;0")),1)</definedName>
    <definedName name="ch7_seg25">OFFSET(Calc_Charts!$Z$387,0,0,MAX(1,COUNTIF(Calc_Charts!$D$359:$D$383,"&gt;0")),1)</definedName>
    <definedName name="ch7_total">OFFSET(Calc_Charts!$D$359,0,0,MAX(1,COUNTIF(Calc_Charts!$D$359:$D$383,"&gt;0")),1)</definedName>
    <definedName name="ch8_after">OFFSET(Calc_Charts!$B$514,0,0,MAX(1,COUNTIF(Calc_Charts!$D$514:$D$538,"&gt;0")),1)</definedName>
    <definedName name="ch8_before">OFFSET(Calc_Charts!$C$514,0,0,MAX(1,COUNTIF(Calc_Charts!$D$514:$D$538,"&gt;0")),1)</definedName>
    <definedName name="ch8_cats">OFFSET(Calc_Charts!$A$514,0,0,MAX(1,COUNTIF(Calc_Charts!$D$514:$D$538,"&gt;0")),1)</definedName>
    <definedName name="ch8_prefix">Calc_Charts!$B$424</definedName>
    <definedName name="ch8_seg01">OFFSET(Calc_Charts!$B$542,0,0,MAX(1,COUNTIF(Calc_Charts!$D$514:$D$538,"&gt;0")),1)</definedName>
    <definedName name="ch8_seg02">OFFSET(Calc_Charts!$C$542,0,0,MAX(1,COUNTIF(Calc_Charts!$D$514:$D$538,"&gt;0")),1)</definedName>
    <definedName name="ch8_seg03">OFFSET(Calc_Charts!$D$542,0,0,MAX(1,COUNTIF(Calc_Charts!$D$514:$D$538,"&gt;0")),1)</definedName>
    <definedName name="ch8_seg04">OFFSET(Calc_Charts!$E$542,0,0,MAX(1,COUNTIF(Calc_Charts!$D$514:$D$538,"&gt;0")),1)</definedName>
    <definedName name="ch8_seg05">OFFSET(Calc_Charts!$F$542,0,0,MAX(1,COUNTIF(Calc_Charts!$D$514:$D$538,"&gt;0")),1)</definedName>
    <definedName name="ch8_seg06">OFFSET(Calc_Charts!$G$542,0,0,MAX(1,COUNTIF(Calc_Charts!$D$514:$D$538,"&gt;0")),1)</definedName>
    <definedName name="ch8_seg07">OFFSET(Calc_Charts!$H$542,0,0,MAX(1,COUNTIF(Calc_Charts!$D$514:$D$538,"&gt;0")),1)</definedName>
    <definedName name="ch8_seg08">OFFSET(Calc_Charts!$I$542,0,0,MAX(1,COUNTIF(Calc_Charts!$D$514:$D$538,"&gt;0")),1)</definedName>
    <definedName name="ch8_seg09">OFFSET(Calc_Charts!$J$542,0,0,MAX(1,COUNTIF(Calc_Charts!$D$514:$D$538,"&gt;0")),1)</definedName>
    <definedName name="ch8_seg10">OFFSET(Calc_Charts!$K$542,0,0,MAX(1,COUNTIF(Calc_Charts!$D$514:$D$538,"&gt;0")),1)</definedName>
    <definedName name="ch8_seg11">OFFSET(Calc_Charts!$L$542,0,0,MAX(1,COUNTIF(Calc_Charts!$D$514:$D$538,"&gt;0")),1)</definedName>
    <definedName name="ch8_seg12">OFFSET(Calc_Charts!$M$542,0,0,MAX(1,COUNTIF(Calc_Charts!$D$514:$D$538,"&gt;0")),1)</definedName>
    <definedName name="ch8_seg13">OFFSET(Calc_Charts!$N$542,0,0,MAX(1,COUNTIF(Calc_Charts!$D$514:$D$538,"&gt;0")),1)</definedName>
    <definedName name="ch8_seg14">OFFSET(Calc_Charts!$O$542,0,0,MAX(1,COUNTIF(Calc_Charts!$D$514:$D$538,"&gt;0")),1)</definedName>
    <definedName name="ch8_seg15">OFFSET(Calc_Charts!$P$542,0,0,MAX(1,COUNTIF(Calc_Charts!$D$514:$D$538,"&gt;0")),1)</definedName>
    <definedName name="ch8_seg16">OFFSET(Calc_Charts!$Q$542,0,0,MAX(1,COUNTIF(Calc_Charts!$D$514:$D$538,"&gt;0")),1)</definedName>
    <definedName name="ch8_seg17">OFFSET(Calc_Charts!$R$542,0,0,MAX(1,COUNTIF(Calc_Charts!$D$514:$D$538,"&gt;0")),1)</definedName>
    <definedName name="ch8_seg18">OFFSET(Calc_Charts!$S$542,0,0,MAX(1,COUNTIF(Calc_Charts!$D$514:$D$538,"&gt;0")),1)</definedName>
    <definedName name="ch8_seg19">OFFSET(Calc_Charts!$T$542,0,0,MAX(1,COUNTIF(Calc_Charts!$D$514:$D$538,"&gt;0")),1)</definedName>
    <definedName name="ch8_seg20">OFFSET(Calc_Charts!$U$542,0,0,MAX(1,COUNTIF(Calc_Charts!$D$514:$D$538,"&gt;0")),1)</definedName>
    <definedName name="ch8_seg21">OFFSET(Calc_Charts!$V$542,0,0,MAX(1,COUNTIF(Calc_Charts!$D$514:$D$538,"&gt;0")),1)</definedName>
    <definedName name="ch8_seg22">OFFSET(Calc_Charts!$W$542,0,0,MAX(1,COUNTIF(Calc_Charts!$D$514:$D$538,"&gt;0")),1)</definedName>
    <definedName name="ch8_seg23">OFFSET(Calc_Charts!$X$542,0,0,MAX(1,COUNTIF(Calc_Charts!$D$514:$D$538,"&gt;0")),1)</definedName>
    <definedName name="ch8_seg24">OFFSET(Calc_Charts!$Y$542,0,0,MAX(1,COUNTIF(Calc_Charts!$D$514:$D$538,"&gt;0")),1)</definedName>
    <definedName name="ch8_seg25">OFFSET(Calc_Charts!$Z$542,0,0,MAX(1,COUNTIF(Calc_Charts!$D$514:$D$538,"&gt;0")),1)</definedName>
    <definedName name="ch8_total">OFFSET(Calc_Charts!$D$514,0,0,MAX(1,COUNTIF(Calc_Charts!$D$514:$D$538,"&gt;0")),1)</definedName>
    <definedName name="ch9_after">OFFSET(Calc_Charts!$B$669,0,0,MAX(1,COUNTIF(Calc_Charts!$D$669:$D$693,"&gt;0")),1)</definedName>
    <definedName name="ch9_before">OFFSET(Calc_Charts!$C$669,0,0,MAX(1,COUNTIF(Calc_Charts!$D$669:$D$693,"&gt;0")),1)</definedName>
    <definedName name="ch9_cats">OFFSET(Calc_Charts!$A$669,0,0,MAX(1,COUNTIF(Calc_Charts!$D$669:$D$693,"&gt;0")),1)</definedName>
    <definedName name="ch9_prefix">Calc_Charts!$B$579</definedName>
    <definedName name="ch9_seg01">OFFSET(Calc_Charts!$B$697,0,0,MAX(1,COUNTIF(Calc_Charts!$D$669:$D$693,"&gt;0")),1)</definedName>
    <definedName name="ch9_seg02">OFFSET(Calc_Charts!$C$697,0,0,MAX(1,COUNTIF(Calc_Charts!$D$669:$D$693,"&gt;0")),1)</definedName>
    <definedName name="ch9_seg03">OFFSET(Calc_Charts!$D$697,0,0,MAX(1,COUNTIF(Calc_Charts!$D$669:$D$693,"&gt;0")),1)</definedName>
    <definedName name="ch9_seg04">OFFSET(Calc_Charts!$E$697,0,0,MAX(1,COUNTIF(Calc_Charts!$D$669:$D$693,"&gt;0")),1)</definedName>
    <definedName name="ch9_seg05">OFFSET(Calc_Charts!$F$697,0,0,MAX(1,COUNTIF(Calc_Charts!$D$669:$D$693,"&gt;0")),1)</definedName>
    <definedName name="ch9_seg06">OFFSET(Calc_Charts!$G$697,0,0,MAX(1,COUNTIF(Calc_Charts!$D$669:$D$693,"&gt;0")),1)</definedName>
    <definedName name="ch9_seg07">OFFSET(Calc_Charts!$H$697,0,0,MAX(1,COUNTIF(Calc_Charts!$D$669:$D$693,"&gt;0")),1)</definedName>
    <definedName name="ch9_seg08">OFFSET(Calc_Charts!$I$697,0,0,MAX(1,COUNTIF(Calc_Charts!$D$669:$D$693,"&gt;0")),1)</definedName>
    <definedName name="ch9_seg09">OFFSET(Calc_Charts!$J$697,0,0,MAX(1,COUNTIF(Calc_Charts!$D$669:$D$693,"&gt;0")),1)</definedName>
    <definedName name="ch9_seg10">OFFSET(Calc_Charts!$K$697,0,0,MAX(1,COUNTIF(Calc_Charts!$D$669:$D$693,"&gt;0")),1)</definedName>
    <definedName name="ch9_seg11">OFFSET(Calc_Charts!$L$697,0,0,MAX(1,COUNTIF(Calc_Charts!$D$669:$D$693,"&gt;0")),1)</definedName>
    <definedName name="ch9_seg12">OFFSET(Calc_Charts!$M$697,0,0,MAX(1,COUNTIF(Calc_Charts!$D$669:$D$693,"&gt;0")),1)</definedName>
    <definedName name="ch9_seg13">OFFSET(Calc_Charts!$N$697,0,0,MAX(1,COUNTIF(Calc_Charts!$D$669:$D$693,"&gt;0")),1)</definedName>
    <definedName name="ch9_seg14">OFFSET(Calc_Charts!$O$697,0,0,MAX(1,COUNTIF(Calc_Charts!$D$669:$D$693,"&gt;0")),1)</definedName>
    <definedName name="ch9_seg15">OFFSET(Calc_Charts!$P$697,0,0,MAX(1,COUNTIF(Calc_Charts!$D$669:$D$693,"&gt;0")),1)</definedName>
    <definedName name="ch9_seg16">OFFSET(Calc_Charts!$Q$697,0,0,MAX(1,COUNTIF(Calc_Charts!$D$669:$D$693,"&gt;0")),1)</definedName>
    <definedName name="ch9_seg17">OFFSET(Calc_Charts!$R$697,0,0,MAX(1,COUNTIF(Calc_Charts!$D$669:$D$693,"&gt;0")),1)</definedName>
    <definedName name="ch9_seg18">OFFSET(Calc_Charts!$S$697,0,0,MAX(1,COUNTIF(Calc_Charts!$D$669:$D$693,"&gt;0")),1)</definedName>
    <definedName name="ch9_seg19">OFFSET(Calc_Charts!$T$697,0,0,MAX(1,COUNTIF(Calc_Charts!$D$669:$D$693,"&gt;0")),1)</definedName>
    <definedName name="ch9_seg20">OFFSET(Calc_Charts!$U$697,0,0,MAX(1,COUNTIF(Calc_Charts!$D$669:$D$693,"&gt;0")),1)</definedName>
    <definedName name="ch9_seg21">OFFSET(Calc_Charts!$V$697,0,0,MAX(1,COUNTIF(Calc_Charts!$D$669:$D$693,"&gt;0")),1)</definedName>
    <definedName name="ch9_seg22">OFFSET(Calc_Charts!$W$697,0,0,MAX(1,COUNTIF(Calc_Charts!$D$669:$D$693,"&gt;0")),1)</definedName>
    <definedName name="ch9_seg23">OFFSET(Calc_Charts!$X$697,0,0,MAX(1,COUNTIF(Calc_Charts!$D$669:$D$693,"&gt;0")),1)</definedName>
    <definedName name="ch9_seg24">OFFSET(Calc_Charts!$Y$697,0,0,MAX(1,COUNTIF(Calc_Charts!$D$669:$D$693,"&gt;0")),1)</definedName>
    <definedName name="ch9_seg25">OFFSET(Calc_Charts!$Z$697,0,0,MAX(1,COUNTIF(Calc_Charts!$D$669:$D$693,"&gt;0")),1)</definedName>
    <definedName name="ch9_total">OFFSET(Calc_Charts!$D$669,0,0,MAX(1,COUNTIF(Calc_Charts!$D$669:$D$693,"&gt;0")),1)</definedName>
    <definedName name="set_causes">Settings!$A$4:$A$59</definedName>
    <definedName name="set_colors">Settings!$H$4:$I$59</definedName>
    <definedName name="set_from">Dashboard!$B$3</definedName>
    <definedName name="set_groups">Settings!$B$4:$B$59</definedName>
    <definedName name="set_maxCauses">Settings!$B$67</definedName>
    <definedName name="set_maxRawRow">Settings!$B$66</definedName>
    <definedName name="set_maxSummaryRow">Settings!$B$65</definedName>
    <definedName name="set_tiebreakDivisor">Settings!$B$69</definedName>
    <definedName name="set_to">Dashboard!$B$4</definedName>
    <definedName name="set_weeksShown">Settings!$B$68</definedName>
  </definedNames>
  <calcPr calcId="144525"/>
  <extLst>
    <ext xmlns:ns2="http://schemas.microsoft.com/office/spreadsheetml/2010/11/main" uri="{140A7094-0E35-4892-8432-C4D2E57EDEB5}">
      <ns2:workbookPr chartTrackingRefBase="1"/>
    </ext>
    <ext xmlns:ns3="http://schemas.microsoft.com/office/spreadsheetml/2018/calcfeatures" uri="{B58B0392-4F1F-4190-BB64-5DF3571DCE5F}">
      <ns3:calcFeatures>
        <ns3:feature name="microsoft.com:RD"/>
        <ns3:feature name="microsoft.com:Single"/>
        <ns3:feature name="microsoft.com:FV"/>
        <ns3:feature name="microsoft.com:CNMTM"/>
        <ns3:feature name="microsoft.com:LET_WF"/>
        <ns3:feature name="microsoft.com:LAMBDA_WF"/>
        <ns3:feature name="microsoft.com:ARRAYTEXT_WF"/>
      </ns3:calcFeatures>
    </ext>
  </extLst>
</workbook>
</file>

<file path=xl/calcChain.xml><?xml version="1.0" encoding="utf-8"?>
<calcChain xmlns="http://schemas.openxmlformats.org/spreadsheetml/2006/main">
  <c r="B637" i="13" l="1"/>
  <c r="A637" i="13"/>
  <c r="B636" i="13"/>
  <c r="A636" i="13"/>
  <c r="B635" i="13"/>
  <c r="A635" i="13"/>
  <c r="B634" i="13"/>
  <c r="A634" i="13"/>
  <c r="B633" i="13"/>
  <c r="A633" i="13"/>
  <c r="B632" i="13"/>
  <c r="A632" i="13"/>
  <c r="B631" i="13"/>
  <c r="A631" i="13"/>
  <c r="B630" i="13"/>
  <c r="A630" i="13"/>
  <c r="B629" i="13"/>
  <c r="A629" i="13"/>
  <c r="B628" i="13"/>
  <c r="A628" i="13"/>
  <c r="B627" i="13"/>
  <c r="A627" i="13"/>
  <c r="B626" i="13"/>
  <c r="A626" i="13"/>
  <c r="B625" i="13"/>
  <c r="A625" i="13"/>
  <c r="B624" i="13"/>
  <c r="A624" i="13"/>
  <c r="B623" i="13"/>
  <c r="A623" i="13"/>
  <c r="B622" i="13"/>
  <c r="A622" i="13"/>
  <c r="B621" i="13"/>
  <c r="A621" i="13"/>
  <c r="B620" i="13"/>
  <c r="A620" i="13"/>
  <c r="B619" i="13"/>
  <c r="A619" i="13"/>
  <c r="B618" i="13"/>
  <c r="A618" i="13"/>
  <c r="B617" i="13"/>
  <c r="A617" i="13"/>
  <c r="B616" i="13"/>
  <c r="A616" i="13"/>
  <c r="B615" i="13"/>
  <c r="A615" i="13"/>
  <c r="B614" i="13"/>
  <c r="A614" i="13"/>
  <c r="B613" i="13"/>
  <c r="A613" i="13"/>
  <c r="B612" i="13"/>
  <c r="A612" i="13"/>
  <c r="B611" i="13"/>
  <c r="A611" i="13"/>
  <c r="B610" i="13"/>
  <c r="A610" i="13"/>
  <c r="B609" i="13"/>
  <c r="A609" i="13"/>
  <c r="B608" i="13"/>
  <c r="A608" i="13"/>
  <c r="B607" i="13"/>
  <c r="A607" i="13"/>
  <c r="B606" i="13"/>
  <c r="A606" i="13"/>
  <c r="B605" i="13"/>
  <c r="A605" i="13"/>
  <c r="B604" i="13"/>
  <c r="A604" i="13"/>
  <c r="B603" i="13"/>
  <c r="A603" i="13"/>
  <c r="B602" i="13"/>
  <c r="A602" i="13"/>
  <c r="B601" i="13"/>
  <c r="A601" i="13"/>
  <c r="B600" i="13"/>
  <c r="A600" i="13"/>
  <c r="B599" i="13"/>
  <c r="A599" i="13"/>
  <c r="B598" i="13"/>
  <c r="A598" i="13"/>
  <c r="B597" i="13"/>
  <c r="A597" i="13"/>
  <c r="B596" i="13"/>
  <c r="A596" i="13"/>
  <c r="B595" i="13"/>
  <c r="A595" i="13"/>
  <c r="B594" i="13"/>
  <c r="A594" i="13"/>
  <c r="B593" i="13"/>
  <c r="A593" i="13"/>
  <c r="B592" i="13"/>
  <c r="A592" i="13"/>
  <c r="B591" i="13"/>
  <c r="A591" i="13"/>
  <c r="B590" i="13"/>
  <c r="A590" i="13"/>
  <c r="B589" i="13"/>
  <c r="A589" i="13"/>
  <c r="B588" i="13"/>
  <c r="A588" i="13"/>
  <c r="B587" i="13"/>
  <c r="A587" i="13"/>
  <c r="B586" i="13"/>
  <c r="A586" i="13"/>
  <c r="B585" i="13"/>
  <c r="A585" i="13"/>
  <c r="B584" i="13"/>
  <c r="A584" i="13"/>
  <c r="B583" i="13"/>
  <c r="A583" i="13"/>
  <c r="B582" i="13"/>
  <c r="A582" i="13"/>
  <c r="B579" i="13"/>
  <c r="B482" i="13"/>
  <c r="A482" i="13"/>
  <c r="B481" i="13"/>
  <c r="A481" i="13"/>
  <c r="B480" i="13"/>
  <c r="A480" i="13"/>
  <c r="B479" i="13"/>
  <c r="A479" i="13"/>
  <c r="B478" i="13"/>
  <c r="A478" i="13"/>
  <c r="B477" i="13"/>
  <c r="A477" i="13"/>
  <c r="B476" i="13"/>
  <c r="A476" i="13"/>
  <c r="B475" i="13"/>
  <c r="A475" i="13"/>
  <c r="B474" i="13"/>
  <c r="A474" i="13"/>
  <c r="B473" i="13"/>
  <c r="A473" i="13"/>
  <c r="B472" i="13"/>
  <c r="A472" i="13"/>
  <c r="B471" i="13"/>
  <c r="A471" i="13"/>
  <c r="B470" i="13"/>
  <c r="A470" i="13"/>
  <c r="B469" i="13"/>
  <c r="A469" i="13"/>
  <c r="B468" i="13"/>
  <c r="A468" i="13"/>
  <c r="B467" i="13"/>
  <c r="A467" i="13"/>
  <c r="B466" i="13"/>
  <c r="A466" i="13"/>
  <c r="B465" i="13"/>
  <c r="A465" i="13"/>
  <c r="B464" i="13"/>
  <c r="A464" i="13"/>
  <c r="B463" i="13"/>
  <c r="A463" i="13"/>
  <c r="B462" i="13"/>
  <c r="A462" i="13"/>
  <c r="B461" i="13"/>
  <c r="A461" i="13"/>
  <c r="B460" i="13"/>
  <c r="A460" i="13"/>
  <c r="B459" i="13"/>
  <c r="A459" i="13"/>
  <c r="B458" i="13"/>
  <c r="A458" i="13"/>
  <c r="B457" i="13"/>
  <c r="A457" i="13"/>
  <c r="B456" i="13"/>
  <c r="A456" i="13"/>
  <c r="B455" i="13"/>
  <c r="A455" i="13"/>
  <c r="B454" i="13"/>
  <c r="A454" i="13"/>
  <c r="B453" i="13"/>
  <c r="A453" i="13"/>
  <c r="B452" i="13"/>
  <c r="A452" i="13"/>
  <c r="B451" i="13"/>
  <c r="A451" i="13"/>
  <c r="B450" i="13"/>
  <c r="A450" i="13"/>
  <c r="B449" i="13"/>
  <c r="A449" i="13"/>
  <c r="B448" i="13"/>
  <c r="A448" i="13"/>
  <c r="B447" i="13"/>
  <c r="A447" i="13"/>
  <c r="B446" i="13"/>
  <c r="A446" i="13"/>
  <c r="B445" i="13"/>
  <c r="A445" i="13"/>
  <c r="B444" i="13"/>
  <c r="A444" i="13"/>
  <c r="B443" i="13"/>
  <c r="A443" i="13"/>
  <c r="B442" i="13"/>
  <c r="A442" i="13"/>
  <c r="B441" i="13"/>
  <c r="A441" i="13"/>
  <c r="B440" i="13"/>
  <c r="A440" i="13"/>
  <c r="B439" i="13"/>
  <c r="A439" i="13"/>
  <c r="B438" i="13"/>
  <c r="A438" i="13"/>
  <c r="B437" i="13"/>
  <c r="A437" i="13"/>
  <c r="B436" i="13"/>
  <c r="A436" i="13"/>
  <c r="B435" i="13"/>
  <c r="A435" i="13"/>
  <c r="B434" i="13"/>
  <c r="A434" i="13"/>
  <c r="B433" i="13"/>
  <c r="A433" i="13"/>
  <c r="B432" i="13"/>
  <c r="A432" i="13"/>
  <c r="B431" i="13"/>
  <c r="A431" i="13"/>
  <c r="B430" i="13"/>
  <c r="A430" i="13"/>
  <c r="B429" i="13"/>
  <c r="A429" i="13"/>
  <c r="B428" i="13"/>
  <c r="A428" i="13"/>
  <c r="B427" i="13"/>
  <c r="A427" i="13"/>
  <c r="B424" i="13"/>
  <c r="B327" i="13"/>
  <c r="A327" i="13"/>
  <c r="B326" i="13"/>
  <c r="A326" i="13"/>
  <c r="B325" i="13"/>
  <c r="A325" i="13"/>
  <c r="B324" i="13"/>
  <c r="A324" i="13"/>
  <c r="B323" i="13"/>
  <c r="A323" i="13"/>
  <c r="B322" i="13"/>
  <c r="A322" i="13"/>
  <c r="B321" i="13"/>
  <c r="A321" i="13"/>
  <c r="B320" i="13"/>
  <c r="A320" i="13"/>
  <c r="B319" i="13"/>
  <c r="A319" i="13"/>
  <c r="B318" i="13"/>
  <c r="A318" i="13"/>
  <c r="B317" i="13"/>
  <c r="A317" i="13"/>
  <c r="B316" i="13"/>
  <c r="A316" i="13"/>
  <c r="B315" i="13"/>
  <c r="A315" i="13"/>
  <c r="B314" i="13"/>
  <c r="A314" i="13"/>
  <c r="B313" i="13"/>
  <c r="A313" i="13"/>
  <c r="B312" i="13"/>
  <c r="A312" i="13"/>
  <c r="B311" i="13"/>
  <c r="A311" i="13"/>
  <c r="B310" i="13"/>
  <c r="A310" i="13"/>
  <c r="B309" i="13"/>
  <c r="A309" i="13"/>
  <c r="B308" i="13"/>
  <c r="A308" i="13"/>
  <c r="B307" i="13"/>
  <c r="A307" i="13"/>
  <c r="B306" i="13"/>
  <c r="A306" i="13"/>
  <c r="B305" i="13"/>
  <c r="A305" i="13"/>
  <c r="B304" i="13"/>
  <c r="A304" i="13"/>
  <c r="B303" i="13"/>
  <c r="A303" i="13"/>
  <c r="B302" i="13"/>
  <c r="A302" i="13"/>
  <c r="B301" i="13"/>
  <c r="A301" i="13"/>
  <c r="B300" i="13"/>
  <c r="A300" i="13"/>
  <c r="B299" i="13"/>
  <c r="A299" i="13"/>
  <c r="B298" i="13"/>
  <c r="A298" i="13"/>
  <c r="B297" i="13"/>
  <c r="A297" i="13"/>
  <c r="B296" i="13"/>
  <c r="A296" i="13"/>
  <c r="B295" i="13"/>
  <c r="A295" i="13"/>
  <c r="B294" i="13"/>
  <c r="A294" i="13"/>
  <c r="B293" i="13"/>
  <c r="A293" i="13"/>
  <c r="B292" i="13"/>
  <c r="A292" i="13"/>
  <c r="B291" i="13"/>
  <c r="A291" i="13"/>
  <c r="B290" i="13"/>
  <c r="A290" i="13"/>
  <c r="B289" i="13"/>
  <c r="A289" i="13"/>
  <c r="B288" i="13"/>
  <c r="A288" i="13"/>
  <c r="B287" i="13"/>
  <c r="A287" i="13"/>
  <c r="B286" i="13"/>
  <c r="A286" i="13"/>
  <c r="B285" i="13"/>
  <c r="A285" i="13"/>
  <c r="B284" i="13"/>
  <c r="A284" i="13"/>
  <c r="B283" i="13"/>
  <c r="A283" i="13"/>
  <c r="B282" i="13"/>
  <c r="A282" i="13"/>
  <c r="B281" i="13"/>
  <c r="A281" i="13"/>
  <c r="B280" i="13"/>
  <c r="A280" i="13"/>
  <c r="B279" i="13"/>
  <c r="A279" i="13"/>
  <c r="B278" i="13"/>
  <c r="A278" i="13"/>
  <c r="B277" i="13"/>
  <c r="A277" i="13"/>
  <c r="B276" i="13"/>
  <c r="A276" i="13"/>
  <c r="B275" i="13"/>
  <c r="A275" i="13"/>
  <c r="B274" i="13"/>
  <c r="A274" i="13"/>
  <c r="B273" i="13"/>
  <c r="A273" i="13"/>
  <c r="B272" i="13"/>
  <c r="A272" i="13"/>
  <c r="B269" i="13"/>
  <c r="B11" i="8" l="1"/>
  <c r="B5" i="8"/>
  <c r="AB59" i="13"/>
  <c r="AA59" i="13"/>
  <c r="AB58" i="13"/>
  <c r="AA58" i="13"/>
  <c r="AB57" i="13"/>
  <c r="AA57" i="13"/>
  <c r="AB56" i="13"/>
  <c r="AA56" i="13"/>
  <c r="AB55" i="13"/>
  <c r="AA55" i="13"/>
  <c r="AB54" i="13"/>
  <c r="AA54" i="13"/>
  <c r="AB53" i="13"/>
  <c r="AA53" i="13"/>
  <c r="AB52" i="13"/>
  <c r="AA52" i="13"/>
  <c r="AB51" i="13"/>
  <c r="AA51" i="13"/>
  <c r="AB50" i="13"/>
  <c r="AA50" i="13"/>
  <c r="AB49" i="13"/>
  <c r="AA49" i="13"/>
  <c r="AB48" i="13"/>
  <c r="AA48" i="13"/>
  <c r="AB47" i="13"/>
  <c r="AA47" i="13"/>
  <c r="AB46" i="13"/>
  <c r="AA46" i="13"/>
  <c r="AB45" i="13"/>
  <c r="AA45" i="13"/>
  <c r="AB44" i="13"/>
  <c r="AA44" i="13"/>
  <c r="AB43" i="13"/>
  <c r="AA43" i="13"/>
  <c r="AB42" i="13"/>
  <c r="AA42" i="13"/>
  <c r="AB41" i="13"/>
  <c r="AA41" i="13"/>
  <c r="AB40" i="13"/>
  <c r="AA40" i="13"/>
  <c r="AB39" i="13"/>
  <c r="AA39" i="13"/>
  <c r="AB38" i="13"/>
  <c r="AA38" i="13"/>
  <c r="AB37" i="13"/>
  <c r="AA37" i="13"/>
  <c r="AB36" i="13"/>
  <c r="AA36" i="13"/>
  <c r="AB35" i="13"/>
  <c r="AA35" i="13"/>
  <c r="AB34" i="13"/>
  <c r="AA34" i="13"/>
  <c r="AB33" i="13"/>
  <c r="AA33" i="13"/>
  <c r="AB32" i="13"/>
  <c r="AA32" i="13"/>
  <c r="AB31" i="13"/>
  <c r="AA31" i="13"/>
  <c r="AB30" i="13"/>
  <c r="AA30" i="13"/>
  <c r="AB29" i="13"/>
  <c r="AA29" i="13"/>
  <c r="AB28" i="13"/>
  <c r="AA28" i="13"/>
  <c r="AB27" i="13"/>
  <c r="AA27" i="13"/>
  <c r="AB26" i="13"/>
  <c r="AA26" i="13"/>
  <c r="AB25" i="13"/>
  <c r="AA25" i="13"/>
  <c r="AB24" i="13"/>
  <c r="AA24" i="13"/>
  <c r="AB23" i="13"/>
  <c r="AA23" i="13"/>
  <c r="AB22" i="13"/>
  <c r="AA22" i="13"/>
  <c r="AB21" i="13"/>
  <c r="AA21" i="13"/>
  <c r="AB20" i="13"/>
  <c r="AA20" i="13"/>
  <c r="AB19" i="13"/>
  <c r="AA19" i="13"/>
  <c r="AB18" i="13"/>
  <c r="AA18" i="13"/>
  <c r="AB17" i="13"/>
  <c r="AA17" i="13"/>
  <c r="AB16" i="13"/>
  <c r="AA16" i="13"/>
  <c r="AB15" i="13"/>
  <c r="AA15" i="13"/>
  <c r="AB14" i="13"/>
  <c r="AA14" i="13"/>
  <c r="AB13" i="13"/>
  <c r="AA13" i="13"/>
  <c r="AB12" i="13"/>
  <c r="AA12" i="13"/>
  <c r="AB11" i="13"/>
  <c r="AA11" i="13"/>
  <c r="AB10" i="13"/>
  <c r="AA10" i="13"/>
  <c r="AB9" i="13"/>
  <c r="AA9" i="13"/>
  <c r="AB8" i="13"/>
  <c r="AA8" i="13"/>
  <c r="AB7" i="13"/>
  <c r="AA7" i="13"/>
  <c r="AB6" i="13"/>
  <c r="AA6" i="13"/>
  <c r="AB5" i="13"/>
  <c r="AA5" i="13"/>
  <c r="AB4" i="13"/>
  <c r="AE4" i="13" s="1"/>
  <c r="AA4" i="13"/>
  <c r="AE10" i="13" l="1"/>
  <c r="AE11" i="13"/>
  <c r="AE18" i="13"/>
  <c r="AE7" i="13"/>
  <c r="AE13" i="13"/>
  <c r="AE37" i="13"/>
  <c r="AE49" i="13"/>
  <c r="AE22" i="13"/>
  <c r="AE14" i="13"/>
  <c r="AE20" i="13"/>
  <c r="AE44" i="13"/>
  <c r="AE48" i="13"/>
  <c r="AE32" i="13"/>
  <c r="AE12" i="13"/>
  <c r="AE15" i="13"/>
  <c r="AE45" i="13"/>
  <c r="AE34" i="13"/>
  <c r="AE38" i="13"/>
  <c r="AE42" i="13"/>
  <c r="AE5" i="13"/>
  <c r="AE16" i="13"/>
  <c r="AE31" i="13"/>
  <c r="AE24" i="13"/>
  <c r="AE50" i="13"/>
  <c r="AE46" i="13"/>
  <c r="AE55" i="13"/>
  <c r="AE59" i="13"/>
  <c r="AE51" i="13"/>
  <c r="AE25" i="13"/>
  <c r="AE29" i="13"/>
  <c r="AE40" i="13"/>
  <c r="AE52" i="13"/>
  <c r="AE56" i="13"/>
  <c r="AE41" i="13"/>
  <c r="AE53" i="13"/>
  <c r="AE57" i="13"/>
  <c r="AE8" i="13"/>
  <c r="AE54" i="13"/>
  <c r="AE58" i="13"/>
  <c r="AE9" i="13"/>
  <c r="AE27" i="13"/>
  <c r="AE35" i="13"/>
  <c r="AE6" i="13"/>
  <c r="AE17" i="13"/>
  <c r="AE28" i="13"/>
  <c r="AE43" i="13"/>
  <c r="AE33" i="13"/>
  <c r="AE26" i="13"/>
  <c r="AE30" i="13"/>
  <c r="AE19" i="13"/>
  <c r="AE23" i="13"/>
  <c r="AE21" i="13"/>
  <c r="AE36" i="13"/>
  <c r="AE39" i="13"/>
  <c r="AE47" i="13"/>
  <c r="B262" i="13"/>
  <c r="A54" i="13" l="1"/>
  <c r="B54" i="13" s="1"/>
  <c r="A43" i="13"/>
  <c r="B43" i="13" s="1"/>
  <c r="A40" i="13"/>
  <c r="B40" i="13" s="1"/>
  <c r="A44" i="13"/>
  <c r="B44" i="13" s="1"/>
  <c r="A45" i="13"/>
  <c r="B45" i="13" s="1"/>
  <c r="A49" i="13"/>
  <c r="B49" i="13" s="1"/>
  <c r="A41" i="13"/>
  <c r="B41" i="13" s="1"/>
  <c r="A42" i="13"/>
  <c r="B42" i="13" s="1"/>
  <c r="A39" i="13"/>
  <c r="B39" i="13" s="1"/>
  <c r="A48" i="13"/>
  <c r="B48" i="13" s="1"/>
  <c r="A57" i="13"/>
  <c r="B57" i="13" s="1"/>
  <c r="A46" i="13"/>
  <c r="B46" i="13" s="1"/>
  <c r="A37" i="13"/>
  <c r="B37" i="13" s="1"/>
  <c r="A58" i="13"/>
  <c r="B58" i="13" s="1"/>
  <c r="A59" i="13"/>
  <c r="B59" i="13" s="1"/>
  <c r="A50" i="13"/>
  <c r="B50" i="13" s="1"/>
  <c r="A36" i="13"/>
  <c r="B36" i="13" s="1"/>
  <c r="A56" i="13"/>
  <c r="B56" i="13" s="1"/>
  <c r="A60" i="13"/>
  <c r="B60" i="13" s="1"/>
  <c r="A52" i="13"/>
  <c r="B52" i="13" s="1"/>
  <c r="A55" i="13"/>
  <c r="B55" i="13" s="1"/>
  <c r="A47" i="13"/>
  <c r="B47" i="13" s="1"/>
  <c r="A51" i="13"/>
  <c r="B51" i="13" s="1"/>
  <c r="A38" i="13"/>
  <c r="B38" i="13" s="1"/>
  <c r="A53" i="13"/>
  <c r="B53" i="13" s="1"/>
  <c r="B5" i="12"/>
  <c r="B569" i="13"/>
  <c r="B724" i="13"/>
  <c r="B414" i="13"/>
  <c r="B256" i="13"/>
  <c r="B258" i="13"/>
  <c r="B260" i="13"/>
  <c r="B261" i="13"/>
  <c r="AA80" i="7"/>
  <c r="AA79" i="7"/>
  <c r="AA78" i="7"/>
  <c r="AA77" i="7"/>
  <c r="AA76" i="7"/>
  <c r="AA75" i="7"/>
  <c r="AA74" i="7"/>
  <c r="AA73" i="7"/>
  <c r="AC72" i="7"/>
  <c r="AA72" i="7"/>
  <c r="AC71" i="7"/>
  <c r="AA71" i="7"/>
  <c r="AC70" i="7"/>
  <c r="AA70" i="7"/>
  <c r="AA69" i="7"/>
  <c r="AA68" i="7"/>
  <c r="AA67" i="7"/>
  <c r="AA66" i="7"/>
  <c r="AA65" i="7"/>
  <c r="AA64" i="7"/>
  <c r="AA63" i="7"/>
  <c r="AC62" i="7"/>
  <c r="AA62" i="7"/>
  <c r="AC61" i="7"/>
  <c r="AA61" i="7"/>
  <c r="AC60" i="7"/>
  <c r="AA60" i="7"/>
  <c r="AC59" i="7"/>
  <c r="AA59" i="7"/>
  <c r="AC58" i="7"/>
  <c r="AA58" i="7"/>
  <c r="AC57" i="7"/>
  <c r="AA57" i="7"/>
  <c r="AC56" i="7"/>
  <c r="AA56" i="7"/>
  <c r="AC55" i="7"/>
  <c r="AA55" i="7"/>
  <c r="AC54" i="7"/>
  <c r="AA54" i="7"/>
  <c r="AC53" i="7"/>
  <c r="AA53" i="7"/>
  <c r="AC52" i="7"/>
  <c r="AA52" i="7"/>
  <c r="AC51" i="7"/>
  <c r="AA51" i="7"/>
  <c r="AC50" i="7"/>
  <c r="AA50" i="7"/>
  <c r="AC49" i="7"/>
  <c r="AA49" i="7"/>
  <c r="AC48" i="7"/>
  <c r="AA48" i="7"/>
  <c r="AC47" i="7"/>
  <c r="AA47" i="7"/>
  <c r="P47" i="7"/>
  <c r="K47" i="7"/>
  <c r="AC46" i="7"/>
  <c r="AA46" i="7"/>
  <c r="P46" i="7"/>
  <c r="K46" i="7"/>
  <c r="AC45" i="7"/>
  <c r="AA45" i="7"/>
  <c r="P45" i="7"/>
  <c r="K45" i="7"/>
  <c r="AC44" i="7"/>
  <c r="AA44" i="7"/>
  <c r="P44" i="7"/>
  <c r="K44" i="7"/>
  <c r="AC43" i="7"/>
  <c r="AA43" i="7"/>
  <c r="P43" i="7"/>
  <c r="K43" i="7"/>
  <c r="AC42" i="7"/>
  <c r="AA42" i="7"/>
  <c r="P42" i="7"/>
  <c r="K42" i="7"/>
  <c r="AC41" i="7"/>
  <c r="AA41" i="7"/>
  <c r="P41" i="7"/>
  <c r="K41" i="7"/>
  <c r="AC40" i="7"/>
  <c r="AA40" i="7"/>
  <c r="P40" i="7"/>
  <c r="K40" i="7"/>
  <c r="AC39" i="7"/>
  <c r="AA39" i="7"/>
  <c r="P39" i="7"/>
  <c r="K39" i="7"/>
  <c r="AC38" i="7"/>
  <c r="AA38" i="7"/>
  <c r="P38" i="7"/>
  <c r="K38" i="7"/>
  <c r="AC37" i="7"/>
  <c r="AA37" i="7"/>
  <c r="P37" i="7"/>
  <c r="K37" i="7"/>
  <c r="AC36" i="7"/>
  <c r="AA36" i="7"/>
  <c r="P36" i="7"/>
  <c r="K36" i="7"/>
  <c r="AC35" i="7"/>
  <c r="AA35" i="7"/>
  <c r="P35" i="7"/>
  <c r="K35" i="7"/>
  <c r="AC34" i="7"/>
  <c r="AA34" i="7"/>
  <c r="P34" i="7"/>
  <c r="K34" i="7"/>
  <c r="AC33" i="7"/>
  <c r="AA33" i="7"/>
  <c r="P33" i="7"/>
  <c r="K33" i="7"/>
  <c r="AC32" i="7"/>
  <c r="AA32" i="7"/>
  <c r="P32" i="7"/>
  <c r="K32" i="7"/>
  <c r="A30" i="13" s="1"/>
  <c r="AC31" i="7"/>
  <c r="AA31" i="7"/>
  <c r="P31" i="7"/>
  <c r="K31" i="7"/>
  <c r="A29" i="13" s="1"/>
  <c r="AC30" i="7"/>
  <c r="AA30" i="7"/>
  <c r="P30" i="7"/>
  <c r="K30" i="7"/>
  <c r="A28" i="13" s="1"/>
  <c r="AA29" i="7"/>
  <c r="P29" i="7"/>
  <c r="K29" i="7"/>
  <c r="A27" i="13" s="1"/>
  <c r="AA28" i="7"/>
  <c r="P28" i="7"/>
  <c r="K28" i="7"/>
  <c r="A26" i="13" s="1"/>
  <c r="AA27" i="7"/>
  <c r="P27" i="7"/>
  <c r="K27" i="7"/>
  <c r="A25" i="13" s="1"/>
  <c r="AA26" i="7"/>
  <c r="P26" i="7"/>
  <c r="K26" i="7"/>
  <c r="A24" i="13" s="1"/>
  <c r="AA25" i="7"/>
  <c r="P25" i="7"/>
  <c r="K25" i="7"/>
  <c r="A23" i="13" s="1"/>
  <c r="AA24" i="7"/>
  <c r="P24" i="7"/>
  <c r="K24" i="7"/>
  <c r="A22" i="13" s="1"/>
  <c r="AA23" i="7"/>
  <c r="P23" i="7"/>
  <c r="K23" i="7"/>
  <c r="A21" i="13" s="1"/>
  <c r="AA22" i="7"/>
  <c r="P22" i="7"/>
  <c r="K22" i="7"/>
  <c r="A20" i="13" s="1"/>
  <c r="AA21" i="7"/>
  <c r="P21" i="7"/>
  <c r="K21" i="7"/>
  <c r="A19" i="13" s="1"/>
  <c r="AA20" i="7"/>
  <c r="P20" i="7"/>
  <c r="K20" i="7"/>
  <c r="A18" i="13" s="1"/>
  <c r="AA19" i="7"/>
  <c r="P19" i="7"/>
  <c r="K19" i="7"/>
  <c r="A17" i="13" s="1"/>
  <c r="AA18" i="7"/>
  <c r="P18" i="7"/>
  <c r="K18" i="7"/>
  <c r="A16" i="13" s="1"/>
  <c r="AA17" i="7"/>
  <c r="P17" i="7"/>
  <c r="K17" i="7"/>
  <c r="A15" i="13" s="1"/>
  <c r="AA16" i="7"/>
  <c r="P16" i="7"/>
  <c r="K16" i="7"/>
  <c r="A14" i="13" s="1"/>
  <c r="AA15" i="7"/>
  <c r="P15" i="7"/>
  <c r="K15" i="7"/>
  <c r="A13" i="13" s="1"/>
  <c r="AA14" i="7"/>
  <c r="P14" i="7"/>
  <c r="K14" i="7"/>
  <c r="A12" i="13" s="1"/>
  <c r="AA13" i="7"/>
  <c r="P13" i="7"/>
  <c r="K13" i="7"/>
  <c r="A11" i="13" s="1"/>
  <c r="AA12" i="7"/>
  <c r="P12" i="7"/>
  <c r="K12" i="7"/>
  <c r="A10" i="13" s="1"/>
  <c r="AA11" i="7"/>
  <c r="P11" i="7"/>
  <c r="K11" i="7"/>
  <c r="A9" i="13" s="1"/>
  <c r="AA10" i="7"/>
  <c r="P10" i="7"/>
  <c r="K10" i="7"/>
  <c r="A8" i="13" s="1"/>
  <c r="AA9" i="7"/>
  <c r="P9" i="7"/>
  <c r="K9" i="7"/>
  <c r="A7" i="13" s="1"/>
  <c r="AA8" i="7"/>
  <c r="P8" i="7"/>
  <c r="K8" i="7"/>
  <c r="A6" i="13" s="1"/>
  <c r="AA7" i="7"/>
  <c r="AA6" i="7"/>
  <c r="AA5" i="7"/>
  <c r="AA4" i="7"/>
  <c r="B4" i="7"/>
  <c r="B3" i="7"/>
  <c r="K59" i="5"/>
  <c r="J59" i="5"/>
  <c r="I59" i="5"/>
  <c r="F59" i="5"/>
  <c r="B59" i="5"/>
  <c r="A59" i="5"/>
  <c r="K58" i="5"/>
  <c r="J58" i="5"/>
  <c r="I58" i="5"/>
  <c r="F58" i="5"/>
  <c r="B58" i="5"/>
  <c r="A58" i="5"/>
  <c r="C58" i="5" s="1"/>
  <c r="K57" i="5"/>
  <c r="J57" i="5"/>
  <c r="I57" i="5"/>
  <c r="F57" i="5"/>
  <c r="B57" i="5"/>
  <c r="A57" i="5"/>
  <c r="E57" i="5" s="1"/>
  <c r="K56" i="5"/>
  <c r="J56" i="5"/>
  <c r="I56" i="5"/>
  <c r="F56" i="5"/>
  <c r="B56" i="5"/>
  <c r="A56" i="5"/>
  <c r="E56" i="5" s="1"/>
  <c r="K55" i="5"/>
  <c r="J55" i="5"/>
  <c r="I55" i="5"/>
  <c r="F55" i="5"/>
  <c r="B55" i="5"/>
  <c r="A55" i="5"/>
  <c r="E55" i="5" s="1"/>
  <c r="K54" i="5"/>
  <c r="J54" i="5"/>
  <c r="I54" i="5"/>
  <c r="F54" i="5"/>
  <c r="B54" i="5"/>
  <c r="A54" i="5"/>
  <c r="K53" i="5"/>
  <c r="J53" i="5"/>
  <c r="I53" i="5"/>
  <c r="F53" i="5"/>
  <c r="B53" i="5"/>
  <c r="A53" i="5"/>
  <c r="C53" i="5" s="1"/>
  <c r="K52" i="5"/>
  <c r="J52" i="5"/>
  <c r="I52" i="5"/>
  <c r="F52" i="5"/>
  <c r="B52" i="5"/>
  <c r="A52" i="5"/>
  <c r="E52" i="5" s="1"/>
  <c r="K51" i="5"/>
  <c r="J51" i="5"/>
  <c r="I51" i="5"/>
  <c r="F51" i="5"/>
  <c r="B51" i="5"/>
  <c r="A51" i="5"/>
  <c r="C51" i="5" s="1"/>
  <c r="K50" i="5"/>
  <c r="J50" i="5"/>
  <c r="I50" i="5"/>
  <c r="F50" i="5"/>
  <c r="B50" i="5"/>
  <c r="A50" i="5"/>
  <c r="K49" i="5"/>
  <c r="J49" i="5"/>
  <c r="I49" i="5"/>
  <c r="F49" i="5"/>
  <c r="B49" i="5"/>
  <c r="A49" i="5"/>
  <c r="C49" i="5" s="1"/>
  <c r="K48" i="5"/>
  <c r="J48" i="5"/>
  <c r="I48" i="5"/>
  <c r="F48" i="5"/>
  <c r="B48" i="5"/>
  <c r="A48" i="5"/>
  <c r="E48" i="5" s="1"/>
  <c r="K47" i="5"/>
  <c r="J47" i="5"/>
  <c r="I47" i="5"/>
  <c r="F47" i="5"/>
  <c r="B47" i="5"/>
  <c r="A47" i="5"/>
  <c r="K46" i="5"/>
  <c r="J46" i="5"/>
  <c r="I46" i="5"/>
  <c r="F46" i="5"/>
  <c r="B46" i="5"/>
  <c r="A46" i="5"/>
  <c r="K45" i="5"/>
  <c r="J45" i="5"/>
  <c r="I45" i="5"/>
  <c r="F45" i="5"/>
  <c r="B45" i="5"/>
  <c r="A45" i="5"/>
  <c r="E45" i="5" s="1"/>
  <c r="K44" i="5"/>
  <c r="J44" i="5"/>
  <c r="I44" i="5"/>
  <c r="F44" i="5"/>
  <c r="B44" i="5"/>
  <c r="A44" i="5"/>
  <c r="K43" i="5"/>
  <c r="J43" i="5"/>
  <c r="I43" i="5"/>
  <c r="F43" i="5"/>
  <c r="B43" i="5"/>
  <c r="A43" i="5"/>
  <c r="E43" i="5" s="1"/>
  <c r="K42" i="5"/>
  <c r="J42" i="5"/>
  <c r="I42" i="5"/>
  <c r="F42" i="5"/>
  <c r="B42" i="5"/>
  <c r="A42" i="5"/>
  <c r="E42" i="5" s="1"/>
  <c r="K41" i="5"/>
  <c r="J41" i="5"/>
  <c r="I41" i="5"/>
  <c r="F41" i="5"/>
  <c r="B41" i="5"/>
  <c r="A41" i="5"/>
  <c r="C41" i="5" s="1"/>
  <c r="K40" i="5"/>
  <c r="J40" i="5"/>
  <c r="I40" i="5"/>
  <c r="F40" i="5"/>
  <c r="B40" i="5"/>
  <c r="A40" i="5"/>
  <c r="D40" i="5" s="1"/>
  <c r="K39" i="5"/>
  <c r="J39" i="5"/>
  <c r="I39" i="5"/>
  <c r="F39" i="5"/>
  <c r="B39" i="5"/>
  <c r="A39" i="5"/>
  <c r="K38" i="5"/>
  <c r="J38" i="5"/>
  <c r="I38" i="5"/>
  <c r="F38" i="5"/>
  <c r="B38" i="5"/>
  <c r="A38" i="5"/>
  <c r="E38" i="5" s="1"/>
  <c r="K37" i="5"/>
  <c r="J37" i="5"/>
  <c r="I37" i="5"/>
  <c r="F37" i="5"/>
  <c r="B37" i="5"/>
  <c r="A37" i="5"/>
  <c r="D37" i="5" s="1"/>
  <c r="K36" i="5"/>
  <c r="J36" i="5"/>
  <c r="I36" i="5"/>
  <c r="F36" i="5"/>
  <c r="B36" i="5"/>
  <c r="A36" i="5"/>
  <c r="K35" i="5"/>
  <c r="J35" i="5"/>
  <c r="I35" i="5"/>
  <c r="F35" i="5"/>
  <c r="B35" i="5"/>
  <c r="A35" i="5"/>
  <c r="D35" i="5" s="1"/>
  <c r="K34" i="5"/>
  <c r="J34" i="5"/>
  <c r="I34" i="5"/>
  <c r="F34" i="5"/>
  <c r="B34" i="5"/>
  <c r="A34" i="5"/>
  <c r="K33" i="5"/>
  <c r="J33" i="5"/>
  <c r="I33" i="5"/>
  <c r="F33" i="5"/>
  <c r="B33" i="5"/>
  <c r="A33" i="5"/>
  <c r="C33" i="5" s="1"/>
  <c r="K32" i="5"/>
  <c r="J32" i="5"/>
  <c r="I32" i="5"/>
  <c r="F32" i="5"/>
  <c r="B32" i="5"/>
  <c r="A32" i="5"/>
  <c r="D32" i="5" s="1"/>
  <c r="K31" i="5"/>
  <c r="J31" i="5"/>
  <c r="I31" i="5"/>
  <c r="F31" i="5"/>
  <c r="B31" i="5"/>
  <c r="A31" i="5"/>
  <c r="K30" i="5"/>
  <c r="J30" i="5"/>
  <c r="I30" i="5"/>
  <c r="F30" i="5"/>
  <c r="B30" i="5"/>
  <c r="A30" i="5"/>
  <c r="K29" i="5"/>
  <c r="J29" i="5"/>
  <c r="I29" i="5"/>
  <c r="F29" i="5"/>
  <c r="B29" i="5"/>
  <c r="A29" i="5"/>
  <c r="F28" i="5"/>
  <c r="D28" i="5"/>
  <c r="C28" i="5"/>
  <c r="F27" i="5"/>
  <c r="B27" i="5"/>
  <c r="A27" i="5"/>
  <c r="F26" i="5"/>
  <c r="B26" i="5"/>
  <c r="A26" i="5"/>
  <c r="C26" i="5" s="1"/>
  <c r="F25" i="5"/>
  <c r="B25" i="5"/>
  <c r="A25" i="5"/>
  <c r="D25" i="5" s="1"/>
  <c r="F24" i="5"/>
  <c r="B24" i="5"/>
  <c r="A24" i="5"/>
  <c r="C24" i="5" s="1"/>
  <c r="F23" i="5"/>
  <c r="B23" i="5"/>
  <c r="A23" i="5"/>
  <c r="F22" i="5"/>
  <c r="B22" i="5"/>
  <c r="A22" i="5"/>
  <c r="D22" i="5" s="1"/>
  <c r="F21" i="5"/>
  <c r="B21" i="5"/>
  <c r="A21" i="5"/>
  <c r="F20" i="5"/>
  <c r="B20" i="5"/>
  <c r="A20" i="5"/>
  <c r="F19" i="5"/>
  <c r="D19" i="5"/>
  <c r="C19" i="5"/>
  <c r="F18" i="5"/>
  <c r="B18" i="5"/>
  <c r="A18" i="5"/>
  <c r="C18" i="5" s="1"/>
  <c r="F17" i="5"/>
  <c r="B17" i="5"/>
  <c r="A17" i="5"/>
  <c r="D17" i="5" s="1"/>
  <c r="F16" i="5"/>
  <c r="B16" i="5"/>
  <c r="A16" i="5"/>
  <c r="F15" i="5"/>
  <c r="B15" i="5"/>
  <c r="A15" i="5"/>
  <c r="C15" i="5" s="1"/>
  <c r="F14" i="5"/>
  <c r="B14" i="5"/>
  <c r="A14" i="5"/>
  <c r="C14" i="5" s="1"/>
  <c r="F13" i="5"/>
  <c r="B13" i="5"/>
  <c r="A13" i="5"/>
  <c r="C13" i="5" s="1"/>
  <c r="F12" i="5"/>
  <c r="B12" i="5"/>
  <c r="A12" i="5"/>
  <c r="F11" i="5"/>
  <c r="B11" i="5"/>
  <c r="A11" i="5"/>
  <c r="D11" i="5" s="1"/>
  <c r="F10" i="5"/>
  <c r="B10" i="5"/>
  <c r="A10" i="5"/>
  <c r="F9" i="5"/>
  <c r="B9" i="5"/>
  <c r="A9" i="5"/>
  <c r="D9" i="5" s="1"/>
  <c r="F8" i="5"/>
  <c r="B8" i="5"/>
  <c r="A8" i="5"/>
  <c r="F7" i="5"/>
  <c r="B7" i="5"/>
  <c r="A7" i="5"/>
  <c r="F6" i="5"/>
  <c r="B6" i="5"/>
  <c r="A6" i="5"/>
  <c r="F5" i="5"/>
  <c r="B5" i="5"/>
  <c r="A5" i="5"/>
  <c r="D5" i="5" s="1"/>
  <c r="F4" i="5"/>
  <c r="B4" i="5"/>
  <c r="A4" i="5"/>
  <c r="D4" i="5" s="1"/>
  <c r="C11" i="8"/>
  <c r="B7" i="8"/>
  <c r="C7" i="8" s="1"/>
  <c r="B6" i="8"/>
  <c r="C6" i="8" s="1"/>
  <c r="C5" i="8"/>
  <c r="B4" i="8"/>
  <c r="C4" i="8" s="1"/>
  <c r="A249" i="13"/>
  <c r="A248" i="13"/>
  <c r="A247" i="13"/>
  <c r="A246" i="13"/>
  <c r="A245" i="13"/>
  <c r="A244" i="13"/>
  <c r="Y180" i="13"/>
  <c r="X180" i="13"/>
  <c r="W180" i="13"/>
  <c r="V180" i="13"/>
  <c r="U180" i="13"/>
  <c r="T180" i="13"/>
  <c r="S180" i="13"/>
  <c r="R180" i="13"/>
  <c r="Q180" i="13"/>
  <c r="P180" i="13"/>
  <c r="O180" i="13"/>
  <c r="N180" i="13"/>
  <c r="M180" i="13"/>
  <c r="L180" i="13"/>
  <c r="K180" i="13"/>
  <c r="J180" i="13"/>
  <c r="I180" i="13"/>
  <c r="H180" i="13"/>
  <c r="G180" i="13"/>
  <c r="F180" i="13"/>
  <c r="E180" i="13"/>
  <c r="D180" i="13"/>
  <c r="C180" i="13"/>
  <c r="B180" i="13"/>
  <c r="Z179" i="13"/>
  <c r="X179" i="13"/>
  <c r="W179" i="13"/>
  <c r="V179" i="13"/>
  <c r="U179" i="13"/>
  <c r="T179" i="13"/>
  <c r="S179" i="13"/>
  <c r="R179" i="13"/>
  <c r="Q179" i="13"/>
  <c r="P179" i="13"/>
  <c r="O179" i="13"/>
  <c r="N179" i="13"/>
  <c r="M179" i="13"/>
  <c r="L179" i="13"/>
  <c r="K179" i="13"/>
  <c r="J179" i="13"/>
  <c r="I179" i="13"/>
  <c r="H179" i="13"/>
  <c r="G179" i="13"/>
  <c r="F179" i="13"/>
  <c r="E179" i="13"/>
  <c r="D179" i="13"/>
  <c r="C179" i="13"/>
  <c r="B179" i="13"/>
  <c r="Z178" i="13"/>
  <c r="Y178" i="13"/>
  <c r="W178" i="13"/>
  <c r="V178" i="13"/>
  <c r="U178" i="13"/>
  <c r="T178" i="13"/>
  <c r="S178" i="13"/>
  <c r="R178" i="13"/>
  <c r="Q178" i="13"/>
  <c r="P178" i="13"/>
  <c r="O178" i="13"/>
  <c r="N178" i="13"/>
  <c r="M178" i="13"/>
  <c r="L178" i="13"/>
  <c r="K178" i="13"/>
  <c r="J178" i="13"/>
  <c r="I178" i="13"/>
  <c r="H178" i="13"/>
  <c r="G178" i="13"/>
  <c r="F178" i="13"/>
  <c r="E178" i="13"/>
  <c r="D178" i="13"/>
  <c r="C178" i="13"/>
  <c r="B178" i="13"/>
  <c r="Z177" i="13"/>
  <c r="Y177" i="13"/>
  <c r="X177" i="13"/>
  <c r="V177" i="13"/>
  <c r="U177" i="13"/>
  <c r="T177" i="13"/>
  <c r="S177" i="13"/>
  <c r="R177" i="13"/>
  <c r="Q177" i="13"/>
  <c r="P177" i="13"/>
  <c r="O177" i="13"/>
  <c r="N177" i="13"/>
  <c r="M177" i="13"/>
  <c r="L177" i="13"/>
  <c r="K177" i="13"/>
  <c r="J177" i="13"/>
  <c r="I177" i="13"/>
  <c r="H177" i="13"/>
  <c r="G177" i="13"/>
  <c r="F177" i="13"/>
  <c r="E177" i="13"/>
  <c r="D177" i="13"/>
  <c r="C177" i="13"/>
  <c r="B177" i="13"/>
  <c r="Z176" i="13"/>
  <c r="Y176" i="13"/>
  <c r="X176" i="13"/>
  <c r="W176" i="13"/>
  <c r="U176" i="13"/>
  <c r="T176" i="13"/>
  <c r="S176" i="13"/>
  <c r="R176" i="13"/>
  <c r="Q176" i="13"/>
  <c r="P176" i="13"/>
  <c r="O176" i="13"/>
  <c r="N176" i="13"/>
  <c r="M176" i="13"/>
  <c r="L176" i="13"/>
  <c r="K176" i="13"/>
  <c r="J176" i="13"/>
  <c r="I176" i="13"/>
  <c r="H176" i="13"/>
  <c r="G176" i="13"/>
  <c r="F176" i="13"/>
  <c r="E176" i="13"/>
  <c r="D176" i="13"/>
  <c r="C176" i="13"/>
  <c r="B176" i="13"/>
  <c r="Z175" i="13"/>
  <c r="Y175" i="13"/>
  <c r="X175" i="13"/>
  <c r="W175" i="13"/>
  <c r="V175" i="13"/>
  <c r="T175" i="13"/>
  <c r="S175" i="13"/>
  <c r="R175" i="13"/>
  <c r="Q175" i="13"/>
  <c r="P175" i="13"/>
  <c r="O175" i="13"/>
  <c r="N175" i="13"/>
  <c r="M175" i="13"/>
  <c r="L175" i="13"/>
  <c r="K175" i="13"/>
  <c r="J175" i="13"/>
  <c r="I175" i="13"/>
  <c r="H175" i="13"/>
  <c r="G175" i="13"/>
  <c r="F175" i="13"/>
  <c r="E175" i="13"/>
  <c r="D175" i="13"/>
  <c r="C175" i="13"/>
  <c r="B175" i="13"/>
  <c r="Z174" i="13"/>
  <c r="Y174" i="13"/>
  <c r="X174" i="13"/>
  <c r="W174" i="13"/>
  <c r="V174" i="13"/>
  <c r="U174" i="13"/>
  <c r="S174" i="13"/>
  <c r="R174" i="13"/>
  <c r="Q174" i="13"/>
  <c r="P174" i="13"/>
  <c r="O174" i="13"/>
  <c r="N174" i="13"/>
  <c r="M174" i="13"/>
  <c r="L174" i="13"/>
  <c r="K174" i="13"/>
  <c r="J174" i="13"/>
  <c r="I174" i="13"/>
  <c r="H174" i="13"/>
  <c r="G174" i="13"/>
  <c r="F174" i="13"/>
  <c r="E174" i="13"/>
  <c r="D174" i="13"/>
  <c r="C174" i="13"/>
  <c r="B174" i="13"/>
  <c r="Z173" i="13"/>
  <c r="Y173" i="13"/>
  <c r="X173" i="13"/>
  <c r="W173" i="13"/>
  <c r="V173" i="13"/>
  <c r="U173" i="13"/>
  <c r="T173" i="13"/>
  <c r="R173" i="13"/>
  <c r="Q173" i="13"/>
  <c r="P173" i="13"/>
  <c r="O173" i="13"/>
  <c r="N173" i="13"/>
  <c r="M173" i="13"/>
  <c r="L173" i="13"/>
  <c r="K173" i="13"/>
  <c r="J173" i="13"/>
  <c r="I173" i="13"/>
  <c r="H173" i="13"/>
  <c r="G173" i="13"/>
  <c r="F173" i="13"/>
  <c r="E173" i="13"/>
  <c r="D173" i="13"/>
  <c r="C173" i="13"/>
  <c r="B173" i="13"/>
  <c r="Z172" i="13"/>
  <c r="Y172" i="13"/>
  <c r="X172" i="13"/>
  <c r="W172" i="13"/>
  <c r="V172" i="13"/>
  <c r="U172" i="13"/>
  <c r="T172" i="13"/>
  <c r="S172" i="13"/>
  <c r="Q172" i="13"/>
  <c r="P172" i="13"/>
  <c r="O172" i="13"/>
  <c r="N172" i="13"/>
  <c r="M172" i="13"/>
  <c r="L172" i="13"/>
  <c r="K172" i="13"/>
  <c r="J172" i="13"/>
  <c r="I172" i="13"/>
  <c r="H172" i="13"/>
  <c r="G172" i="13"/>
  <c r="F172" i="13"/>
  <c r="E172" i="13"/>
  <c r="D172" i="13"/>
  <c r="C172" i="13"/>
  <c r="B172" i="13"/>
  <c r="Z171" i="13"/>
  <c r="Y171" i="13"/>
  <c r="X171" i="13"/>
  <c r="W171" i="13"/>
  <c r="V171" i="13"/>
  <c r="U171" i="13"/>
  <c r="T171" i="13"/>
  <c r="S171" i="13"/>
  <c r="R171" i="13"/>
  <c r="P171" i="13"/>
  <c r="O171" i="13"/>
  <c r="N171" i="13"/>
  <c r="M171" i="13"/>
  <c r="L171" i="13"/>
  <c r="K171" i="13"/>
  <c r="J171" i="13"/>
  <c r="I171" i="13"/>
  <c r="H171" i="13"/>
  <c r="G171" i="13"/>
  <c r="F171" i="13"/>
  <c r="E171" i="13"/>
  <c r="D171" i="13"/>
  <c r="C171" i="13"/>
  <c r="B171" i="13"/>
  <c r="Z170" i="13"/>
  <c r="Y170" i="13"/>
  <c r="X170" i="13"/>
  <c r="W170" i="13"/>
  <c r="V170" i="13"/>
  <c r="U170" i="13"/>
  <c r="T170" i="13"/>
  <c r="S170" i="13"/>
  <c r="R170" i="13"/>
  <c r="Q170" i="13"/>
  <c r="O170" i="13"/>
  <c r="N170" i="13"/>
  <c r="M170" i="13"/>
  <c r="L170" i="13"/>
  <c r="K170" i="13"/>
  <c r="J170" i="13"/>
  <c r="I170" i="13"/>
  <c r="H170" i="13"/>
  <c r="G170" i="13"/>
  <c r="F170" i="13"/>
  <c r="E170" i="13"/>
  <c r="D170" i="13"/>
  <c r="C170" i="13"/>
  <c r="B170" i="13"/>
  <c r="Z169" i="13"/>
  <c r="Y169" i="13"/>
  <c r="X169" i="13"/>
  <c r="W169" i="13"/>
  <c r="V169" i="13"/>
  <c r="U169" i="13"/>
  <c r="T169" i="13"/>
  <c r="S169" i="13"/>
  <c r="R169" i="13"/>
  <c r="Q169" i="13"/>
  <c r="P169" i="13"/>
  <c r="N169" i="13"/>
  <c r="M169" i="13"/>
  <c r="L169" i="13"/>
  <c r="K169" i="13"/>
  <c r="J169" i="13"/>
  <c r="I169" i="13"/>
  <c r="H169" i="13"/>
  <c r="G169" i="13"/>
  <c r="F169" i="13"/>
  <c r="E169" i="13"/>
  <c r="D169" i="13"/>
  <c r="C169" i="13"/>
  <c r="B169" i="13"/>
  <c r="Z168" i="13"/>
  <c r="Y168" i="13"/>
  <c r="X168" i="13"/>
  <c r="W168" i="13"/>
  <c r="V168" i="13"/>
  <c r="U168" i="13"/>
  <c r="T168" i="13"/>
  <c r="S168" i="13"/>
  <c r="R168" i="13"/>
  <c r="Q168" i="13"/>
  <c r="P168" i="13"/>
  <c r="O168" i="13"/>
  <c r="M168" i="13"/>
  <c r="L168" i="13"/>
  <c r="K168" i="13"/>
  <c r="J168" i="13"/>
  <c r="I168" i="13"/>
  <c r="H168" i="13"/>
  <c r="G168" i="13"/>
  <c r="F168" i="13"/>
  <c r="E168" i="13"/>
  <c r="D168" i="13"/>
  <c r="C168" i="13"/>
  <c r="B168" i="13"/>
  <c r="Z167" i="13"/>
  <c r="Y167" i="13"/>
  <c r="X167" i="13"/>
  <c r="W167" i="13"/>
  <c r="V167" i="13"/>
  <c r="U167" i="13"/>
  <c r="T167" i="13"/>
  <c r="S167" i="13"/>
  <c r="R167" i="13"/>
  <c r="Q167" i="13"/>
  <c r="P167" i="13"/>
  <c r="O167" i="13"/>
  <c r="N167" i="13"/>
  <c r="L167" i="13"/>
  <c r="K167" i="13"/>
  <c r="J167" i="13"/>
  <c r="I167" i="13"/>
  <c r="H167" i="13"/>
  <c r="G167" i="13"/>
  <c r="F167" i="13"/>
  <c r="E167" i="13"/>
  <c r="D167" i="13"/>
  <c r="C167" i="13"/>
  <c r="B167" i="13"/>
  <c r="Z166" i="13"/>
  <c r="Y166" i="13"/>
  <c r="X166" i="13"/>
  <c r="W166" i="13"/>
  <c r="V166" i="13"/>
  <c r="U166" i="13"/>
  <c r="T166" i="13"/>
  <c r="S166" i="13"/>
  <c r="R166" i="13"/>
  <c r="Q166" i="13"/>
  <c r="P166" i="13"/>
  <c r="O166" i="13"/>
  <c r="N166" i="13"/>
  <c r="M166" i="13"/>
  <c r="K166" i="13"/>
  <c r="J166" i="13"/>
  <c r="I166" i="13"/>
  <c r="H166" i="13"/>
  <c r="G166" i="13"/>
  <c r="F166" i="13"/>
  <c r="E166" i="13"/>
  <c r="D166" i="13"/>
  <c r="C166" i="13"/>
  <c r="B166" i="13"/>
  <c r="Z165" i="13"/>
  <c r="Y165" i="13"/>
  <c r="X165" i="13"/>
  <c r="W165" i="13"/>
  <c r="V165" i="13"/>
  <c r="U165" i="13"/>
  <c r="T165" i="13"/>
  <c r="S165" i="13"/>
  <c r="R165" i="13"/>
  <c r="Q165" i="13"/>
  <c r="P165" i="13"/>
  <c r="O165" i="13"/>
  <c r="N165" i="13"/>
  <c r="M165" i="13"/>
  <c r="L165" i="13"/>
  <c r="J165" i="13"/>
  <c r="I165" i="13"/>
  <c r="H165" i="13"/>
  <c r="G165" i="13"/>
  <c r="F165" i="13"/>
  <c r="E165" i="13"/>
  <c r="D165" i="13"/>
  <c r="C165" i="13"/>
  <c r="B165" i="13"/>
  <c r="Z164" i="13"/>
  <c r="Y164" i="13"/>
  <c r="X164" i="13"/>
  <c r="W164" i="13"/>
  <c r="V164" i="13"/>
  <c r="U164" i="13"/>
  <c r="T164" i="13"/>
  <c r="S164" i="13"/>
  <c r="R164" i="13"/>
  <c r="Q164" i="13"/>
  <c r="P164" i="13"/>
  <c r="O164" i="13"/>
  <c r="N164" i="13"/>
  <c r="M164" i="13"/>
  <c r="L164" i="13"/>
  <c r="K164" i="13"/>
  <c r="I164" i="13"/>
  <c r="H164" i="13"/>
  <c r="G164" i="13"/>
  <c r="F164" i="13"/>
  <c r="E164" i="13"/>
  <c r="D164" i="13"/>
  <c r="C164" i="13"/>
  <c r="B164" i="13"/>
  <c r="Z163" i="13"/>
  <c r="Y163" i="13"/>
  <c r="X163" i="13"/>
  <c r="W163" i="13"/>
  <c r="V163" i="13"/>
  <c r="U163" i="13"/>
  <c r="T163" i="13"/>
  <c r="S163" i="13"/>
  <c r="R163" i="13"/>
  <c r="Q163" i="13"/>
  <c r="P163" i="13"/>
  <c r="O163" i="13"/>
  <c r="N163" i="13"/>
  <c r="M163" i="13"/>
  <c r="L163" i="13"/>
  <c r="K163" i="13"/>
  <c r="J163" i="13"/>
  <c r="H163" i="13"/>
  <c r="G163" i="13"/>
  <c r="F163" i="13"/>
  <c r="E163" i="13"/>
  <c r="D163" i="13"/>
  <c r="C163" i="13"/>
  <c r="B163" i="13"/>
  <c r="Z162" i="13"/>
  <c r="Y162" i="13"/>
  <c r="X162" i="13"/>
  <c r="W162" i="13"/>
  <c r="V162" i="13"/>
  <c r="U162" i="13"/>
  <c r="T162" i="13"/>
  <c r="S162" i="13"/>
  <c r="R162" i="13"/>
  <c r="Q162" i="13"/>
  <c r="P162" i="13"/>
  <c r="O162" i="13"/>
  <c r="N162" i="13"/>
  <c r="M162" i="13"/>
  <c r="L162" i="13"/>
  <c r="K162" i="13"/>
  <c r="J162" i="13"/>
  <c r="I162" i="13"/>
  <c r="G162" i="13"/>
  <c r="F162" i="13"/>
  <c r="E162" i="13"/>
  <c r="D162" i="13"/>
  <c r="C162" i="13"/>
  <c r="B162" i="13"/>
  <c r="Z161" i="13"/>
  <c r="Y161" i="13"/>
  <c r="X161" i="13"/>
  <c r="W161" i="13"/>
  <c r="V161" i="13"/>
  <c r="U161" i="13"/>
  <c r="T161" i="13"/>
  <c r="S161" i="13"/>
  <c r="R161" i="13"/>
  <c r="Q161" i="13"/>
  <c r="P161" i="13"/>
  <c r="O161" i="13"/>
  <c r="N161" i="13"/>
  <c r="M161" i="13"/>
  <c r="L161" i="13"/>
  <c r="K161" i="13"/>
  <c r="J161" i="13"/>
  <c r="I161" i="13"/>
  <c r="H161" i="13"/>
  <c r="F161" i="13"/>
  <c r="E161" i="13"/>
  <c r="D161" i="13"/>
  <c r="C161" i="13"/>
  <c r="B161" i="13"/>
  <c r="Z160" i="13"/>
  <c r="Y160" i="13"/>
  <c r="X160" i="13"/>
  <c r="W160" i="13"/>
  <c r="V160" i="13"/>
  <c r="U160" i="13"/>
  <c r="T160" i="13"/>
  <c r="S160" i="13"/>
  <c r="R160" i="13"/>
  <c r="Q160" i="13"/>
  <c r="P160" i="13"/>
  <c r="O160" i="13"/>
  <c r="N160" i="13"/>
  <c r="M160" i="13"/>
  <c r="L160" i="13"/>
  <c r="K160" i="13"/>
  <c r="J160" i="13"/>
  <c r="I160" i="13"/>
  <c r="H160" i="13"/>
  <c r="G160" i="13"/>
  <c r="E160" i="13"/>
  <c r="D160" i="13"/>
  <c r="C160" i="13"/>
  <c r="B160" i="13"/>
  <c r="Z159" i="13"/>
  <c r="Y159" i="13"/>
  <c r="X159" i="13"/>
  <c r="W159" i="13"/>
  <c r="V159" i="13"/>
  <c r="U159" i="13"/>
  <c r="T159" i="13"/>
  <c r="S159" i="13"/>
  <c r="R159" i="13"/>
  <c r="Q159" i="13"/>
  <c r="P159" i="13"/>
  <c r="O159" i="13"/>
  <c r="N159" i="13"/>
  <c r="M159" i="13"/>
  <c r="L159" i="13"/>
  <c r="K159" i="13"/>
  <c r="J159" i="13"/>
  <c r="I159" i="13"/>
  <c r="H159" i="13"/>
  <c r="G159" i="13"/>
  <c r="F159" i="13"/>
  <c r="D159" i="13"/>
  <c r="C159" i="13"/>
  <c r="B159" i="13"/>
  <c r="Z158" i="13"/>
  <c r="Y158" i="13"/>
  <c r="X158" i="13"/>
  <c r="W158" i="13"/>
  <c r="V158" i="13"/>
  <c r="U158" i="13"/>
  <c r="T158" i="13"/>
  <c r="S158" i="13"/>
  <c r="R158" i="13"/>
  <c r="Q158" i="13"/>
  <c r="P158" i="13"/>
  <c r="O158" i="13"/>
  <c r="N158" i="13"/>
  <c r="M158" i="13"/>
  <c r="L158" i="13"/>
  <c r="K158" i="13"/>
  <c r="J158" i="13"/>
  <c r="I158" i="13"/>
  <c r="H158" i="13"/>
  <c r="G158" i="13"/>
  <c r="F158" i="13"/>
  <c r="E158" i="13"/>
  <c r="C158" i="13"/>
  <c r="B158"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B157"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C156" i="13"/>
  <c r="BF199" i="6"/>
  <c r="BE199" i="6"/>
  <c r="BD199" i="6"/>
  <c r="BC199" i="6"/>
  <c r="BB199" i="6"/>
  <c r="BA199" i="6"/>
  <c r="AZ199" i="6"/>
  <c r="AY199" i="6"/>
  <c r="AX199" i="6"/>
  <c r="AW199" i="6"/>
  <c r="AV199" i="6"/>
  <c r="AU199" i="6"/>
  <c r="AT199" i="6"/>
  <c r="AS199" i="6"/>
  <c r="AR199" i="6"/>
  <c r="AQ199" i="6"/>
  <c r="AP199" i="6"/>
  <c r="AO199" i="6"/>
  <c r="AN199" i="6"/>
  <c r="AM199" i="6"/>
  <c r="AL199" i="6"/>
  <c r="AK199" i="6"/>
  <c r="AJ199" i="6"/>
  <c r="AI199" i="6"/>
  <c r="AH199" i="6"/>
  <c r="AG199" i="6"/>
  <c r="AF199" i="6"/>
  <c r="AE199" i="6"/>
  <c r="AD199" i="6"/>
  <c r="AC199" i="6"/>
  <c r="AB199" i="6"/>
  <c r="AA199" i="6"/>
  <c r="Z199" i="6"/>
  <c r="Y199" i="6"/>
  <c r="X199" i="6"/>
  <c r="W199" i="6"/>
  <c r="BF198" i="6"/>
  <c r="BE198" i="6"/>
  <c r="BD198" i="6"/>
  <c r="BC198" i="6"/>
  <c r="BB198" i="6"/>
  <c r="BA198" i="6"/>
  <c r="AZ198" i="6"/>
  <c r="AY198" i="6"/>
  <c r="AX198" i="6"/>
  <c r="AW198" i="6"/>
  <c r="AV198" i="6"/>
  <c r="AU198" i="6"/>
  <c r="AT198" i="6"/>
  <c r="AS198" i="6"/>
  <c r="AR198" i="6"/>
  <c r="AQ198" i="6"/>
  <c r="AP198" i="6"/>
  <c r="AO198" i="6"/>
  <c r="AN198" i="6"/>
  <c r="AM198" i="6"/>
  <c r="AL198" i="6"/>
  <c r="AK198" i="6"/>
  <c r="AJ198" i="6"/>
  <c r="AI198" i="6"/>
  <c r="AH198" i="6"/>
  <c r="AG198" i="6"/>
  <c r="AF198" i="6"/>
  <c r="AE198" i="6"/>
  <c r="AD198" i="6"/>
  <c r="AC198" i="6"/>
  <c r="AB198" i="6"/>
  <c r="AA198" i="6"/>
  <c r="Z198" i="6"/>
  <c r="Y198" i="6"/>
  <c r="X198" i="6"/>
  <c r="W198" i="6"/>
  <c r="BF197" i="6"/>
  <c r="BE197" i="6"/>
  <c r="BD197" i="6"/>
  <c r="BC197" i="6"/>
  <c r="BB197" i="6"/>
  <c r="BA197" i="6"/>
  <c r="AZ197" i="6"/>
  <c r="AY197" i="6"/>
  <c r="AX197" i="6"/>
  <c r="AW197" i="6"/>
  <c r="AV197" i="6"/>
  <c r="AU197" i="6"/>
  <c r="AT197" i="6"/>
  <c r="AS197" i="6"/>
  <c r="AR197" i="6"/>
  <c r="AQ197" i="6"/>
  <c r="AP197" i="6"/>
  <c r="AO197" i="6"/>
  <c r="AN197" i="6"/>
  <c r="AM197" i="6"/>
  <c r="AL197" i="6"/>
  <c r="AK197" i="6"/>
  <c r="AJ197" i="6"/>
  <c r="AI197" i="6"/>
  <c r="AH197" i="6"/>
  <c r="AG197" i="6"/>
  <c r="AF197" i="6"/>
  <c r="AE197" i="6"/>
  <c r="AD197" i="6"/>
  <c r="AC197" i="6"/>
  <c r="AB197" i="6"/>
  <c r="AA197" i="6"/>
  <c r="Z197" i="6"/>
  <c r="Y197" i="6"/>
  <c r="X197" i="6"/>
  <c r="W197" i="6"/>
  <c r="BF196" i="6"/>
  <c r="BE196" i="6"/>
  <c r="BD196" i="6"/>
  <c r="BC196" i="6"/>
  <c r="BB196" i="6"/>
  <c r="BA196" i="6"/>
  <c r="AZ196" i="6"/>
  <c r="AY196" i="6"/>
  <c r="AX196" i="6"/>
  <c r="AW196" i="6"/>
  <c r="AV196" i="6"/>
  <c r="AU196" i="6"/>
  <c r="AT196" i="6"/>
  <c r="AS196" i="6"/>
  <c r="AR196" i="6"/>
  <c r="AQ196" i="6"/>
  <c r="AP196" i="6"/>
  <c r="AO196" i="6"/>
  <c r="AN196" i="6"/>
  <c r="AM196" i="6"/>
  <c r="AL196" i="6"/>
  <c r="AK196" i="6"/>
  <c r="AJ196" i="6"/>
  <c r="AI196" i="6"/>
  <c r="AH196" i="6"/>
  <c r="AG196" i="6"/>
  <c r="AF196" i="6"/>
  <c r="AE196" i="6"/>
  <c r="AD196" i="6"/>
  <c r="AC196" i="6"/>
  <c r="AB196" i="6"/>
  <c r="AA196" i="6"/>
  <c r="Z196" i="6"/>
  <c r="Y196" i="6"/>
  <c r="X196" i="6"/>
  <c r="W196" i="6"/>
  <c r="BF195" i="6"/>
  <c r="BE195" i="6"/>
  <c r="BD195" i="6"/>
  <c r="BC195" i="6"/>
  <c r="BB195" i="6"/>
  <c r="BA195" i="6"/>
  <c r="AZ195" i="6"/>
  <c r="AY195" i="6"/>
  <c r="AX195" i="6"/>
  <c r="AW195" i="6"/>
  <c r="AV195" i="6"/>
  <c r="AU195" i="6"/>
  <c r="AT195" i="6"/>
  <c r="AS195" i="6"/>
  <c r="AR195" i="6"/>
  <c r="AQ195" i="6"/>
  <c r="AP195" i="6"/>
  <c r="AO195" i="6"/>
  <c r="AN195" i="6"/>
  <c r="AM195" i="6"/>
  <c r="AL195" i="6"/>
  <c r="AK195" i="6"/>
  <c r="AJ195" i="6"/>
  <c r="AI195" i="6"/>
  <c r="AH195" i="6"/>
  <c r="AG195" i="6"/>
  <c r="AF195" i="6"/>
  <c r="AE195" i="6"/>
  <c r="AD195" i="6"/>
  <c r="AC195" i="6"/>
  <c r="AB195" i="6"/>
  <c r="AA195" i="6"/>
  <c r="Z195" i="6"/>
  <c r="Y195" i="6"/>
  <c r="X195" i="6"/>
  <c r="W195" i="6"/>
  <c r="BF194" i="6"/>
  <c r="BE194" i="6"/>
  <c r="BD194" i="6"/>
  <c r="BC194" i="6"/>
  <c r="BB194" i="6"/>
  <c r="BA194" i="6"/>
  <c r="AZ194" i="6"/>
  <c r="AY194" i="6"/>
  <c r="AX194" i="6"/>
  <c r="AW194" i="6"/>
  <c r="AV194" i="6"/>
  <c r="AU194" i="6"/>
  <c r="AT194" i="6"/>
  <c r="AS194" i="6"/>
  <c r="AR194" i="6"/>
  <c r="AQ194" i="6"/>
  <c r="AP194" i="6"/>
  <c r="AO194" i="6"/>
  <c r="AN194" i="6"/>
  <c r="AM194" i="6"/>
  <c r="AL194" i="6"/>
  <c r="AK194" i="6"/>
  <c r="AJ194" i="6"/>
  <c r="AI194" i="6"/>
  <c r="AH194" i="6"/>
  <c r="AG194" i="6"/>
  <c r="AF194" i="6"/>
  <c r="AE194" i="6"/>
  <c r="AD194" i="6"/>
  <c r="AC194" i="6"/>
  <c r="AB194" i="6"/>
  <c r="AA194" i="6"/>
  <c r="Z194" i="6"/>
  <c r="Y194" i="6"/>
  <c r="X194" i="6"/>
  <c r="W194" i="6"/>
  <c r="BF193" i="6"/>
  <c r="BE193" i="6"/>
  <c r="BD193" i="6"/>
  <c r="BC193" i="6"/>
  <c r="BB193" i="6"/>
  <c r="BA193" i="6"/>
  <c r="AZ193" i="6"/>
  <c r="AY193" i="6"/>
  <c r="AX193" i="6"/>
  <c r="AW193" i="6"/>
  <c r="AV193" i="6"/>
  <c r="AU193" i="6"/>
  <c r="AT193" i="6"/>
  <c r="AS193" i="6"/>
  <c r="AR193" i="6"/>
  <c r="AQ193" i="6"/>
  <c r="AP193" i="6"/>
  <c r="AO193" i="6"/>
  <c r="AN193" i="6"/>
  <c r="AM193" i="6"/>
  <c r="AL193" i="6"/>
  <c r="AK193" i="6"/>
  <c r="AJ193" i="6"/>
  <c r="AI193" i="6"/>
  <c r="AH193" i="6"/>
  <c r="AG193" i="6"/>
  <c r="AF193" i="6"/>
  <c r="AE193" i="6"/>
  <c r="AD193" i="6"/>
  <c r="AC193" i="6"/>
  <c r="AB193" i="6"/>
  <c r="AA193" i="6"/>
  <c r="Z193" i="6"/>
  <c r="Y193" i="6"/>
  <c r="X193" i="6"/>
  <c r="W193" i="6"/>
  <c r="BF192" i="6"/>
  <c r="BE192" i="6"/>
  <c r="BD192" i="6"/>
  <c r="BC192" i="6"/>
  <c r="BB192" i="6"/>
  <c r="BA192" i="6"/>
  <c r="AZ192" i="6"/>
  <c r="AY192" i="6"/>
  <c r="AX192" i="6"/>
  <c r="AW192" i="6"/>
  <c r="AV192" i="6"/>
  <c r="AU192" i="6"/>
  <c r="AT192" i="6"/>
  <c r="AS192" i="6"/>
  <c r="AR192" i="6"/>
  <c r="AQ192" i="6"/>
  <c r="AP192" i="6"/>
  <c r="AO192" i="6"/>
  <c r="AN192" i="6"/>
  <c r="AM192" i="6"/>
  <c r="AL192" i="6"/>
  <c r="AK192" i="6"/>
  <c r="AJ192" i="6"/>
  <c r="AI192" i="6"/>
  <c r="AH192" i="6"/>
  <c r="AG192" i="6"/>
  <c r="AF192" i="6"/>
  <c r="AE192" i="6"/>
  <c r="AD192" i="6"/>
  <c r="AC192" i="6"/>
  <c r="AB192" i="6"/>
  <c r="AA192" i="6"/>
  <c r="Z192" i="6"/>
  <c r="Y192" i="6"/>
  <c r="X192" i="6"/>
  <c r="W192" i="6"/>
  <c r="BF191" i="6"/>
  <c r="BE191" i="6"/>
  <c r="BD191" i="6"/>
  <c r="BC191" i="6"/>
  <c r="BB191" i="6"/>
  <c r="BA191" i="6"/>
  <c r="AZ191" i="6"/>
  <c r="AY191" i="6"/>
  <c r="AX191" i="6"/>
  <c r="AW191" i="6"/>
  <c r="AV191" i="6"/>
  <c r="AU191" i="6"/>
  <c r="AT191" i="6"/>
  <c r="AS191" i="6"/>
  <c r="AR191" i="6"/>
  <c r="AQ191" i="6"/>
  <c r="AP191" i="6"/>
  <c r="AO191" i="6"/>
  <c r="AN191" i="6"/>
  <c r="AM191" i="6"/>
  <c r="AL191" i="6"/>
  <c r="AK191" i="6"/>
  <c r="AJ191" i="6"/>
  <c r="AI191" i="6"/>
  <c r="AH191" i="6"/>
  <c r="AG191" i="6"/>
  <c r="AF191" i="6"/>
  <c r="AE191" i="6"/>
  <c r="AD191" i="6"/>
  <c r="AC191" i="6"/>
  <c r="AB191" i="6"/>
  <c r="AA191" i="6"/>
  <c r="Z191" i="6"/>
  <c r="Y191" i="6"/>
  <c r="X191" i="6"/>
  <c r="W191" i="6"/>
  <c r="BF190" i="6"/>
  <c r="BE190" i="6"/>
  <c r="BD190" i="6"/>
  <c r="BC190" i="6"/>
  <c r="BB190" i="6"/>
  <c r="BA190" i="6"/>
  <c r="AZ190" i="6"/>
  <c r="AY190" i="6"/>
  <c r="AX190" i="6"/>
  <c r="AW190" i="6"/>
  <c r="AV190" i="6"/>
  <c r="AU190" i="6"/>
  <c r="AT190" i="6"/>
  <c r="AS190" i="6"/>
  <c r="AR190" i="6"/>
  <c r="AQ190" i="6"/>
  <c r="AP190" i="6"/>
  <c r="AO190" i="6"/>
  <c r="AN190" i="6"/>
  <c r="AM190" i="6"/>
  <c r="AL190" i="6"/>
  <c r="AK190" i="6"/>
  <c r="AJ190" i="6"/>
  <c r="AI190" i="6"/>
  <c r="AH190" i="6"/>
  <c r="AG190" i="6"/>
  <c r="AF190" i="6"/>
  <c r="AE190" i="6"/>
  <c r="AD190" i="6"/>
  <c r="AC190" i="6"/>
  <c r="AB190" i="6"/>
  <c r="AA190" i="6"/>
  <c r="Z190" i="6"/>
  <c r="Y190" i="6"/>
  <c r="X190" i="6"/>
  <c r="W190" i="6"/>
  <c r="BF189" i="6"/>
  <c r="BE189" i="6"/>
  <c r="BD189" i="6"/>
  <c r="BC189" i="6"/>
  <c r="BB189" i="6"/>
  <c r="BA189" i="6"/>
  <c r="AZ189" i="6"/>
  <c r="AY189" i="6"/>
  <c r="AX189" i="6"/>
  <c r="AW189" i="6"/>
  <c r="AV189" i="6"/>
  <c r="AU189" i="6"/>
  <c r="AT189" i="6"/>
  <c r="AS189" i="6"/>
  <c r="AR189" i="6"/>
  <c r="AQ189" i="6"/>
  <c r="AP189" i="6"/>
  <c r="AO189" i="6"/>
  <c r="AN189" i="6"/>
  <c r="AM189" i="6"/>
  <c r="AL189" i="6"/>
  <c r="AK189" i="6"/>
  <c r="AJ189" i="6"/>
  <c r="AI189" i="6"/>
  <c r="AH189" i="6"/>
  <c r="AG189" i="6"/>
  <c r="AF189" i="6"/>
  <c r="AE189" i="6"/>
  <c r="AD189" i="6"/>
  <c r="AC189" i="6"/>
  <c r="AB189" i="6"/>
  <c r="AA189" i="6"/>
  <c r="Z189" i="6"/>
  <c r="Y189" i="6"/>
  <c r="X189" i="6"/>
  <c r="W189" i="6"/>
  <c r="BF188" i="6"/>
  <c r="BE188" i="6"/>
  <c r="BD188" i="6"/>
  <c r="BC188" i="6"/>
  <c r="BB188" i="6"/>
  <c r="BA188" i="6"/>
  <c r="AZ188" i="6"/>
  <c r="AY188" i="6"/>
  <c r="AX188" i="6"/>
  <c r="AW188" i="6"/>
  <c r="AV188" i="6"/>
  <c r="AU188" i="6"/>
  <c r="AT188" i="6"/>
  <c r="AS188" i="6"/>
  <c r="AR188" i="6"/>
  <c r="AQ188" i="6"/>
  <c r="AP188" i="6"/>
  <c r="AO188" i="6"/>
  <c r="AN188" i="6"/>
  <c r="AM188" i="6"/>
  <c r="AL188" i="6"/>
  <c r="AK188" i="6"/>
  <c r="AJ188" i="6"/>
  <c r="AI188" i="6"/>
  <c r="AH188" i="6"/>
  <c r="AG188" i="6"/>
  <c r="AF188" i="6"/>
  <c r="AE188" i="6"/>
  <c r="AD188" i="6"/>
  <c r="AC188" i="6"/>
  <c r="AB188" i="6"/>
  <c r="AA188" i="6"/>
  <c r="Z188" i="6"/>
  <c r="Y188" i="6"/>
  <c r="X188" i="6"/>
  <c r="W188" i="6"/>
  <c r="BF187" i="6"/>
  <c r="BE187" i="6"/>
  <c r="BD187" i="6"/>
  <c r="BC187" i="6"/>
  <c r="BB187" i="6"/>
  <c r="BA187" i="6"/>
  <c r="AZ187" i="6"/>
  <c r="AY187" i="6"/>
  <c r="AX187" i="6"/>
  <c r="AW187" i="6"/>
  <c r="AV187" i="6"/>
  <c r="AU187" i="6"/>
  <c r="AT187" i="6"/>
  <c r="AS187" i="6"/>
  <c r="AR187" i="6"/>
  <c r="AQ187" i="6"/>
  <c r="AP187" i="6"/>
  <c r="AO187" i="6"/>
  <c r="AN187" i="6"/>
  <c r="AM187" i="6"/>
  <c r="AL187" i="6"/>
  <c r="AK187" i="6"/>
  <c r="AJ187" i="6"/>
  <c r="AI187" i="6"/>
  <c r="AH187" i="6"/>
  <c r="AG187" i="6"/>
  <c r="AF187" i="6"/>
  <c r="AE187" i="6"/>
  <c r="AD187" i="6"/>
  <c r="AC187" i="6"/>
  <c r="AB187" i="6"/>
  <c r="AA187" i="6"/>
  <c r="Z187" i="6"/>
  <c r="Y187" i="6"/>
  <c r="X187" i="6"/>
  <c r="W187" i="6"/>
  <c r="BF186" i="6"/>
  <c r="BE186" i="6"/>
  <c r="BD186" i="6"/>
  <c r="BC186" i="6"/>
  <c r="BB186" i="6"/>
  <c r="BA186" i="6"/>
  <c r="AZ186" i="6"/>
  <c r="AY186" i="6"/>
  <c r="AX186" i="6"/>
  <c r="AW186" i="6"/>
  <c r="AV186" i="6"/>
  <c r="AU186" i="6"/>
  <c r="AT186" i="6"/>
  <c r="AS186" i="6"/>
  <c r="AR186" i="6"/>
  <c r="AQ186" i="6"/>
  <c r="AP186" i="6"/>
  <c r="AO186" i="6"/>
  <c r="AN186" i="6"/>
  <c r="AM186" i="6"/>
  <c r="AL186" i="6"/>
  <c r="AK186" i="6"/>
  <c r="AJ186" i="6"/>
  <c r="AI186" i="6"/>
  <c r="AH186" i="6"/>
  <c r="AG186" i="6"/>
  <c r="AF186" i="6"/>
  <c r="AE186" i="6"/>
  <c r="AD186" i="6"/>
  <c r="AC186" i="6"/>
  <c r="AB186" i="6"/>
  <c r="AA186" i="6"/>
  <c r="Z186" i="6"/>
  <c r="Y186" i="6"/>
  <c r="X186" i="6"/>
  <c r="W186" i="6"/>
  <c r="BF185" i="6"/>
  <c r="BE185" i="6"/>
  <c r="BD185" i="6"/>
  <c r="BC185" i="6"/>
  <c r="BB185" i="6"/>
  <c r="BA185" i="6"/>
  <c r="AZ185" i="6"/>
  <c r="AY185" i="6"/>
  <c r="AX185" i="6"/>
  <c r="AW185" i="6"/>
  <c r="AV185" i="6"/>
  <c r="AU185" i="6"/>
  <c r="AT185" i="6"/>
  <c r="AS185" i="6"/>
  <c r="AR185" i="6"/>
  <c r="AQ185" i="6"/>
  <c r="AP185" i="6"/>
  <c r="AO185" i="6"/>
  <c r="AN185" i="6"/>
  <c r="AM185" i="6"/>
  <c r="AL185" i="6"/>
  <c r="AK185" i="6"/>
  <c r="AJ185" i="6"/>
  <c r="AI185" i="6"/>
  <c r="AH185" i="6"/>
  <c r="AG185" i="6"/>
  <c r="AF185" i="6"/>
  <c r="AE185" i="6"/>
  <c r="AD185" i="6"/>
  <c r="AC185" i="6"/>
  <c r="AB185" i="6"/>
  <c r="AA185" i="6"/>
  <c r="Z185" i="6"/>
  <c r="Y185" i="6"/>
  <c r="X185" i="6"/>
  <c r="W185" i="6"/>
  <c r="BF184" i="6"/>
  <c r="BE184" i="6"/>
  <c r="BD184" i="6"/>
  <c r="BC184" i="6"/>
  <c r="BB184" i="6"/>
  <c r="BA184" i="6"/>
  <c r="AZ184" i="6"/>
  <c r="AY184" i="6"/>
  <c r="AX184" i="6"/>
  <c r="AW184" i="6"/>
  <c r="AV184" i="6"/>
  <c r="AU184" i="6"/>
  <c r="AT184" i="6"/>
  <c r="AS184" i="6"/>
  <c r="AR184" i="6"/>
  <c r="AQ184" i="6"/>
  <c r="AP184" i="6"/>
  <c r="AO184" i="6"/>
  <c r="AN184" i="6"/>
  <c r="AM184" i="6"/>
  <c r="AL184" i="6"/>
  <c r="AK184" i="6"/>
  <c r="AJ184" i="6"/>
  <c r="AI184" i="6"/>
  <c r="AH184" i="6"/>
  <c r="AG184" i="6"/>
  <c r="AF184" i="6"/>
  <c r="AE184" i="6"/>
  <c r="AD184" i="6"/>
  <c r="AC184" i="6"/>
  <c r="AB184" i="6"/>
  <c r="AA184" i="6"/>
  <c r="Z184" i="6"/>
  <c r="Y184" i="6"/>
  <c r="X184" i="6"/>
  <c r="W184" i="6"/>
  <c r="BF183" i="6"/>
  <c r="BE183" i="6"/>
  <c r="BD183" i="6"/>
  <c r="BC183" i="6"/>
  <c r="BB183" i="6"/>
  <c r="BA183" i="6"/>
  <c r="AZ183" i="6"/>
  <c r="AY183" i="6"/>
  <c r="AX183" i="6"/>
  <c r="AW183" i="6"/>
  <c r="AV183" i="6"/>
  <c r="AU183" i="6"/>
  <c r="AT183" i="6"/>
  <c r="AS183" i="6"/>
  <c r="AR183" i="6"/>
  <c r="AQ183" i="6"/>
  <c r="AP183" i="6"/>
  <c r="AO183" i="6"/>
  <c r="AN183" i="6"/>
  <c r="AM183" i="6"/>
  <c r="AL183" i="6"/>
  <c r="AK183" i="6"/>
  <c r="AJ183" i="6"/>
  <c r="AI183" i="6"/>
  <c r="AH183" i="6"/>
  <c r="AG183" i="6"/>
  <c r="AF183" i="6"/>
  <c r="AE183" i="6"/>
  <c r="AD183" i="6"/>
  <c r="AC183" i="6"/>
  <c r="AB183" i="6"/>
  <c r="AA183" i="6"/>
  <c r="Z183" i="6"/>
  <c r="Y183" i="6"/>
  <c r="X183" i="6"/>
  <c r="W183" i="6"/>
  <c r="BF182" i="6"/>
  <c r="BE182" i="6"/>
  <c r="BD182" i="6"/>
  <c r="BC182" i="6"/>
  <c r="BB182" i="6"/>
  <c r="BA182" i="6"/>
  <c r="AZ182" i="6"/>
  <c r="AY182" i="6"/>
  <c r="AX182" i="6"/>
  <c r="AW182" i="6"/>
  <c r="AV182" i="6"/>
  <c r="AU182" i="6"/>
  <c r="AT182" i="6"/>
  <c r="AS182" i="6"/>
  <c r="AR182" i="6"/>
  <c r="AQ182" i="6"/>
  <c r="AP182" i="6"/>
  <c r="AO182" i="6"/>
  <c r="AN182" i="6"/>
  <c r="AM182" i="6"/>
  <c r="AL182" i="6"/>
  <c r="AK182" i="6"/>
  <c r="AJ182" i="6"/>
  <c r="AI182" i="6"/>
  <c r="AH182" i="6"/>
  <c r="AG182" i="6"/>
  <c r="AF182" i="6"/>
  <c r="AE182" i="6"/>
  <c r="AD182" i="6"/>
  <c r="AC182" i="6"/>
  <c r="AB182" i="6"/>
  <c r="AA182" i="6"/>
  <c r="Z182" i="6"/>
  <c r="Y182" i="6"/>
  <c r="X182" i="6"/>
  <c r="W182" i="6"/>
  <c r="BF181" i="6"/>
  <c r="BE181" i="6"/>
  <c r="BD181" i="6"/>
  <c r="BC181" i="6"/>
  <c r="BB181" i="6"/>
  <c r="BA181" i="6"/>
  <c r="AZ181" i="6"/>
  <c r="AY181" i="6"/>
  <c r="AX181" i="6"/>
  <c r="AW181" i="6"/>
  <c r="AV181" i="6"/>
  <c r="AU181" i="6"/>
  <c r="AT181" i="6"/>
  <c r="AS181" i="6"/>
  <c r="AR181" i="6"/>
  <c r="AQ181" i="6"/>
  <c r="AP181" i="6"/>
  <c r="AO181" i="6"/>
  <c r="AN181" i="6"/>
  <c r="AM181" i="6"/>
  <c r="AL181" i="6"/>
  <c r="AK181" i="6"/>
  <c r="AJ181" i="6"/>
  <c r="AI181" i="6"/>
  <c r="AH181" i="6"/>
  <c r="AG181" i="6"/>
  <c r="AF181" i="6"/>
  <c r="AE181" i="6"/>
  <c r="AD181" i="6"/>
  <c r="AC181" i="6"/>
  <c r="AB181" i="6"/>
  <c r="AA181" i="6"/>
  <c r="Z181" i="6"/>
  <c r="Y181" i="6"/>
  <c r="X181" i="6"/>
  <c r="W181" i="6"/>
  <c r="BF180" i="6"/>
  <c r="BE180" i="6"/>
  <c r="BD180" i="6"/>
  <c r="BC180" i="6"/>
  <c r="BB180" i="6"/>
  <c r="BA180" i="6"/>
  <c r="AZ180" i="6"/>
  <c r="AY180" i="6"/>
  <c r="AX180" i="6"/>
  <c r="AW180" i="6"/>
  <c r="AV180" i="6"/>
  <c r="AU180" i="6"/>
  <c r="AT180" i="6"/>
  <c r="AS180" i="6"/>
  <c r="AR180" i="6"/>
  <c r="AQ180" i="6"/>
  <c r="AP180" i="6"/>
  <c r="AO180" i="6"/>
  <c r="AN180" i="6"/>
  <c r="AM180" i="6"/>
  <c r="AL180" i="6"/>
  <c r="AK180" i="6"/>
  <c r="AJ180" i="6"/>
  <c r="AI180" i="6"/>
  <c r="AH180" i="6"/>
  <c r="AG180" i="6"/>
  <c r="AF180" i="6"/>
  <c r="AE180" i="6"/>
  <c r="AD180" i="6"/>
  <c r="AC180" i="6"/>
  <c r="AB180" i="6"/>
  <c r="AA180" i="6"/>
  <c r="Z180" i="6"/>
  <c r="Y180" i="6"/>
  <c r="X180" i="6"/>
  <c r="W180" i="6"/>
  <c r="BF179" i="6"/>
  <c r="BE179" i="6"/>
  <c r="BD179" i="6"/>
  <c r="BC179" i="6"/>
  <c r="BB179" i="6"/>
  <c r="BA179" i="6"/>
  <c r="AZ179" i="6"/>
  <c r="AY179" i="6"/>
  <c r="AX179" i="6"/>
  <c r="AW179" i="6"/>
  <c r="AV179" i="6"/>
  <c r="AU179" i="6"/>
  <c r="AT179" i="6"/>
  <c r="AS179" i="6"/>
  <c r="AR179" i="6"/>
  <c r="AQ179" i="6"/>
  <c r="AP179" i="6"/>
  <c r="AO179" i="6"/>
  <c r="AN179" i="6"/>
  <c r="AM179" i="6"/>
  <c r="AL179" i="6"/>
  <c r="AK179" i="6"/>
  <c r="AJ179" i="6"/>
  <c r="AI179" i="6"/>
  <c r="AH179" i="6"/>
  <c r="AG179" i="6"/>
  <c r="AF179" i="6"/>
  <c r="AE179" i="6"/>
  <c r="AD179" i="6"/>
  <c r="AC179" i="6"/>
  <c r="AB179" i="6"/>
  <c r="AA179" i="6"/>
  <c r="Z179" i="6"/>
  <c r="Y179" i="6"/>
  <c r="X179" i="6"/>
  <c r="W179" i="6"/>
  <c r="BF178" i="6"/>
  <c r="BE178" i="6"/>
  <c r="BD178" i="6"/>
  <c r="BC178" i="6"/>
  <c r="BB178" i="6"/>
  <c r="BA178" i="6"/>
  <c r="AZ178" i="6"/>
  <c r="AY178" i="6"/>
  <c r="AX178" i="6"/>
  <c r="AW178" i="6"/>
  <c r="AV178" i="6"/>
  <c r="AU178" i="6"/>
  <c r="AT178" i="6"/>
  <c r="AS178" i="6"/>
  <c r="AR178" i="6"/>
  <c r="AQ178" i="6"/>
  <c r="AP178" i="6"/>
  <c r="AO178" i="6"/>
  <c r="AN178" i="6"/>
  <c r="AM178" i="6"/>
  <c r="AL178" i="6"/>
  <c r="AK178" i="6"/>
  <c r="AJ178" i="6"/>
  <c r="AI178" i="6"/>
  <c r="AH178" i="6"/>
  <c r="AG178" i="6"/>
  <c r="AF178" i="6"/>
  <c r="AE178" i="6"/>
  <c r="AD178" i="6"/>
  <c r="AC178" i="6"/>
  <c r="AB178" i="6"/>
  <c r="AA178" i="6"/>
  <c r="Z178" i="6"/>
  <c r="Y178" i="6"/>
  <c r="X178" i="6"/>
  <c r="W178" i="6"/>
  <c r="BF177" i="6"/>
  <c r="BE177" i="6"/>
  <c r="BD177" i="6"/>
  <c r="BC177" i="6"/>
  <c r="BB177" i="6"/>
  <c r="BA177" i="6"/>
  <c r="AZ177" i="6"/>
  <c r="AY177" i="6"/>
  <c r="AX177" i="6"/>
  <c r="AW177" i="6"/>
  <c r="AV177" i="6"/>
  <c r="AU177" i="6"/>
  <c r="AT177" i="6"/>
  <c r="AS177" i="6"/>
  <c r="AR177" i="6"/>
  <c r="AQ177" i="6"/>
  <c r="AP177" i="6"/>
  <c r="AO177" i="6"/>
  <c r="AN177" i="6"/>
  <c r="AM177" i="6"/>
  <c r="AL177" i="6"/>
  <c r="AK177" i="6"/>
  <c r="AJ177" i="6"/>
  <c r="AI177" i="6"/>
  <c r="AH177" i="6"/>
  <c r="AG177" i="6"/>
  <c r="AF177" i="6"/>
  <c r="AE177" i="6"/>
  <c r="AD177" i="6"/>
  <c r="AC177" i="6"/>
  <c r="AB177" i="6"/>
  <c r="AA177" i="6"/>
  <c r="Z177" i="6"/>
  <c r="Y177" i="6"/>
  <c r="X177" i="6"/>
  <c r="W177" i="6"/>
  <c r="BF176" i="6"/>
  <c r="BE176" i="6"/>
  <c r="BD176" i="6"/>
  <c r="BC176" i="6"/>
  <c r="BB176" i="6"/>
  <c r="BA176" i="6"/>
  <c r="AZ176" i="6"/>
  <c r="AY176" i="6"/>
  <c r="AX176" i="6"/>
  <c r="AW176" i="6"/>
  <c r="AV176" i="6"/>
  <c r="AU176" i="6"/>
  <c r="AT176" i="6"/>
  <c r="AS176" i="6"/>
  <c r="AR176" i="6"/>
  <c r="AQ176" i="6"/>
  <c r="AP176" i="6"/>
  <c r="AO176" i="6"/>
  <c r="AN176" i="6"/>
  <c r="AM176" i="6"/>
  <c r="AL176" i="6"/>
  <c r="AK176" i="6"/>
  <c r="AJ176" i="6"/>
  <c r="AI176" i="6"/>
  <c r="AH176" i="6"/>
  <c r="AG176" i="6"/>
  <c r="AF176" i="6"/>
  <c r="AE176" i="6"/>
  <c r="AD176" i="6"/>
  <c r="AC176" i="6"/>
  <c r="AB176" i="6"/>
  <c r="AA176" i="6"/>
  <c r="Z176" i="6"/>
  <c r="Y176" i="6"/>
  <c r="X176" i="6"/>
  <c r="W176" i="6"/>
  <c r="BF175" i="6"/>
  <c r="BE175" i="6"/>
  <c r="BD175" i="6"/>
  <c r="BC175" i="6"/>
  <c r="BB175" i="6"/>
  <c r="BA175" i="6"/>
  <c r="AZ175" i="6"/>
  <c r="AY175" i="6"/>
  <c r="AX175" i="6"/>
  <c r="AW175" i="6"/>
  <c r="AV175" i="6"/>
  <c r="AU175" i="6"/>
  <c r="AT175" i="6"/>
  <c r="AS175" i="6"/>
  <c r="AR175" i="6"/>
  <c r="AQ175" i="6"/>
  <c r="AP175" i="6"/>
  <c r="AO175" i="6"/>
  <c r="AN175" i="6"/>
  <c r="AM175" i="6"/>
  <c r="AL175" i="6"/>
  <c r="AK175" i="6"/>
  <c r="AJ175" i="6"/>
  <c r="AI175" i="6"/>
  <c r="AH175" i="6"/>
  <c r="AG175" i="6"/>
  <c r="AF175" i="6"/>
  <c r="AE175" i="6"/>
  <c r="AD175" i="6"/>
  <c r="AC175" i="6"/>
  <c r="AB175" i="6"/>
  <c r="AA175" i="6"/>
  <c r="Z175" i="6"/>
  <c r="Y175" i="6"/>
  <c r="X175" i="6"/>
  <c r="W175" i="6"/>
  <c r="BF174" i="6"/>
  <c r="BE174" i="6"/>
  <c r="BD174" i="6"/>
  <c r="BC174" i="6"/>
  <c r="BB174" i="6"/>
  <c r="BA174" i="6"/>
  <c r="AZ174" i="6"/>
  <c r="AY174" i="6"/>
  <c r="AX174" i="6"/>
  <c r="AW174" i="6"/>
  <c r="AV174" i="6"/>
  <c r="AU174" i="6"/>
  <c r="AT174" i="6"/>
  <c r="AS174" i="6"/>
  <c r="AR174" i="6"/>
  <c r="AQ174" i="6"/>
  <c r="AP174" i="6"/>
  <c r="AO174" i="6"/>
  <c r="AN174" i="6"/>
  <c r="AM174" i="6"/>
  <c r="AL174" i="6"/>
  <c r="AK174" i="6"/>
  <c r="AJ174" i="6"/>
  <c r="AI174" i="6"/>
  <c r="AH174" i="6"/>
  <c r="AG174" i="6"/>
  <c r="AF174" i="6"/>
  <c r="AE174" i="6"/>
  <c r="AD174" i="6"/>
  <c r="AC174" i="6"/>
  <c r="AB174" i="6"/>
  <c r="AA174" i="6"/>
  <c r="Z174" i="6"/>
  <c r="Y174" i="6"/>
  <c r="X174" i="6"/>
  <c r="W174" i="6"/>
  <c r="BF173" i="6"/>
  <c r="BE173" i="6"/>
  <c r="BD173" i="6"/>
  <c r="BC173" i="6"/>
  <c r="BB173" i="6"/>
  <c r="BA173" i="6"/>
  <c r="AZ173" i="6"/>
  <c r="AY173" i="6"/>
  <c r="AX173" i="6"/>
  <c r="AW173" i="6"/>
  <c r="AV173" i="6"/>
  <c r="AU173" i="6"/>
  <c r="AT173" i="6"/>
  <c r="AS173" i="6"/>
  <c r="AR173" i="6"/>
  <c r="AQ173" i="6"/>
  <c r="AP173" i="6"/>
  <c r="AO173" i="6"/>
  <c r="AN173" i="6"/>
  <c r="AM173" i="6"/>
  <c r="AL173" i="6"/>
  <c r="AK173" i="6"/>
  <c r="AJ173" i="6"/>
  <c r="AI173" i="6"/>
  <c r="AH173" i="6"/>
  <c r="AG173" i="6"/>
  <c r="AF173" i="6"/>
  <c r="AE173" i="6"/>
  <c r="AD173" i="6"/>
  <c r="AC173" i="6"/>
  <c r="AB173" i="6"/>
  <c r="AA173" i="6"/>
  <c r="Z173" i="6"/>
  <c r="Y173" i="6"/>
  <c r="X173" i="6"/>
  <c r="W173" i="6"/>
  <c r="BF172" i="6"/>
  <c r="BE172" i="6"/>
  <c r="BD172" i="6"/>
  <c r="BC172" i="6"/>
  <c r="BB172" i="6"/>
  <c r="BA172" i="6"/>
  <c r="AZ172" i="6"/>
  <c r="AY172" i="6"/>
  <c r="AX172" i="6"/>
  <c r="AW172" i="6"/>
  <c r="AV172" i="6"/>
  <c r="AU172" i="6"/>
  <c r="AT172" i="6"/>
  <c r="AS172" i="6"/>
  <c r="AR172" i="6"/>
  <c r="AQ172" i="6"/>
  <c r="AP172" i="6"/>
  <c r="AO172" i="6"/>
  <c r="AN172" i="6"/>
  <c r="AM172" i="6"/>
  <c r="AL172" i="6"/>
  <c r="AK172" i="6"/>
  <c r="AJ172" i="6"/>
  <c r="AI172" i="6"/>
  <c r="AH172" i="6"/>
  <c r="AG172" i="6"/>
  <c r="AF172" i="6"/>
  <c r="AE172" i="6"/>
  <c r="AD172" i="6"/>
  <c r="AC172" i="6"/>
  <c r="AB172" i="6"/>
  <c r="AA172" i="6"/>
  <c r="Z172" i="6"/>
  <c r="Y172" i="6"/>
  <c r="X172" i="6"/>
  <c r="W172" i="6"/>
  <c r="BF171" i="6"/>
  <c r="BE171" i="6"/>
  <c r="BD171" i="6"/>
  <c r="BC171" i="6"/>
  <c r="BB171" i="6"/>
  <c r="BA171" i="6"/>
  <c r="AZ171" i="6"/>
  <c r="AY171" i="6"/>
  <c r="AX171" i="6"/>
  <c r="AW171" i="6"/>
  <c r="AV171" i="6"/>
  <c r="AU171" i="6"/>
  <c r="AT171" i="6"/>
  <c r="AS171" i="6"/>
  <c r="AR171" i="6"/>
  <c r="AQ171" i="6"/>
  <c r="AP171" i="6"/>
  <c r="AO171" i="6"/>
  <c r="AN171" i="6"/>
  <c r="AM171" i="6"/>
  <c r="AL171" i="6"/>
  <c r="AK171" i="6"/>
  <c r="AJ171" i="6"/>
  <c r="AI171" i="6"/>
  <c r="AH171" i="6"/>
  <c r="AG171" i="6"/>
  <c r="AF171" i="6"/>
  <c r="AE171" i="6"/>
  <c r="AD171" i="6"/>
  <c r="AC171" i="6"/>
  <c r="AB171" i="6"/>
  <c r="AA171" i="6"/>
  <c r="Z171" i="6"/>
  <c r="Y171" i="6"/>
  <c r="X171" i="6"/>
  <c r="W171" i="6"/>
  <c r="BF170" i="6"/>
  <c r="BE170" i="6"/>
  <c r="BD170" i="6"/>
  <c r="BC170" i="6"/>
  <c r="BB170" i="6"/>
  <c r="BA170" i="6"/>
  <c r="AZ170" i="6"/>
  <c r="AY170" i="6"/>
  <c r="AX170" i="6"/>
  <c r="AW170" i="6"/>
  <c r="AV170" i="6"/>
  <c r="AU170" i="6"/>
  <c r="AT170" i="6"/>
  <c r="AS170" i="6"/>
  <c r="AR170" i="6"/>
  <c r="AQ170" i="6"/>
  <c r="AP170" i="6"/>
  <c r="AO170" i="6"/>
  <c r="AN170" i="6"/>
  <c r="AM170" i="6"/>
  <c r="AL170" i="6"/>
  <c r="AK170" i="6"/>
  <c r="AJ170" i="6"/>
  <c r="AI170" i="6"/>
  <c r="AH170" i="6"/>
  <c r="AG170" i="6"/>
  <c r="AF170" i="6"/>
  <c r="AE170" i="6"/>
  <c r="AD170" i="6"/>
  <c r="AC170" i="6"/>
  <c r="AB170" i="6"/>
  <c r="AA170" i="6"/>
  <c r="Z170" i="6"/>
  <c r="Y170" i="6"/>
  <c r="X170" i="6"/>
  <c r="W170" i="6"/>
  <c r="BF169" i="6"/>
  <c r="BE169" i="6"/>
  <c r="BD169" i="6"/>
  <c r="BC169" i="6"/>
  <c r="BB169" i="6"/>
  <c r="BA169" i="6"/>
  <c r="AZ169" i="6"/>
  <c r="AY169" i="6"/>
  <c r="AX169" i="6"/>
  <c r="AW169" i="6"/>
  <c r="AV169" i="6"/>
  <c r="AU169" i="6"/>
  <c r="AT169" i="6"/>
  <c r="AS169" i="6"/>
  <c r="AR169" i="6"/>
  <c r="AQ169" i="6"/>
  <c r="AP169" i="6"/>
  <c r="AO169" i="6"/>
  <c r="AN169" i="6"/>
  <c r="AM169" i="6"/>
  <c r="AL169" i="6"/>
  <c r="AK169" i="6"/>
  <c r="AJ169" i="6"/>
  <c r="AI169" i="6"/>
  <c r="AH169" i="6"/>
  <c r="AG169" i="6"/>
  <c r="AF169" i="6"/>
  <c r="AE169" i="6"/>
  <c r="AD169" i="6"/>
  <c r="AC169" i="6"/>
  <c r="AB169" i="6"/>
  <c r="AA169" i="6"/>
  <c r="Z169" i="6"/>
  <c r="Y169" i="6"/>
  <c r="X169" i="6"/>
  <c r="W169" i="6"/>
  <c r="BF168" i="6"/>
  <c r="BE168" i="6"/>
  <c r="BD168" i="6"/>
  <c r="BC168" i="6"/>
  <c r="BB168" i="6"/>
  <c r="BA168" i="6"/>
  <c r="AZ168" i="6"/>
  <c r="AY168" i="6"/>
  <c r="AX168" i="6"/>
  <c r="AW168" i="6"/>
  <c r="AV168" i="6"/>
  <c r="AU168" i="6"/>
  <c r="AT168" i="6"/>
  <c r="AS168" i="6"/>
  <c r="AR168" i="6"/>
  <c r="AQ168" i="6"/>
  <c r="AP168" i="6"/>
  <c r="AO168" i="6"/>
  <c r="AN168" i="6"/>
  <c r="AM168" i="6"/>
  <c r="AL168" i="6"/>
  <c r="AK168" i="6"/>
  <c r="AJ168" i="6"/>
  <c r="AI168" i="6"/>
  <c r="AH168" i="6"/>
  <c r="AG168" i="6"/>
  <c r="AF168" i="6"/>
  <c r="AE168" i="6"/>
  <c r="AD168" i="6"/>
  <c r="AC168" i="6"/>
  <c r="AB168" i="6"/>
  <c r="AA168" i="6"/>
  <c r="Z168" i="6"/>
  <c r="Y168" i="6"/>
  <c r="X168" i="6"/>
  <c r="W168" i="6"/>
  <c r="BF167" i="6"/>
  <c r="BE167" i="6"/>
  <c r="BD167" i="6"/>
  <c r="BC167" i="6"/>
  <c r="BB167" i="6"/>
  <c r="BA167" i="6"/>
  <c r="AZ167" i="6"/>
  <c r="AY167" i="6"/>
  <c r="AX167" i="6"/>
  <c r="AW167" i="6"/>
  <c r="AV167" i="6"/>
  <c r="AU167" i="6"/>
  <c r="AT167" i="6"/>
  <c r="AS167" i="6"/>
  <c r="AR167" i="6"/>
  <c r="AQ167" i="6"/>
  <c r="AP167" i="6"/>
  <c r="AO167" i="6"/>
  <c r="AN167" i="6"/>
  <c r="AM167" i="6"/>
  <c r="AL167" i="6"/>
  <c r="AK167" i="6"/>
  <c r="AJ167" i="6"/>
  <c r="AI167" i="6"/>
  <c r="AH167" i="6"/>
  <c r="AG167" i="6"/>
  <c r="AF167" i="6"/>
  <c r="AE167" i="6"/>
  <c r="AD167" i="6"/>
  <c r="AC167" i="6"/>
  <c r="AB167" i="6"/>
  <c r="AA167" i="6"/>
  <c r="Z167" i="6"/>
  <c r="Y167" i="6"/>
  <c r="X167" i="6"/>
  <c r="W167" i="6"/>
  <c r="BF166" i="6"/>
  <c r="BE166" i="6"/>
  <c r="BD166" i="6"/>
  <c r="BC166" i="6"/>
  <c r="BB166" i="6"/>
  <c r="BA166" i="6"/>
  <c r="AZ166" i="6"/>
  <c r="AY166" i="6"/>
  <c r="AX166" i="6"/>
  <c r="AW166" i="6"/>
  <c r="AV166" i="6"/>
  <c r="AU166" i="6"/>
  <c r="AT166" i="6"/>
  <c r="AS166" i="6"/>
  <c r="AR166" i="6"/>
  <c r="AQ166" i="6"/>
  <c r="AP166" i="6"/>
  <c r="AO166" i="6"/>
  <c r="AN166" i="6"/>
  <c r="AM166" i="6"/>
  <c r="AL166" i="6"/>
  <c r="AK166" i="6"/>
  <c r="AJ166" i="6"/>
  <c r="AI166" i="6"/>
  <c r="AH166" i="6"/>
  <c r="AG166" i="6"/>
  <c r="AF166" i="6"/>
  <c r="AE166" i="6"/>
  <c r="AD166" i="6"/>
  <c r="AC166" i="6"/>
  <c r="AB166" i="6"/>
  <c r="AA166" i="6"/>
  <c r="Z166" i="6"/>
  <c r="Y166" i="6"/>
  <c r="X166" i="6"/>
  <c r="W166" i="6"/>
  <c r="BF165" i="6"/>
  <c r="BE165" i="6"/>
  <c r="BD165" i="6"/>
  <c r="BC165" i="6"/>
  <c r="BB165" i="6"/>
  <c r="BA165" i="6"/>
  <c r="AZ165" i="6"/>
  <c r="AY165" i="6"/>
  <c r="AX165" i="6"/>
  <c r="AW165" i="6"/>
  <c r="AV165" i="6"/>
  <c r="AU165" i="6"/>
  <c r="AT165" i="6"/>
  <c r="AS165" i="6"/>
  <c r="AR165" i="6"/>
  <c r="AQ165" i="6"/>
  <c r="AP165" i="6"/>
  <c r="AO165" i="6"/>
  <c r="AN165" i="6"/>
  <c r="AM165" i="6"/>
  <c r="AL165" i="6"/>
  <c r="AK165" i="6"/>
  <c r="AJ165" i="6"/>
  <c r="AI165" i="6"/>
  <c r="AH165" i="6"/>
  <c r="AG165" i="6"/>
  <c r="AF165" i="6"/>
  <c r="AE165" i="6"/>
  <c r="AD165" i="6"/>
  <c r="AC165" i="6"/>
  <c r="AB165" i="6"/>
  <c r="AA165" i="6"/>
  <c r="Z165" i="6"/>
  <c r="Y165" i="6"/>
  <c r="X165" i="6"/>
  <c r="W165" i="6"/>
  <c r="BF164" i="6"/>
  <c r="BE164" i="6"/>
  <c r="BD164" i="6"/>
  <c r="BC164" i="6"/>
  <c r="BB164" i="6"/>
  <c r="BA164" i="6"/>
  <c r="AZ164" i="6"/>
  <c r="AY164" i="6"/>
  <c r="AX164" i="6"/>
  <c r="AW164" i="6"/>
  <c r="AV164" i="6"/>
  <c r="AU164" i="6"/>
  <c r="AT164" i="6"/>
  <c r="AS164" i="6"/>
  <c r="AR164" i="6"/>
  <c r="AQ164" i="6"/>
  <c r="AP164" i="6"/>
  <c r="AO164" i="6"/>
  <c r="AN164" i="6"/>
  <c r="AM164" i="6"/>
  <c r="AL164" i="6"/>
  <c r="AK164" i="6"/>
  <c r="AJ164" i="6"/>
  <c r="AI164" i="6"/>
  <c r="AH164" i="6"/>
  <c r="AG164" i="6"/>
  <c r="AF164" i="6"/>
  <c r="AE164" i="6"/>
  <c r="AD164" i="6"/>
  <c r="AC164" i="6"/>
  <c r="AB164" i="6"/>
  <c r="AA164" i="6"/>
  <c r="Z164" i="6"/>
  <c r="Y164" i="6"/>
  <c r="X164" i="6"/>
  <c r="W164" i="6"/>
  <c r="BF163" i="6"/>
  <c r="BE163" i="6"/>
  <c r="BD163" i="6"/>
  <c r="BC163" i="6"/>
  <c r="BB163" i="6"/>
  <c r="BA163" i="6"/>
  <c r="AZ163" i="6"/>
  <c r="AY163" i="6"/>
  <c r="AX163" i="6"/>
  <c r="AW163" i="6"/>
  <c r="AV163" i="6"/>
  <c r="AU163" i="6"/>
  <c r="AT163" i="6"/>
  <c r="AS163" i="6"/>
  <c r="AR163" i="6"/>
  <c r="AQ163" i="6"/>
  <c r="AP163" i="6"/>
  <c r="AO163" i="6"/>
  <c r="AN163" i="6"/>
  <c r="AM163" i="6"/>
  <c r="AL163" i="6"/>
  <c r="AK163" i="6"/>
  <c r="AJ163" i="6"/>
  <c r="AI163" i="6"/>
  <c r="AH163" i="6"/>
  <c r="AG163" i="6"/>
  <c r="AF163" i="6"/>
  <c r="AE163" i="6"/>
  <c r="AD163" i="6"/>
  <c r="AC163" i="6"/>
  <c r="AB163" i="6"/>
  <c r="AA163" i="6"/>
  <c r="Z163" i="6"/>
  <c r="Y163" i="6"/>
  <c r="X163" i="6"/>
  <c r="W163" i="6"/>
  <c r="BF162" i="6"/>
  <c r="BE162" i="6"/>
  <c r="BD162" i="6"/>
  <c r="BC162" i="6"/>
  <c r="BB162" i="6"/>
  <c r="BA162" i="6"/>
  <c r="AZ162" i="6"/>
  <c r="AY162" i="6"/>
  <c r="AX162" i="6"/>
  <c r="AW162" i="6"/>
  <c r="AV162" i="6"/>
  <c r="AU162" i="6"/>
  <c r="AT162" i="6"/>
  <c r="AS162" i="6"/>
  <c r="AR162" i="6"/>
  <c r="AQ162" i="6"/>
  <c r="AP162" i="6"/>
  <c r="AO162" i="6"/>
  <c r="AN162" i="6"/>
  <c r="AM162" i="6"/>
  <c r="AL162" i="6"/>
  <c r="AK162" i="6"/>
  <c r="AJ162" i="6"/>
  <c r="AI162" i="6"/>
  <c r="AH162" i="6"/>
  <c r="AG162" i="6"/>
  <c r="AF162" i="6"/>
  <c r="AE162" i="6"/>
  <c r="AD162" i="6"/>
  <c r="AC162" i="6"/>
  <c r="AB162" i="6"/>
  <c r="AA162" i="6"/>
  <c r="Z162" i="6"/>
  <c r="Y162" i="6"/>
  <c r="X162" i="6"/>
  <c r="W162" i="6"/>
  <c r="BF161" i="6"/>
  <c r="BE161" i="6"/>
  <c r="BD161" i="6"/>
  <c r="BC161" i="6"/>
  <c r="BB161" i="6"/>
  <c r="BA161" i="6"/>
  <c r="AZ161" i="6"/>
  <c r="AY161" i="6"/>
  <c r="AX161" i="6"/>
  <c r="AW161" i="6"/>
  <c r="AV161" i="6"/>
  <c r="AU161" i="6"/>
  <c r="AT161" i="6"/>
  <c r="AS161" i="6"/>
  <c r="AR161" i="6"/>
  <c r="AQ161" i="6"/>
  <c r="AP161" i="6"/>
  <c r="AO161" i="6"/>
  <c r="AN161" i="6"/>
  <c r="AM161" i="6"/>
  <c r="AL161" i="6"/>
  <c r="AK161" i="6"/>
  <c r="AJ161" i="6"/>
  <c r="AI161" i="6"/>
  <c r="AH161" i="6"/>
  <c r="AG161" i="6"/>
  <c r="AF161" i="6"/>
  <c r="AE161" i="6"/>
  <c r="AD161" i="6"/>
  <c r="AC161" i="6"/>
  <c r="AB161" i="6"/>
  <c r="AA161" i="6"/>
  <c r="Z161" i="6"/>
  <c r="Y161" i="6"/>
  <c r="X161" i="6"/>
  <c r="W161" i="6"/>
  <c r="BF160" i="6"/>
  <c r="BE160" i="6"/>
  <c r="BD160" i="6"/>
  <c r="BC160" i="6"/>
  <c r="BB160" i="6"/>
  <c r="BA160" i="6"/>
  <c r="AZ160" i="6"/>
  <c r="AY160" i="6"/>
  <c r="AX160" i="6"/>
  <c r="AW160" i="6"/>
  <c r="AV160" i="6"/>
  <c r="AU160" i="6"/>
  <c r="AT160" i="6"/>
  <c r="AS160" i="6"/>
  <c r="AR160" i="6"/>
  <c r="AQ160" i="6"/>
  <c r="AP160" i="6"/>
  <c r="AO160" i="6"/>
  <c r="AN160" i="6"/>
  <c r="AM160" i="6"/>
  <c r="AL160" i="6"/>
  <c r="AK160" i="6"/>
  <c r="AJ160" i="6"/>
  <c r="AI160" i="6"/>
  <c r="AH160" i="6"/>
  <c r="AG160" i="6"/>
  <c r="AF160" i="6"/>
  <c r="AE160" i="6"/>
  <c r="AD160" i="6"/>
  <c r="AC160" i="6"/>
  <c r="AB160" i="6"/>
  <c r="AA160" i="6"/>
  <c r="Z160" i="6"/>
  <c r="Y160" i="6"/>
  <c r="X160" i="6"/>
  <c r="W160" i="6"/>
  <c r="BF159" i="6"/>
  <c r="BE159" i="6"/>
  <c r="BD159" i="6"/>
  <c r="BC159" i="6"/>
  <c r="BB159" i="6"/>
  <c r="BA159" i="6"/>
  <c r="AZ159" i="6"/>
  <c r="AY159" i="6"/>
  <c r="AX159" i="6"/>
  <c r="AW159" i="6"/>
  <c r="AV159" i="6"/>
  <c r="AU159" i="6"/>
  <c r="AT159" i="6"/>
  <c r="AS159" i="6"/>
  <c r="AR159" i="6"/>
  <c r="AQ159" i="6"/>
  <c r="AP159" i="6"/>
  <c r="AO159" i="6"/>
  <c r="AN159" i="6"/>
  <c r="AM159" i="6"/>
  <c r="AL159" i="6"/>
  <c r="AK159" i="6"/>
  <c r="AJ159" i="6"/>
  <c r="AI159" i="6"/>
  <c r="AH159" i="6"/>
  <c r="AG159" i="6"/>
  <c r="AF159" i="6"/>
  <c r="AE159" i="6"/>
  <c r="AD159" i="6"/>
  <c r="AC159" i="6"/>
  <c r="AB159" i="6"/>
  <c r="AA159" i="6"/>
  <c r="Z159" i="6"/>
  <c r="Y159" i="6"/>
  <c r="X159" i="6"/>
  <c r="W159" i="6"/>
  <c r="BF158" i="6"/>
  <c r="BE158" i="6"/>
  <c r="BD158" i="6"/>
  <c r="BC158" i="6"/>
  <c r="BB158" i="6"/>
  <c r="BA158" i="6"/>
  <c r="AZ158" i="6"/>
  <c r="AY158" i="6"/>
  <c r="AX158" i="6"/>
  <c r="AW158" i="6"/>
  <c r="AV158" i="6"/>
  <c r="AU158" i="6"/>
  <c r="AT158" i="6"/>
  <c r="AS158" i="6"/>
  <c r="AR158" i="6"/>
  <c r="AQ158" i="6"/>
  <c r="AP158" i="6"/>
  <c r="AO158" i="6"/>
  <c r="AN158" i="6"/>
  <c r="AM158" i="6"/>
  <c r="AL158" i="6"/>
  <c r="AK158" i="6"/>
  <c r="AJ158" i="6"/>
  <c r="AI158" i="6"/>
  <c r="AH158" i="6"/>
  <c r="AG158" i="6"/>
  <c r="AF158" i="6"/>
  <c r="AE158" i="6"/>
  <c r="AD158" i="6"/>
  <c r="AC158" i="6"/>
  <c r="AB158" i="6"/>
  <c r="AA158" i="6"/>
  <c r="Z158" i="6"/>
  <c r="Y158" i="6"/>
  <c r="X158" i="6"/>
  <c r="W158" i="6"/>
  <c r="BF157" i="6"/>
  <c r="BE157" i="6"/>
  <c r="BD157" i="6"/>
  <c r="BC157" i="6"/>
  <c r="BB157" i="6"/>
  <c r="BA157" i="6"/>
  <c r="AZ157" i="6"/>
  <c r="AY157" i="6"/>
  <c r="AX157" i="6"/>
  <c r="AW157" i="6"/>
  <c r="AV157" i="6"/>
  <c r="AU157" i="6"/>
  <c r="AT157" i="6"/>
  <c r="AS157" i="6"/>
  <c r="AR157" i="6"/>
  <c r="AQ157" i="6"/>
  <c r="AP157" i="6"/>
  <c r="AO157" i="6"/>
  <c r="AN157" i="6"/>
  <c r="AM157" i="6"/>
  <c r="AL157" i="6"/>
  <c r="AK157" i="6"/>
  <c r="AJ157" i="6"/>
  <c r="AI157" i="6"/>
  <c r="AH157" i="6"/>
  <c r="AG157" i="6"/>
  <c r="AF157" i="6"/>
  <c r="AE157" i="6"/>
  <c r="AD157" i="6"/>
  <c r="AC157" i="6"/>
  <c r="AB157" i="6"/>
  <c r="AA157" i="6"/>
  <c r="Z157" i="6"/>
  <c r="Y157" i="6"/>
  <c r="X157" i="6"/>
  <c r="W157" i="6"/>
  <c r="BF156" i="6"/>
  <c r="BE156" i="6"/>
  <c r="BD156" i="6"/>
  <c r="BC156" i="6"/>
  <c r="BB156" i="6"/>
  <c r="BA156" i="6"/>
  <c r="AZ156" i="6"/>
  <c r="AY156" i="6"/>
  <c r="AX156" i="6"/>
  <c r="AW156" i="6"/>
  <c r="AV156" i="6"/>
  <c r="AU156" i="6"/>
  <c r="AT156" i="6"/>
  <c r="AS156" i="6"/>
  <c r="AR156" i="6"/>
  <c r="AQ156" i="6"/>
  <c r="AP156" i="6"/>
  <c r="AO156" i="6"/>
  <c r="AN156" i="6"/>
  <c r="AM156" i="6"/>
  <c r="AL156" i="6"/>
  <c r="AK156" i="6"/>
  <c r="AJ156" i="6"/>
  <c r="AI156" i="6"/>
  <c r="AH156" i="6"/>
  <c r="AG156" i="6"/>
  <c r="AF156" i="6"/>
  <c r="AE156" i="6"/>
  <c r="AD156" i="6"/>
  <c r="AC156" i="6"/>
  <c r="AB156" i="6"/>
  <c r="AA156" i="6"/>
  <c r="Z156" i="6"/>
  <c r="Y156" i="6"/>
  <c r="X156" i="6"/>
  <c r="W156" i="6"/>
  <c r="BF155" i="6"/>
  <c r="BE155" i="6"/>
  <c r="BD155" i="6"/>
  <c r="BC155" i="6"/>
  <c r="BB155" i="6"/>
  <c r="BA155" i="6"/>
  <c r="AZ155" i="6"/>
  <c r="AY155" i="6"/>
  <c r="AX155" i="6"/>
  <c r="AW155" i="6"/>
  <c r="AV155" i="6"/>
  <c r="AU155" i="6"/>
  <c r="AT155" i="6"/>
  <c r="AS155" i="6"/>
  <c r="AR155" i="6"/>
  <c r="AQ155" i="6"/>
  <c r="AP155" i="6"/>
  <c r="AO155" i="6"/>
  <c r="AN155" i="6"/>
  <c r="AM155" i="6"/>
  <c r="AL155" i="6"/>
  <c r="AK155" i="6"/>
  <c r="AK200" i="6" s="1"/>
  <c r="AJ155" i="6"/>
  <c r="AI155" i="6"/>
  <c r="AH155" i="6"/>
  <c r="AG155" i="6"/>
  <c r="AF155" i="6"/>
  <c r="AE155" i="6"/>
  <c r="AD155" i="6"/>
  <c r="AC155" i="6"/>
  <c r="AB155" i="6"/>
  <c r="AA155" i="6"/>
  <c r="Z155" i="6"/>
  <c r="Y155" i="6"/>
  <c r="X155" i="6"/>
  <c r="W155" i="6"/>
  <c r="BF105" i="6"/>
  <c r="BE105" i="6"/>
  <c r="BD105" i="6"/>
  <c r="BC105" i="6"/>
  <c r="BB105" i="6"/>
  <c r="BA105" i="6"/>
  <c r="AZ105" i="6"/>
  <c r="AY105" i="6"/>
  <c r="AX105" i="6"/>
  <c r="AW105" i="6"/>
  <c r="AV105" i="6"/>
  <c r="AU105" i="6"/>
  <c r="AT105" i="6"/>
  <c r="AS105" i="6"/>
  <c r="AR105" i="6"/>
  <c r="AQ105" i="6"/>
  <c r="AP105" i="6"/>
  <c r="AO105" i="6"/>
  <c r="AN105" i="6"/>
  <c r="AM105" i="6"/>
  <c r="AL105" i="6"/>
  <c r="AK105" i="6"/>
  <c r="AJ105" i="6"/>
  <c r="AI105" i="6"/>
  <c r="AH105" i="6"/>
  <c r="AG105" i="6"/>
  <c r="AF105" i="6"/>
  <c r="AE105" i="6"/>
  <c r="AD105" i="6"/>
  <c r="AC105" i="6"/>
  <c r="AB105" i="6"/>
  <c r="AA105" i="6"/>
  <c r="Z105" i="6"/>
  <c r="Y105" i="6"/>
  <c r="X105" i="6"/>
  <c r="W105" i="6"/>
  <c r="V105" i="6"/>
  <c r="U105" i="6"/>
  <c r="T105" i="6"/>
  <c r="S105" i="6"/>
  <c r="R105" i="6"/>
  <c r="Q105" i="6"/>
  <c r="P105" i="6"/>
  <c r="O105" i="6"/>
  <c r="N105" i="6"/>
  <c r="M105" i="6"/>
  <c r="L105" i="6"/>
  <c r="K105" i="6"/>
  <c r="J105" i="6"/>
  <c r="I105" i="6"/>
  <c r="H105" i="6"/>
  <c r="G105" i="6"/>
  <c r="F105" i="6"/>
  <c r="E105" i="6"/>
  <c r="D105" i="6"/>
  <c r="C105" i="6"/>
  <c r="BF104" i="6"/>
  <c r="BE104" i="6"/>
  <c r="BD104" i="6"/>
  <c r="BC104" i="6"/>
  <c r="BB104" i="6"/>
  <c r="BA104" i="6"/>
  <c r="AZ104" i="6"/>
  <c r="AY104" i="6"/>
  <c r="AX104" i="6"/>
  <c r="AW104" i="6"/>
  <c r="AV104" i="6"/>
  <c r="AU104" i="6"/>
  <c r="AT104" i="6"/>
  <c r="AS104" i="6"/>
  <c r="AR104" i="6"/>
  <c r="AQ104" i="6"/>
  <c r="AP104" i="6"/>
  <c r="AO104" i="6"/>
  <c r="AN104" i="6"/>
  <c r="AM104" i="6"/>
  <c r="AL104" i="6"/>
  <c r="AK104" i="6"/>
  <c r="AJ104" i="6"/>
  <c r="AI104" i="6"/>
  <c r="AH104" i="6"/>
  <c r="AG104" i="6"/>
  <c r="AF104" i="6"/>
  <c r="AE104" i="6"/>
  <c r="AD104" i="6"/>
  <c r="AC104" i="6"/>
  <c r="AB104" i="6"/>
  <c r="AA104" i="6"/>
  <c r="Z104" i="6"/>
  <c r="Y104" i="6"/>
  <c r="X104" i="6"/>
  <c r="W104" i="6"/>
  <c r="V104" i="6"/>
  <c r="U104" i="6"/>
  <c r="T104" i="6"/>
  <c r="S104" i="6"/>
  <c r="R104" i="6"/>
  <c r="Q104" i="6"/>
  <c r="P104" i="6"/>
  <c r="O104" i="6"/>
  <c r="N104" i="6"/>
  <c r="M104" i="6"/>
  <c r="L104" i="6"/>
  <c r="K104" i="6"/>
  <c r="J104" i="6"/>
  <c r="I104" i="6"/>
  <c r="H104" i="6"/>
  <c r="G104" i="6"/>
  <c r="F104" i="6"/>
  <c r="E104" i="6"/>
  <c r="D104" i="6"/>
  <c r="C104" i="6"/>
  <c r="BF55" i="6"/>
  <c r="BE55" i="6"/>
  <c r="BD55" i="6"/>
  <c r="BC55" i="6"/>
  <c r="BB55" i="6"/>
  <c r="BA55" i="6"/>
  <c r="AZ55" i="6"/>
  <c r="AY55" i="6"/>
  <c r="AX55" i="6"/>
  <c r="AW55" i="6"/>
  <c r="AV55" i="6"/>
  <c r="AU55" i="6"/>
  <c r="AT55" i="6"/>
  <c r="AS55" i="6"/>
  <c r="AR55" i="6"/>
  <c r="AQ55" i="6"/>
  <c r="AP55" i="6"/>
  <c r="AO55" i="6"/>
  <c r="AN55" i="6"/>
  <c r="AM55" i="6"/>
  <c r="AL55" i="6"/>
  <c r="AK55" i="6"/>
  <c r="AJ55" i="6"/>
  <c r="AI55" i="6"/>
  <c r="AH55" i="6"/>
  <c r="AG55" i="6"/>
  <c r="AF55" i="6"/>
  <c r="AE55" i="6"/>
  <c r="AD55" i="6"/>
  <c r="AC55" i="6"/>
  <c r="AB55" i="6"/>
  <c r="AA55" i="6"/>
  <c r="Z55" i="6"/>
  <c r="Y55" i="6"/>
  <c r="X55" i="6"/>
  <c r="W55" i="6"/>
  <c r="V55" i="6"/>
  <c r="U55" i="6"/>
  <c r="T55" i="6"/>
  <c r="S55" i="6"/>
  <c r="R55" i="6"/>
  <c r="Q55" i="6"/>
  <c r="P55" i="6"/>
  <c r="O55" i="6"/>
  <c r="N55" i="6"/>
  <c r="M55" i="6"/>
  <c r="L55" i="6"/>
  <c r="K55" i="6"/>
  <c r="J55" i="6"/>
  <c r="I55" i="6"/>
  <c r="H55" i="6"/>
  <c r="G55" i="6"/>
  <c r="F55" i="6"/>
  <c r="E55" i="6"/>
  <c r="D55" i="6"/>
  <c r="C55" i="6"/>
  <c r="BF54" i="6"/>
  <c r="BE54" i="6"/>
  <c r="BD54" i="6"/>
  <c r="BC54" i="6"/>
  <c r="BB54" i="6"/>
  <c r="BA54" i="6"/>
  <c r="AZ54" i="6"/>
  <c r="AY54" i="6"/>
  <c r="AX54" i="6"/>
  <c r="AW54" i="6"/>
  <c r="AV54" i="6"/>
  <c r="AU54" i="6"/>
  <c r="AT54" i="6"/>
  <c r="AS54" i="6"/>
  <c r="AR54" i="6"/>
  <c r="AQ54" i="6"/>
  <c r="AP54" i="6"/>
  <c r="AO54" i="6"/>
  <c r="AN54" i="6"/>
  <c r="AM54" i="6"/>
  <c r="AL54" i="6"/>
  <c r="AK54" i="6"/>
  <c r="AJ54" i="6"/>
  <c r="AI54" i="6"/>
  <c r="AH54" i="6"/>
  <c r="AG54" i="6"/>
  <c r="AF54" i="6"/>
  <c r="AE54" i="6"/>
  <c r="AD54" i="6"/>
  <c r="AC54" i="6"/>
  <c r="AB54" i="6"/>
  <c r="AA54" i="6"/>
  <c r="Z54" i="6"/>
  <c r="Y54" i="6"/>
  <c r="X54" i="6"/>
  <c r="W54" i="6"/>
  <c r="V54" i="6"/>
  <c r="U54" i="6"/>
  <c r="T54" i="6"/>
  <c r="S54" i="6"/>
  <c r="R54" i="6"/>
  <c r="Q54" i="6"/>
  <c r="P54" i="6"/>
  <c r="O54" i="6"/>
  <c r="N54" i="6"/>
  <c r="M54" i="6"/>
  <c r="L54" i="6"/>
  <c r="K54" i="6"/>
  <c r="J54" i="6"/>
  <c r="I54" i="6"/>
  <c r="H54" i="6"/>
  <c r="G54" i="6"/>
  <c r="F54" i="6"/>
  <c r="E54" i="6"/>
  <c r="D54" i="6"/>
  <c r="C54" i="6"/>
  <c r="BF5" i="6"/>
  <c r="BE5" i="6"/>
  <c r="BD5" i="6"/>
  <c r="BC5" i="6"/>
  <c r="BB5" i="6"/>
  <c r="BA5" i="6"/>
  <c r="AZ5" i="6"/>
  <c r="AY5" i="6"/>
  <c r="AX5" i="6"/>
  <c r="AW5" i="6"/>
  <c r="AV5" i="6"/>
  <c r="AU5" i="6"/>
  <c r="AT5" i="6"/>
  <c r="AS5" i="6"/>
  <c r="AR5" i="6"/>
  <c r="AQ5" i="6"/>
  <c r="AP5" i="6"/>
  <c r="AO5" i="6"/>
  <c r="AN5" i="6"/>
  <c r="AM5" i="6"/>
  <c r="AL5" i="6"/>
  <c r="AK5" i="6"/>
  <c r="AJ5" i="6"/>
  <c r="AI5" i="6"/>
  <c r="AH5" i="6"/>
  <c r="AG5" i="6"/>
  <c r="AF5" i="6"/>
  <c r="AE5" i="6"/>
  <c r="AD5" i="6"/>
  <c r="AC5" i="6"/>
  <c r="AB5" i="6"/>
  <c r="AA5" i="6"/>
  <c r="Z5" i="6"/>
  <c r="Y5" i="6"/>
  <c r="X5" i="6"/>
  <c r="W5" i="6"/>
  <c r="V5" i="6"/>
  <c r="U5" i="6"/>
  <c r="T5" i="6"/>
  <c r="S5" i="6"/>
  <c r="R5" i="6"/>
  <c r="Q5" i="6"/>
  <c r="P5" i="6"/>
  <c r="O5" i="6"/>
  <c r="N5" i="6"/>
  <c r="M5" i="6"/>
  <c r="L5" i="6"/>
  <c r="K5" i="6"/>
  <c r="J5" i="6"/>
  <c r="I5" i="6"/>
  <c r="H5" i="6"/>
  <c r="G5" i="6"/>
  <c r="F5" i="6"/>
  <c r="E5" i="6"/>
  <c r="D5" i="6"/>
  <c r="C5" i="6"/>
  <c r="BF4" i="6"/>
  <c r="BE4" i="6"/>
  <c r="BD4" i="6"/>
  <c r="BC4" i="6"/>
  <c r="BB4" i="6"/>
  <c r="BA4" i="6"/>
  <c r="AZ4" i="6"/>
  <c r="AY4" i="6"/>
  <c r="AX4" i="6"/>
  <c r="AW4" i="6"/>
  <c r="AV4" i="6"/>
  <c r="AU4" i="6"/>
  <c r="AT4" i="6"/>
  <c r="AS4" i="6"/>
  <c r="AR4" i="6"/>
  <c r="AQ4" i="6"/>
  <c r="AP4" i="6"/>
  <c r="AO4" i="6"/>
  <c r="AN4" i="6"/>
  <c r="AM4" i="6"/>
  <c r="AL4" i="6"/>
  <c r="AK4" i="6"/>
  <c r="AJ4" i="6"/>
  <c r="AI4" i="6"/>
  <c r="AH4" i="6"/>
  <c r="AG4" i="6"/>
  <c r="AF4" i="6"/>
  <c r="AE4" i="6"/>
  <c r="AD4" i="6"/>
  <c r="AC4" i="6"/>
  <c r="AB4" i="6"/>
  <c r="AA4" i="6"/>
  <c r="Z4" i="6"/>
  <c r="Y4" i="6"/>
  <c r="X4" i="6"/>
  <c r="W4" i="6"/>
  <c r="V4" i="6"/>
  <c r="U4" i="6"/>
  <c r="T4" i="6"/>
  <c r="S4" i="6"/>
  <c r="R4" i="6"/>
  <c r="Q4" i="6"/>
  <c r="P4" i="6"/>
  <c r="O4" i="6"/>
  <c r="N4" i="6"/>
  <c r="M4" i="6"/>
  <c r="L4" i="6"/>
  <c r="K4" i="6"/>
  <c r="J4" i="6"/>
  <c r="I4" i="6"/>
  <c r="H4" i="6"/>
  <c r="G4" i="6"/>
  <c r="F4" i="6"/>
  <c r="E4" i="6"/>
  <c r="D4" i="6"/>
  <c r="C4" i="6"/>
  <c r="C3" i="2"/>
  <c r="H240" i="3"/>
  <c r="C240" i="3"/>
  <c r="D240" i="3" s="1"/>
  <c r="G240" i="3" s="1"/>
  <c r="A240" i="3"/>
  <c r="H239" i="3"/>
  <c r="C239" i="3"/>
  <c r="D239" i="3" s="1"/>
  <c r="G239" i="3" s="1"/>
  <c r="A239" i="3"/>
  <c r="H238" i="3"/>
  <c r="C238" i="3"/>
  <c r="D238" i="3" s="1"/>
  <c r="G238" i="3" s="1"/>
  <c r="A238" i="3"/>
  <c r="H237" i="3"/>
  <c r="C237" i="3"/>
  <c r="D237" i="3" s="1"/>
  <c r="G237" i="3" s="1"/>
  <c r="A237" i="3"/>
  <c r="H236" i="3"/>
  <c r="C236" i="3"/>
  <c r="D236" i="3" s="1"/>
  <c r="G236" i="3" s="1"/>
  <c r="A236" i="3"/>
  <c r="H235" i="3"/>
  <c r="C235" i="3"/>
  <c r="D235" i="3" s="1"/>
  <c r="G235" i="3" s="1"/>
  <c r="A235" i="3"/>
  <c r="H234" i="3"/>
  <c r="C234" i="3"/>
  <c r="D234" i="3" s="1"/>
  <c r="G234" i="3" s="1"/>
  <c r="A234" i="3"/>
  <c r="H233" i="3"/>
  <c r="C233" i="3"/>
  <c r="D233" i="3" s="1"/>
  <c r="G233" i="3" s="1"/>
  <c r="A233" i="3"/>
  <c r="H232" i="3"/>
  <c r="C232" i="3"/>
  <c r="D232" i="3" s="1"/>
  <c r="G232" i="3" s="1"/>
  <c r="A232" i="3"/>
  <c r="H231" i="3"/>
  <c r="C231" i="3"/>
  <c r="D231" i="3" s="1"/>
  <c r="G231" i="3" s="1"/>
  <c r="A231" i="3"/>
  <c r="H230" i="3"/>
  <c r="C230" i="3"/>
  <c r="D230" i="3" s="1"/>
  <c r="G230" i="3" s="1"/>
  <c r="A230" i="3"/>
  <c r="H229" i="3"/>
  <c r="C229" i="3"/>
  <c r="D229" i="3" s="1"/>
  <c r="G229" i="3" s="1"/>
  <c r="A229" i="3"/>
  <c r="H228" i="3"/>
  <c r="C228" i="3"/>
  <c r="D228" i="3" s="1"/>
  <c r="G228" i="3" s="1"/>
  <c r="A228" i="3"/>
  <c r="H227" i="3"/>
  <c r="C227" i="3"/>
  <c r="D227" i="3" s="1"/>
  <c r="G227" i="3" s="1"/>
  <c r="A227" i="3"/>
  <c r="H226" i="3"/>
  <c r="C226" i="3"/>
  <c r="D226" i="3" s="1"/>
  <c r="G226" i="3" s="1"/>
  <c r="A226" i="3"/>
  <c r="H225" i="3"/>
  <c r="C225" i="3"/>
  <c r="D225" i="3" s="1"/>
  <c r="G225" i="3" s="1"/>
  <c r="A225" i="3"/>
  <c r="H224" i="3"/>
  <c r="G224" i="3"/>
  <c r="C224" i="3"/>
  <c r="D224" i="3" s="1"/>
  <c r="A224" i="3"/>
  <c r="H223" i="3"/>
  <c r="G223" i="3"/>
  <c r="C223" i="3"/>
  <c r="D223" i="3" s="1"/>
  <c r="A223" i="3"/>
  <c r="H222" i="3"/>
  <c r="G222" i="3"/>
  <c r="C222" i="3"/>
  <c r="D222" i="3" s="1"/>
  <c r="A222" i="3"/>
  <c r="H221" i="3"/>
  <c r="G221" i="3"/>
  <c r="C221" i="3"/>
  <c r="D221" i="3" s="1"/>
  <c r="A221" i="3"/>
  <c r="H220" i="3"/>
  <c r="G220" i="3"/>
  <c r="C220" i="3"/>
  <c r="D220" i="3" s="1"/>
  <c r="A220" i="3"/>
  <c r="H219" i="3"/>
  <c r="G219" i="3"/>
  <c r="C219" i="3"/>
  <c r="D219" i="3" s="1"/>
  <c r="A219" i="3"/>
  <c r="H218" i="3"/>
  <c r="G218" i="3"/>
  <c r="C218" i="3"/>
  <c r="D218" i="3" s="1"/>
  <c r="A218" i="3"/>
  <c r="H217" i="3"/>
  <c r="G217" i="3"/>
  <c r="C217" i="3"/>
  <c r="D217" i="3" s="1"/>
  <c r="A217" i="3"/>
  <c r="H216" i="3"/>
  <c r="G216" i="3"/>
  <c r="C216" i="3"/>
  <c r="D216" i="3" s="1"/>
  <c r="A216" i="3"/>
  <c r="H215" i="3"/>
  <c r="G215" i="3"/>
  <c r="C215" i="3"/>
  <c r="D215" i="3" s="1"/>
  <c r="A215" i="3"/>
  <c r="H214" i="3"/>
  <c r="G214" i="3"/>
  <c r="C214" i="3"/>
  <c r="D214" i="3" s="1"/>
  <c r="A214" i="3"/>
  <c r="H213" i="3"/>
  <c r="G213" i="3"/>
  <c r="C213" i="3"/>
  <c r="D213" i="3" s="1"/>
  <c r="A213" i="3"/>
  <c r="H212" i="3"/>
  <c r="G212" i="3"/>
  <c r="C212" i="3"/>
  <c r="D212" i="3" s="1"/>
  <c r="A212" i="3"/>
  <c r="H211" i="3"/>
  <c r="G211" i="3"/>
  <c r="C211" i="3"/>
  <c r="D211" i="3" s="1"/>
  <c r="A211" i="3"/>
  <c r="H210" i="3"/>
  <c r="G210" i="3"/>
  <c r="C210" i="3"/>
  <c r="D210" i="3" s="1"/>
  <c r="A210" i="3"/>
  <c r="H209" i="3"/>
  <c r="G209" i="3"/>
  <c r="C209" i="3"/>
  <c r="D209" i="3" s="1"/>
  <c r="A209" i="3"/>
  <c r="H208" i="3"/>
  <c r="G208" i="3"/>
  <c r="C208" i="3"/>
  <c r="D208" i="3" s="1"/>
  <c r="A208" i="3"/>
  <c r="H207" i="3"/>
  <c r="G207" i="3"/>
  <c r="C207" i="3"/>
  <c r="D207" i="3" s="1"/>
  <c r="A207" i="3"/>
  <c r="H206" i="3"/>
  <c r="G206" i="3"/>
  <c r="C206" i="3"/>
  <c r="D206" i="3" s="1"/>
  <c r="A206" i="3"/>
  <c r="H205" i="3"/>
  <c r="G205" i="3"/>
  <c r="C205" i="3"/>
  <c r="D205" i="3" s="1"/>
  <c r="A205" i="3"/>
  <c r="H204" i="3"/>
  <c r="G204" i="3"/>
  <c r="C204" i="3"/>
  <c r="D204" i="3" s="1"/>
  <c r="A204" i="3"/>
  <c r="H203" i="3"/>
  <c r="G203" i="3"/>
  <c r="C203" i="3"/>
  <c r="D203" i="3" s="1"/>
  <c r="A203" i="3"/>
  <c r="H202" i="3"/>
  <c r="G202" i="3"/>
  <c r="C202" i="3"/>
  <c r="D202" i="3" s="1"/>
  <c r="A202" i="3"/>
  <c r="H201" i="3"/>
  <c r="G201" i="3"/>
  <c r="C201" i="3"/>
  <c r="D201" i="3" s="1"/>
  <c r="A201" i="3"/>
  <c r="H200" i="3"/>
  <c r="G200" i="3"/>
  <c r="C200" i="3"/>
  <c r="D200" i="3" s="1"/>
  <c r="A200" i="3"/>
  <c r="H199" i="3"/>
  <c r="G199" i="3"/>
  <c r="C199" i="3"/>
  <c r="D199" i="3" s="1"/>
  <c r="A199" i="3"/>
  <c r="H198" i="3"/>
  <c r="G198" i="3"/>
  <c r="C198" i="3"/>
  <c r="D198" i="3" s="1"/>
  <c r="A198" i="3"/>
  <c r="H197" i="3"/>
  <c r="G197" i="3"/>
  <c r="C197" i="3"/>
  <c r="D197" i="3" s="1"/>
  <c r="A197" i="3"/>
  <c r="H196" i="3"/>
  <c r="G196" i="3"/>
  <c r="C196" i="3"/>
  <c r="D196" i="3" s="1"/>
  <c r="A196" i="3"/>
  <c r="H195" i="3"/>
  <c r="G195" i="3"/>
  <c r="C195" i="3"/>
  <c r="D195" i="3" s="1"/>
  <c r="A195" i="3"/>
  <c r="H194" i="3"/>
  <c r="G194" i="3"/>
  <c r="C194" i="3"/>
  <c r="D194" i="3" s="1"/>
  <c r="A194" i="3"/>
  <c r="H193" i="3"/>
  <c r="G193" i="3"/>
  <c r="C193" i="3"/>
  <c r="D193" i="3" s="1"/>
  <c r="A193" i="3"/>
  <c r="H192" i="3"/>
  <c r="G192" i="3"/>
  <c r="C192" i="3"/>
  <c r="D192" i="3" s="1"/>
  <c r="A192" i="3"/>
  <c r="H191" i="3"/>
  <c r="G191" i="3"/>
  <c r="C191" i="3"/>
  <c r="D191" i="3" s="1"/>
  <c r="A191" i="3"/>
  <c r="H190" i="3"/>
  <c r="G190" i="3"/>
  <c r="C190" i="3"/>
  <c r="D190" i="3" s="1"/>
  <c r="A190" i="3"/>
  <c r="H189" i="3"/>
  <c r="G189" i="3"/>
  <c r="C189" i="3"/>
  <c r="D189" i="3" s="1"/>
  <c r="A189" i="3"/>
  <c r="H188" i="3"/>
  <c r="G188" i="3"/>
  <c r="C188" i="3"/>
  <c r="D188" i="3" s="1"/>
  <c r="A188" i="3"/>
  <c r="H187" i="3"/>
  <c r="G187" i="3"/>
  <c r="C187" i="3"/>
  <c r="D187" i="3" s="1"/>
  <c r="A187" i="3"/>
  <c r="H186" i="3"/>
  <c r="G186" i="3"/>
  <c r="C186" i="3"/>
  <c r="D186" i="3" s="1"/>
  <c r="A186" i="3"/>
  <c r="H185" i="3"/>
  <c r="G185" i="3"/>
  <c r="C185" i="3"/>
  <c r="D185" i="3" s="1"/>
  <c r="A185" i="3"/>
  <c r="H184" i="3"/>
  <c r="G184" i="3"/>
  <c r="C184" i="3"/>
  <c r="D184" i="3" s="1"/>
  <c r="A184" i="3"/>
  <c r="H183" i="3"/>
  <c r="G183" i="3"/>
  <c r="C183" i="3"/>
  <c r="D183" i="3" s="1"/>
  <c r="A183" i="3"/>
  <c r="H182" i="3"/>
  <c r="G182" i="3"/>
  <c r="C182" i="3"/>
  <c r="D182" i="3" s="1"/>
  <c r="A182" i="3"/>
  <c r="H181" i="3"/>
  <c r="G181" i="3"/>
  <c r="C181" i="3"/>
  <c r="D181" i="3" s="1"/>
  <c r="A181" i="3"/>
  <c r="H180" i="3"/>
  <c r="G180" i="3"/>
  <c r="C180" i="3"/>
  <c r="D180" i="3" s="1"/>
  <c r="A180" i="3"/>
  <c r="H179" i="3"/>
  <c r="G179" i="3"/>
  <c r="C179" i="3"/>
  <c r="D179" i="3" s="1"/>
  <c r="A179" i="3"/>
  <c r="H178" i="3"/>
  <c r="G178" i="3"/>
  <c r="C178" i="3"/>
  <c r="D178" i="3" s="1"/>
  <c r="A178" i="3"/>
  <c r="H177" i="3"/>
  <c r="G177" i="3"/>
  <c r="C177" i="3"/>
  <c r="D177" i="3" s="1"/>
  <c r="A177" i="3"/>
  <c r="H176" i="3"/>
  <c r="G176" i="3"/>
  <c r="C176" i="3"/>
  <c r="D176" i="3" s="1"/>
  <c r="A176" i="3"/>
  <c r="H175" i="3"/>
  <c r="G175" i="3"/>
  <c r="C175" i="3"/>
  <c r="D175" i="3" s="1"/>
  <c r="A175" i="3"/>
  <c r="H174" i="3"/>
  <c r="G174" i="3"/>
  <c r="C174" i="3"/>
  <c r="D174" i="3" s="1"/>
  <c r="A174" i="3"/>
  <c r="H173" i="3"/>
  <c r="G173" i="3"/>
  <c r="C173" i="3"/>
  <c r="D173" i="3" s="1"/>
  <c r="A173" i="3"/>
  <c r="H172" i="3"/>
  <c r="G172" i="3"/>
  <c r="C172" i="3"/>
  <c r="D172" i="3" s="1"/>
  <c r="A172" i="3"/>
  <c r="H171" i="3"/>
  <c r="G171" i="3"/>
  <c r="C171" i="3"/>
  <c r="D171" i="3" s="1"/>
  <c r="A171" i="3"/>
  <c r="H170" i="3"/>
  <c r="G170" i="3"/>
  <c r="C170" i="3"/>
  <c r="D170" i="3" s="1"/>
  <c r="A170" i="3"/>
  <c r="H169" i="3"/>
  <c r="G169" i="3"/>
  <c r="C169" i="3"/>
  <c r="D169" i="3" s="1"/>
  <c r="A169" i="3"/>
  <c r="H168" i="3"/>
  <c r="G168" i="3"/>
  <c r="C168" i="3"/>
  <c r="D168" i="3" s="1"/>
  <c r="A168" i="3"/>
  <c r="H167" i="3"/>
  <c r="G167" i="3"/>
  <c r="C167" i="3"/>
  <c r="D167" i="3" s="1"/>
  <c r="A167" i="3"/>
  <c r="H166" i="3"/>
  <c r="G166" i="3"/>
  <c r="C166" i="3"/>
  <c r="D166" i="3" s="1"/>
  <c r="A166" i="3"/>
  <c r="H165" i="3"/>
  <c r="G165" i="3"/>
  <c r="C165" i="3"/>
  <c r="D165" i="3" s="1"/>
  <c r="A165" i="3"/>
  <c r="H164" i="3"/>
  <c r="G164" i="3"/>
  <c r="C164" i="3"/>
  <c r="D164" i="3" s="1"/>
  <c r="A164" i="3"/>
  <c r="H163" i="3"/>
  <c r="G163" i="3"/>
  <c r="C163" i="3"/>
  <c r="D163" i="3" s="1"/>
  <c r="A163" i="3"/>
  <c r="H162" i="3"/>
  <c r="G162" i="3"/>
  <c r="C162" i="3"/>
  <c r="D162" i="3" s="1"/>
  <c r="A162" i="3"/>
  <c r="H161" i="3"/>
  <c r="G161" i="3"/>
  <c r="C161" i="3"/>
  <c r="D161" i="3" s="1"/>
  <c r="A161" i="3"/>
  <c r="H160" i="3"/>
  <c r="G160" i="3"/>
  <c r="C160" i="3"/>
  <c r="D160" i="3" s="1"/>
  <c r="A160" i="3"/>
  <c r="H159" i="3"/>
  <c r="G159" i="3"/>
  <c r="C159" i="3"/>
  <c r="D159" i="3" s="1"/>
  <c r="A159" i="3"/>
  <c r="H158" i="3"/>
  <c r="G158" i="3"/>
  <c r="C158" i="3"/>
  <c r="D158" i="3" s="1"/>
  <c r="A158" i="3"/>
  <c r="H157" i="3"/>
  <c r="G157" i="3"/>
  <c r="C157" i="3"/>
  <c r="D157" i="3" s="1"/>
  <c r="A157" i="3"/>
  <c r="H156" i="3"/>
  <c r="G156" i="3"/>
  <c r="C156" i="3"/>
  <c r="D156" i="3" s="1"/>
  <c r="A156" i="3"/>
  <c r="H155" i="3"/>
  <c r="G155" i="3"/>
  <c r="C155" i="3"/>
  <c r="D155" i="3" s="1"/>
  <c r="A155" i="3"/>
  <c r="H154" i="3"/>
  <c r="G154" i="3"/>
  <c r="C154" i="3"/>
  <c r="D154" i="3" s="1"/>
  <c r="A154" i="3"/>
  <c r="H153" i="3"/>
  <c r="G153" i="3"/>
  <c r="C153" i="3"/>
  <c r="D153" i="3" s="1"/>
  <c r="A153" i="3"/>
  <c r="H152" i="3"/>
  <c r="G152" i="3"/>
  <c r="C152" i="3"/>
  <c r="D152" i="3" s="1"/>
  <c r="A152" i="3"/>
  <c r="H151" i="3"/>
  <c r="G151" i="3"/>
  <c r="C151" i="3"/>
  <c r="D151" i="3" s="1"/>
  <c r="A151" i="3"/>
  <c r="H150" i="3"/>
  <c r="G150" i="3"/>
  <c r="C150" i="3"/>
  <c r="D150" i="3" s="1"/>
  <c r="A150" i="3"/>
  <c r="H149" i="3"/>
  <c r="G149" i="3"/>
  <c r="C149" i="3"/>
  <c r="D149" i="3" s="1"/>
  <c r="A149" i="3"/>
  <c r="H148" i="3"/>
  <c r="G148" i="3"/>
  <c r="C148" i="3"/>
  <c r="D148" i="3" s="1"/>
  <c r="A148" i="3"/>
  <c r="H147" i="3"/>
  <c r="G147" i="3"/>
  <c r="C147" i="3"/>
  <c r="D147" i="3" s="1"/>
  <c r="A147" i="3"/>
  <c r="H146" i="3"/>
  <c r="C146" i="3"/>
  <c r="D146" i="3" s="1"/>
  <c r="G146" i="3" s="1"/>
  <c r="A146" i="3"/>
  <c r="H145" i="3"/>
  <c r="C145" i="3"/>
  <c r="D145" i="3" s="1"/>
  <c r="G145" i="3" s="1"/>
  <c r="A145" i="3"/>
  <c r="H144" i="3"/>
  <c r="C144" i="3"/>
  <c r="D144" i="3" s="1"/>
  <c r="G144" i="3" s="1"/>
  <c r="A144" i="3"/>
  <c r="H143" i="3"/>
  <c r="C143" i="3"/>
  <c r="D143" i="3" s="1"/>
  <c r="G143" i="3" s="1"/>
  <c r="A143" i="3"/>
  <c r="H142" i="3"/>
  <c r="C142" i="3"/>
  <c r="D142" i="3" s="1"/>
  <c r="G142" i="3" s="1"/>
  <c r="A142" i="3"/>
  <c r="H141" i="3"/>
  <c r="C141" i="3"/>
  <c r="D141" i="3" s="1"/>
  <c r="G141" i="3" s="1"/>
  <c r="A141" i="3"/>
  <c r="H140" i="3"/>
  <c r="C140" i="3"/>
  <c r="D140" i="3" s="1"/>
  <c r="G140" i="3" s="1"/>
  <c r="A140" i="3"/>
  <c r="H139" i="3"/>
  <c r="C139" i="3"/>
  <c r="D139" i="3" s="1"/>
  <c r="G139" i="3" s="1"/>
  <c r="A139" i="3"/>
  <c r="H138" i="3"/>
  <c r="C138" i="3"/>
  <c r="D138" i="3" s="1"/>
  <c r="G138" i="3" s="1"/>
  <c r="A138" i="3"/>
  <c r="H137" i="3"/>
  <c r="C137" i="3"/>
  <c r="D137" i="3" s="1"/>
  <c r="G137" i="3" s="1"/>
  <c r="A137" i="3"/>
  <c r="H136" i="3"/>
  <c r="C136" i="3"/>
  <c r="D136" i="3" s="1"/>
  <c r="G136" i="3" s="1"/>
  <c r="A136" i="3"/>
  <c r="H135" i="3"/>
  <c r="C135" i="3"/>
  <c r="D135" i="3" s="1"/>
  <c r="G135" i="3" s="1"/>
  <c r="A135" i="3"/>
  <c r="H134" i="3"/>
  <c r="C134" i="3"/>
  <c r="D134" i="3" s="1"/>
  <c r="G134" i="3" s="1"/>
  <c r="A134" i="3"/>
  <c r="H133" i="3"/>
  <c r="C133" i="3"/>
  <c r="D133" i="3" s="1"/>
  <c r="G133" i="3" s="1"/>
  <c r="A133" i="3"/>
  <c r="H132" i="3"/>
  <c r="C132" i="3"/>
  <c r="D132" i="3" s="1"/>
  <c r="G132" i="3" s="1"/>
  <c r="A132" i="3"/>
  <c r="H131" i="3"/>
  <c r="C131" i="3"/>
  <c r="D131" i="3" s="1"/>
  <c r="G131" i="3" s="1"/>
  <c r="A131" i="3"/>
  <c r="H130" i="3"/>
  <c r="C130" i="3"/>
  <c r="D130" i="3" s="1"/>
  <c r="G130" i="3" s="1"/>
  <c r="A130" i="3"/>
  <c r="H129" i="3"/>
  <c r="C129" i="3"/>
  <c r="D129" i="3" s="1"/>
  <c r="G129" i="3" s="1"/>
  <c r="A129" i="3"/>
  <c r="H128" i="3"/>
  <c r="C128" i="3"/>
  <c r="D128" i="3" s="1"/>
  <c r="G128" i="3" s="1"/>
  <c r="A128" i="3"/>
  <c r="H127" i="3"/>
  <c r="C127" i="3"/>
  <c r="D127" i="3" s="1"/>
  <c r="G127" i="3" s="1"/>
  <c r="A127" i="3"/>
  <c r="H126" i="3"/>
  <c r="C126" i="3"/>
  <c r="D126" i="3" s="1"/>
  <c r="G126" i="3" s="1"/>
  <c r="A126" i="3"/>
  <c r="H125" i="3"/>
  <c r="C125" i="3"/>
  <c r="D125" i="3" s="1"/>
  <c r="G125" i="3" s="1"/>
  <c r="A125" i="3"/>
  <c r="H124" i="3"/>
  <c r="C124" i="3"/>
  <c r="D124" i="3" s="1"/>
  <c r="G124" i="3" s="1"/>
  <c r="A124" i="3"/>
  <c r="H123" i="3"/>
  <c r="C123" i="3"/>
  <c r="D123" i="3" s="1"/>
  <c r="G123" i="3" s="1"/>
  <c r="A123" i="3"/>
  <c r="H122" i="3"/>
  <c r="C122" i="3"/>
  <c r="D122" i="3" s="1"/>
  <c r="G122" i="3" s="1"/>
  <c r="A122" i="3"/>
  <c r="H121" i="3"/>
  <c r="C121" i="3"/>
  <c r="D121" i="3" s="1"/>
  <c r="G121" i="3" s="1"/>
  <c r="A121" i="3"/>
  <c r="H120" i="3"/>
  <c r="C120" i="3"/>
  <c r="D120" i="3" s="1"/>
  <c r="G120" i="3" s="1"/>
  <c r="A120" i="3"/>
  <c r="H119" i="3"/>
  <c r="C119" i="3"/>
  <c r="D119" i="3" s="1"/>
  <c r="G119" i="3" s="1"/>
  <c r="A119" i="3"/>
  <c r="H118" i="3"/>
  <c r="C118" i="3"/>
  <c r="D118" i="3" s="1"/>
  <c r="G118" i="3" s="1"/>
  <c r="A118" i="3"/>
  <c r="H117" i="3"/>
  <c r="C117" i="3"/>
  <c r="D117" i="3" s="1"/>
  <c r="G117" i="3" s="1"/>
  <c r="A117" i="3"/>
  <c r="H116" i="3"/>
  <c r="C116" i="3"/>
  <c r="D116" i="3" s="1"/>
  <c r="G116" i="3" s="1"/>
  <c r="A116" i="3"/>
  <c r="H115" i="3"/>
  <c r="C115" i="3"/>
  <c r="D115" i="3" s="1"/>
  <c r="G115" i="3" s="1"/>
  <c r="A115" i="3"/>
  <c r="H114" i="3"/>
  <c r="C114" i="3"/>
  <c r="D114" i="3" s="1"/>
  <c r="G114" i="3" s="1"/>
  <c r="A114" i="3"/>
  <c r="H113" i="3"/>
  <c r="C113" i="3"/>
  <c r="D113" i="3" s="1"/>
  <c r="G113" i="3" s="1"/>
  <c r="A113" i="3"/>
  <c r="H112" i="3"/>
  <c r="C112" i="3"/>
  <c r="D112" i="3" s="1"/>
  <c r="G112" i="3" s="1"/>
  <c r="A112" i="3"/>
  <c r="H111" i="3"/>
  <c r="C111" i="3"/>
  <c r="D111" i="3" s="1"/>
  <c r="G111" i="3" s="1"/>
  <c r="A111" i="3"/>
  <c r="H110" i="3"/>
  <c r="C110" i="3"/>
  <c r="D110" i="3" s="1"/>
  <c r="G110" i="3" s="1"/>
  <c r="A110" i="3"/>
  <c r="H109" i="3"/>
  <c r="C109" i="3"/>
  <c r="D109" i="3" s="1"/>
  <c r="G109" i="3" s="1"/>
  <c r="A109" i="3"/>
  <c r="H108" i="3"/>
  <c r="C108" i="3"/>
  <c r="D108" i="3" s="1"/>
  <c r="G108" i="3" s="1"/>
  <c r="A108" i="3"/>
  <c r="H107" i="3"/>
  <c r="C107" i="3"/>
  <c r="D107" i="3" s="1"/>
  <c r="G107" i="3" s="1"/>
  <c r="A107" i="3"/>
  <c r="H106" i="3"/>
  <c r="C106" i="3"/>
  <c r="D106" i="3" s="1"/>
  <c r="G106" i="3" s="1"/>
  <c r="A106" i="3"/>
  <c r="H105" i="3"/>
  <c r="C105" i="3"/>
  <c r="D105" i="3" s="1"/>
  <c r="G105" i="3" s="1"/>
  <c r="A105" i="3"/>
  <c r="H104" i="3"/>
  <c r="C104" i="3"/>
  <c r="D104" i="3" s="1"/>
  <c r="G104" i="3" s="1"/>
  <c r="A104" i="3"/>
  <c r="H103" i="3"/>
  <c r="C103" i="3"/>
  <c r="D103" i="3" s="1"/>
  <c r="G103" i="3" s="1"/>
  <c r="A103" i="3"/>
  <c r="H102" i="3"/>
  <c r="C102" i="3"/>
  <c r="D102" i="3" s="1"/>
  <c r="G102" i="3" s="1"/>
  <c r="A102" i="3"/>
  <c r="H101" i="3"/>
  <c r="C101" i="3"/>
  <c r="D101" i="3" s="1"/>
  <c r="G101" i="3" s="1"/>
  <c r="A101" i="3"/>
  <c r="H100" i="3"/>
  <c r="C100" i="3"/>
  <c r="D100" i="3" s="1"/>
  <c r="G100" i="3" s="1"/>
  <c r="A100" i="3"/>
  <c r="H99" i="3"/>
  <c r="C99" i="3"/>
  <c r="D99" i="3" s="1"/>
  <c r="G99" i="3" s="1"/>
  <c r="A99" i="3"/>
  <c r="H98" i="3"/>
  <c r="C98" i="3"/>
  <c r="D98" i="3" s="1"/>
  <c r="G98" i="3" s="1"/>
  <c r="A98" i="3"/>
  <c r="H97" i="3"/>
  <c r="C97" i="3"/>
  <c r="D97" i="3" s="1"/>
  <c r="G97" i="3" s="1"/>
  <c r="A97" i="3"/>
  <c r="H96" i="3"/>
  <c r="C96" i="3"/>
  <c r="D96" i="3" s="1"/>
  <c r="G96" i="3" s="1"/>
  <c r="A96" i="3"/>
  <c r="H95" i="3"/>
  <c r="C95" i="3"/>
  <c r="D95" i="3" s="1"/>
  <c r="G95" i="3" s="1"/>
  <c r="A95" i="3"/>
  <c r="H94" i="3"/>
  <c r="C94" i="3"/>
  <c r="D94" i="3" s="1"/>
  <c r="G94" i="3" s="1"/>
  <c r="A94" i="3"/>
  <c r="H93" i="3"/>
  <c r="C93" i="3"/>
  <c r="D93" i="3" s="1"/>
  <c r="G93" i="3" s="1"/>
  <c r="A93" i="3"/>
  <c r="G92" i="3"/>
  <c r="H91" i="3"/>
  <c r="C91" i="3"/>
  <c r="D91" i="3" s="1"/>
  <c r="G91" i="3" s="1"/>
  <c r="A91" i="3"/>
  <c r="H90" i="3"/>
  <c r="C90" i="3"/>
  <c r="D90" i="3" s="1"/>
  <c r="G90" i="3" s="1"/>
  <c r="A90" i="3"/>
  <c r="H89" i="3"/>
  <c r="C89" i="3"/>
  <c r="D89" i="3" s="1"/>
  <c r="G89" i="3" s="1"/>
  <c r="A89" i="3"/>
  <c r="H88" i="3"/>
  <c r="C88" i="3"/>
  <c r="D88" i="3" s="1"/>
  <c r="G88" i="3" s="1"/>
  <c r="A88" i="3"/>
  <c r="H87" i="3"/>
  <c r="C87" i="3"/>
  <c r="D87" i="3" s="1"/>
  <c r="G87" i="3" s="1"/>
  <c r="A87" i="3"/>
  <c r="H86" i="3"/>
  <c r="C86" i="3"/>
  <c r="D86" i="3" s="1"/>
  <c r="G86" i="3" s="1"/>
  <c r="A86" i="3"/>
  <c r="H85" i="3"/>
  <c r="C85" i="3"/>
  <c r="D85" i="3" s="1"/>
  <c r="G85" i="3" s="1"/>
  <c r="A85" i="3"/>
  <c r="H84" i="3"/>
  <c r="C84" i="3"/>
  <c r="D84" i="3" s="1"/>
  <c r="G84" i="3" s="1"/>
  <c r="A84" i="3"/>
  <c r="H83" i="3"/>
  <c r="C83" i="3"/>
  <c r="D83" i="3" s="1"/>
  <c r="G83" i="3" s="1"/>
  <c r="A83" i="3"/>
  <c r="H82" i="3"/>
  <c r="C82" i="3"/>
  <c r="D82" i="3" s="1"/>
  <c r="G82" i="3" s="1"/>
  <c r="A82" i="3"/>
  <c r="H81" i="3"/>
  <c r="C81" i="3"/>
  <c r="D81" i="3" s="1"/>
  <c r="G81" i="3" s="1"/>
  <c r="E19" i="5" s="1"/>
  <c r="A81" i="3"/>
  <c r="H80" i="3"/>
  <c r="C80" i="3"/>
  <c r="D80" i="3" s="1"/>
  <c r="G80" i="3" s="1"/>
  <c r="A80" i="3"/>
  <c r="H79" i="3"/>
  <c r="C79" i="3"/>
  <c r="D79" i="3" s="1"/>
  <c r="G79" i="3" s="1"/>
  <c r="A79" i="3"/>
  <c r="H78" i="3"/>
  <c r="C78" i="3"/>
  <c r="D78" i="3" s="1"/>
  <c r="G78" i="3" s="1"/>
  <c r="A78" i="3"/>
  <c r="H77" i="3"/>
  <c r="C77" i="3"/>
  <c r="D77" i="3" s="1"/>
  <c r="G77" i="3" s="1"/>
  <c r="A77" i="3"/>
  <c r="H76" i="3"/>
  <c r="C76" i="3"/>
  <c r="D76" i="3" s="1"/>
  <c r="G76" i="3" s="1"/>
  <c r="A76" i="3"/>
  <c r="H75" i="3"/>
  <c r="C75" i="3"/>
  <c r="D75" i="3" s="1"/>
  <c r="G75" i="3" s="1"/>
  <c r="A75" i="3"/>
  <c r="H74" i="3"/>
  <c r="C74" i="3"/>
  <c r="D74" i="3" s="1"/>
  <c r="G74" i="3" s="1"/>
  <c r="A74" i="3"/>
  <c r="H73" i="3"/>
  <c r="C73" i="3"/>
  <c r="D73" i="3" s="1"/>
  <c r="G73" i="3" s="1"/>
  <c r="E28" i="5" s="1"/>
  <c r="A73" i="3"/>
  <c r="H72" i="3"/>
  <c r="C72" i="3"/>
  <c r="D72" i="3" s="1"/>
  <c r="G72" i="3" s="1"/>
  <c r="A72" i="3"/>
  <c r="H71" i="3"/>
  <c r="C71" i="3"/>
  <c r="D71" i="3" s="1"/>
  <c r="G71" i="3" s="1"/>
  <c r="A71" i="3"/>
  <c r="H70" i="3"/>
  <c r="C70" i="3"/>
  <c r="D70" i="3" s="1"/>
  <c r="G70" i="3" s="1"/>
  <c r="A70" i="3"/>
  <c r="H69" i="3"/>
  <c r="C69" i="3"/>
  <c r="D69" i="3" s="1"/>
  <c r="G69" i="3" s="1"/>
  <c r="A69" i="3"/>
  <c r="H68" i="3"/>
  <c r="C68" i="3"/>
  <c r="D68" i="3" s="1"/>
  <c r="G68" i="3" s="1"/>
  <c r="A68" i="3"/>
  <c r="H67" i="3"/>
  <c r="C67" i="3"/>
  <c r="D67" i="3" s="1"/>
  <c r="G67" i="3" s="1"/>
  <c r="A67" i="3"/>
  <c r="H66" i="3"/>
  <c r="C66" i="3"/>
  <c r="D66" i="3" s="1"/>
  <c r="G66" i="3" s="1"/>
  <c r="A66" i="3"/>
  <c r="H65" i="3"/>
  <c r="C65" i="3"/>
  <c r="D65" i="3" s="1"/>
  <c r="G65" i="3" s="1"/>
  <c r="A65" i="3"/>
  <c r="H64" i="3"/>
  <c r="C64" i="3"/>
  <c r="D64" i="3" s="1"/>
  <c r="G64" i="3" s="1"/>
  <c r="A64" i="3"/>
  <c r="H63" i="3"/>
  <c r="C63" i="3"/>
  <c r="D63" i="3" s="1"/>
  <c r="G63" i="3" s="1"/>
  <c r="A63" i="3"/>
  <c r="H62" i="3"/>
  <c r="C62" i="3"/>
  <c r="D62" i="3" s="1"/>
  <c r="G62" i="3" s="1"/>
  <c r="A62" i="3"/>
  <c r="H61" i="3"/>
  <c r="C61" i="3"/>
  <c r="D61" i="3" s="1"/>
  <c r="G61" i="3" s="1"/>
  <c r="A61" i="3"/>
  <c r="H60" i="3"/>
  <c r="C60" i="3"/>
  <c r="D60" i="3" s="1"/>
  <c r="G60" i="3" s="1"/>
  <c r="A60" i="3"/>
  <c r="H59" i="3"/>
  <c r="C59" i="3"/>
  <c r="D59" i="3" s="1"/>
  <c r="G59" i="3" s="1"/>
  <c r="A59" i="3"/>
  <c r="H58" i="3"/>
  <c r="C58" i="3"/>
  <c r="D58" i="3" s="1"/>
  <c r="G58" i="3" s="1"/>
  <c r="A58" i="3"/>
  <c r="H57" i="3"/>
  <c r="C57" i="3"/>
  <c r="D57" i="3" s="1"/>
  <c r="G57" i="3" s="1"/>
  <c r="A57" i="3"/>
  <c r="H56" i="3"/>
  <c r="C56" i="3"/>
  <c r="D56" i="3" s="1"/>
  <c r="G56" i="3" s="1"/>
  <c r="A56" i="3"/>
  <c r="H55" i="3"/>
  <c r="C55" i="3"/>
  <c r="D55" i="3" s="1"/>
  <c r="G55" i="3" s="1"/>
  <c r="A55" i="3"/>
  <c r="H54" i="3"/>
  <c r="C54" i="3"/>
  <c r="D54" i="3" s="1"/>
  <c r="G54" i="3" s="1"/>
  <c r="A54" i="3"/>
  <c r="H53" i="3"/>
  <c r="C53" i="3"/>
  <c r="D53" i="3" s="1"/>
  <c r="G53" i="3" s="1"/>
  <c r="A53" i="3"/>
  <c r="H52" i="3"/>
  <c r="C52" i="3"/>
  <c r="D52" i="3" s="1"/>
  <c r="G52" i="3" s="1"/>
  <c r="A52" i="3"/>
  <c r="H51" i="3"/>
  <c r="C51" i="3"/>
  <c r="D51" i="3" s="1"/>
  <c r="G51" i="3" s="1"/>
  <c r="A51" i="3"/>
  <c r="H50" i="3"/>
  <c r="C50" i="3"/>
  <c r="D50" i="3" s="1"/>
  <c r="G50" i="3" s="1"/>
  <c r="A50" i="3"/>
  <c r="H49" i="3"/>
  <c r="C49" i="3"/>
  <c r="D49" i="3" s="1"/>
  <c r="G49" i="3" s="1"/>
  <c r="A49" i="3"/>
  <c r="H48" i="3"/>
  <c r="C48" i="3"/>
  <c r="D48" i="3" s="1"/>
  <c r="G48" i="3" s="1"/>
  <c r="A48" i="3"/>
  <c r="H47" i="3"/>
  <c r="C47" i="3"/>
  <c r="D47" i="3" s="1"/>
  <c r="G47" i="3" s="1"/>
  <c r="A47" i="3"/>
  <c r="H46" i="3"/>
  <c r="C46" i="3"/>
  <c r="D46" i="3" s="1"/>
  <c r="G46" i="3" s="1"/>
  <c r="A46" i="3"/>
  <c r="H45" i="3"/>
  <c r="C45" i="3"/>
  <c r="D45" i="3" s="1"/>
  <c r="G45" i="3" s="1"/>
  <c r="A45" i="3"/>
  <c r="H44" i="3"/>
  <c r="C44" i="3"/>
  <c r="D44" i="3" s="1"/>
  <c r="G44" i="3" s="1"/>
  <c r="A44" i="3"/>
  <c r="H43" i="3"/>
  <c r="C43" i="3"/>
  <c r="D43" i="3" s="1"/>
  <c r="G43" i="3" s="1"/>
  <c r="A43" i="3"/>
  <c r="H42" i="3"/>
  <c r="C42" i="3"/>
  <c r="D42" i="3" s="1"/>
  <c r="G42" i="3" s="1"/>
  <c r="A42" i="3"/>
  <c r="H41" i="3"/>
  <c r="C41" i="3"/>
  <c r="D41" i="3" s="1"/>
  <c r="G41" i="3" s="1"/>
  <c r="A41" i="3"/>
  <c r="H40" i="3"/>
  <c r="C40" i="3"/>
  <c r="D40" i="3" s="1"/>
  <c r="G40" i="3" s="1"/>
  <c r="A40" i="3"/>
  <c r="H39" i="3"/>
  <c r="C39" i="3"/>
  <c r="D39" i="3" s="1"/>
  <c r="G39" i="3" s="1"/>
  <c r="A39" i="3"/>
  <c r="H38" i="3"/>
  <c r="C38" i="3"/>
  <c r="D38" i="3" s="1"/>
  <c r="G38" i="3" s="1"/>
  <c r="A38" i="3"/>
  <c r="H37" i="3"/>
  <c r="C37" i="3"/>
  <c r="D37" i="3" s="1"/>
  <c r="G37" i="3" s="1"/>
  <c r="A37" i="3"/>
  <c r="H36" i="3"/>
  <c r="C36" i="3"/>
  <c r="D36" i="3" s="1"/>
  <c r="G36" i="3" s="1"/>
  <c r="A36" i="3"/>
  <c r="H35" i="3"/>
  <c r="C35" i="3"/>
  <c r="D35" i="3" s="1"/>
  <c r="G35" i="3" s="1"/>
  <c r="A35" i="3"/>
  <c r="H34" i="3"/>
  <c r="C34" i="3"/>
  <c r="D34" i="3" s="1"/>
  <c r="G34" i="3" s="1"/>
  <c r="A34" i="3"/>
  <c r="H33" i="3"/>
  <c r="C33" i="3"/>
  <c r="D33" i="3" s="1"/>
  <c r="G33" i="3" s="1"/>
  <c r="A33" i="3"/>
  <c r="H32" i="3"/>
  <c r="C32" i="3"/>
  <c r="D32" i="3" s="1"/>
  <c r="G32" i="3" s="1"/>
  <c r="A32" i="3"/>
  <c r="H31" i="3"/>
  <c r="C31" i="3"/>
  <c r="D31" i="3" s="1"/>
  <c r="G31" i="3" s="1"/>
  <c r="A31" i="3"/>
  <c r="H30" i="3"/>
  <c r="C30" i="3"/>
  <c r="D30" i="3" s="1"/>
  <c r="G30" i="3" s="1"/>
  <c r="A30" i="3"/>
  <c r="H29" i="3"/>
  <c r="C29" i="3"/>
  <c r="D29" i="3" s="1"/>
  <c r="G29" i="3" s="1"/>
  <c r="A29" i="3"/>
  <c r="H28" i="3"/>
  <c r="C28" i="3"/>
  <c r="D28" i="3" s="1"/>
  <c r="G28" i="3" s="1"/>
  <c r="A28" i="3"/>
  <c r="H27" i="3"/>
  <c r="C27" i="3"/>
  <c r="D27" i="3" s="1"/>
  <c r="G27" i="3" s="1"/>
  <c r="A27" i="3"/>
  <c r="H26" i="3"/>
  <c r="C26" i="3"/>
  <c r="D26" i="3" s="1"/>
  <c r="G26" i="3" s="1"/>
  <c r="A26" i="3"/>
  <c r="H25" i="3"/>
  <c r="C25" i="3"/>
  <c r="D25" i="3" s="1"/>
  <c r="G25" i="3" s="1"/>
  <c r="A25" i="3"/>
  <c r="H24" i="3"/>
  <c r="C24" i="3"/>
  <c r="D24" i="3" s="1"/>
  <c r="G24" i="3" s="1"/>
  <c r="A24" i="3"/>
  <c r="H23" i="3"/>
  <c r="C23" i="3"/>
  <c r="D23" i="3" s="1"/>
  <c r="G23" i="3" s="1"/>
  <c r="A23" i="3"/>
  <c r="H22" i="3"/>
  <c r="C22" i="3"/>
  <c r="D22" i="3" s="1"/>
  <c r="G22" i="3" s="1"/>
  <c r="A22" i="3"/>
  <c r="H21" i="3"/>
  <c r="C21" i="3"/>
  <c r="D21" i="3" s="1"/>
  <c r="G21" i="3" s="1"/>
  <c r="A21" i="3"/>
  <c r="H20" i="3"/>
  <c r="C20" i="3"/>
  <c r="D20" i="3" s="1"/>
  <c r="G20" i="3" s="1"/>
  <c r="A20" i="3"/>
  <c r="H19" i="3"/>
  <c r="C19" i="3"/>
  <c r="D19" i="3" s="1"/>
  <c r="G19" i="3" s="1"/>
  <c r="A19" i="3"/>
  <c r="H18" i="3"/>
  <c r="C18" i="3"/>
  <c r="D18" i="3" s="1"/>
  <c r="G18" i="3" s="1"/>
  <c r="A18" i="3"/>
  <c r="H17" i="3"/>
  <c r="C17" i="3"/>
  <c r="D17" i="3" s="1"/>
  <c r="G17" i="3" s="1"/>
  <c r="A17" i="3"/>
  <c r="H16" i="3"/>
  <c r="C16" i="3"/>
  <c r="D16" i="3" s="1"/>
  <c r="G16" i="3" s="1"/>
  <c r="A16" i="3"/>
  <c r="H15" i="3"/>
  <c r="C15" i="3"/>
  <c r="D15" i="3" s="1"/>
  <c r="G15" i="3" s="1"/>
  <c r="A15" i="3"/>
  <c r="H14" i="3"/>
  <c r="C14" i="3"/>
  <c r="D14" i="3" s="1"/>
  <c r="G14" i="3" s="1"/>
  <c r="A14" i="3"/>
  <c r="H13" i="3"/>
  <c r="C13" i="3"/>
  <c r="D13" i="3" s="1"/>
  <c r="G13" i="3" s="1"/>
  <c r="A13" i="3"/>
  <c r="H12" i="3"/>
  <c r="C12" i="3"/>
  <c r="D12" i="3" s="1"/>
  <c r="G12" i="3" s="1"/>
  <c r="A12" i="3"/>
  <c r="H11" i="3"/>
  <c r="C11" i="3"/>
  <c r="D11" i="3" s="1"/>
  <c r="G11" i="3" s="1"/>
  <c r="A11" i="3"/>
  <c r="H10" i="3"/>
  <c r="C10" i="3"/>
  <c r="D10" i="3" s="1"/>
  <c r="G10" i="3" s="1"/>
  <c r="A10" i="3"/>
  <c r="H9" i="3"/>
  <c r="C9" i="3"/>
  <c r="D9" i="3" s="1"/>
  <c r="G9" i="3" s="1"/>
  <c r="A9" i="3"/>
  <c r="H8" i="3"/>
  <c r="C8" i="3"/>
  <c r="D8" i="3" s="1"/>
  <c r="G8" i="3" s="1"/>
  <c r="A8" i="3"/>
  <c r="H7" i="3"/>
  <c r="C7" i="3"/>
  <c r="D7" i="3" s="1"/>
  <c r="G7" i="3" s="1"/>
  <c r="A7" i="3"/>
  <c r="H6" i="3"/>
  <c r="C6" i="3"/>
  <c r="D6" i="3" s="1"/>
  <c r="G6" i="3" s="1"/>
  <c r="A6" i="3"/>
  <c r="H5" i="3"/>
  <c r="C5" i="3"/>
  <c r="D5" i="3" s="1"/>
  <c r="A5" i="3"/>
  <c r="C3" i="3"/>
  <c r="B14" i="11"/>
  <c r="B13" i="11"/>
  <c r="B12" i="11"/>
  <c r="B11" i="11"/>
  <c r="B10" i="11"/>
  <c r="B245" i="13" l="1"/>
  <c r="B246" i="13"/>
  <c r="B248" i="13"/>
  <c r="B249" i="13"/>
  <c r="B247" i="13"/>
  <c r="B244" i="13"/>
  <c r="AW200" i="6"/>
  <c r="A354" i="13"/>
  <c r="A664" i="13"/>
  <c r="A509" i="13"/>
  <c r="A641" i="13"/>
  <c r="A486" i="13"/>
  <c r="A331" i="13"/>
  <c r="A345" i="13"/>
  <c r="A500" i="13"/>
  <c r="A655" i="13"/>
  <c r="A647" i="13"/>
  <c r="A492" i="13"/>
  <c r="A337" i="13"/>
  <c r="A348" i="13"/>
  <c r="A658" i="13"/>
  <c r="A503" i="13"/>
  <c r="A336" i="13"/>
  <c r="A646" i="13"/>
  <c r="A491" i="13"/>
  <c r="A496" i="13"/>
  <c r="A651" i="13"/>
  <c r="A341" i="13"/>
  <c r="A644" i="13"/>
  <c r="A334" i="13"/>
  <c r="A489" i="13"/>
  <c r="A342" i="13"/>
  <c r="A652" i="13"/>
  <c r="A497" i="13"/>
  <c r="A653" i="13"/>
  <c r="A498" i="13"/>
  <c r="A343" i="13"/>
  <c r="A487" i="13"/>
  <c r="A332" i="13"/>
  <c r="A642" i="13"/>
  <c r="A493" i="13"/>
  <c r="A338" i="13"/>
  <c r="A648" i="13"/>
  <c r="A339" i="13"/>
  <c r="A649" i="13"/>
  <c r="A494" i="13"/>
  <c r="A650" i="13"/>
  <c r="A340" i="13"/>
  <c r="A495" i="13"/>
  <c r="A659" i="13"/>
  <c r="A504" i="13"/>
  <c r="A349" i="13"/>
  <c r="A662" i="13"/>
  <c r="A507" i="13"/>
  <c r="A352" i="13"/>
  <c r="A505" i="13"/>
  <c r="A350" i="13"/>
  <c r="A660" i="13"/>
  <c r="A499" i="13"/>
  <c r="A344" i="13"/>
  <c r="A654" i="13"/>
  <c r="A490" i="13"/>
  <c r="A645" i="13"/>
  <c r="A335" i="13"/>
  <c r="A502" i="13"/>
  <c r="A657" i="13"/>
  <c r="A347" i="13"/>
  <c r="A656" i="13"/>
  <c r="A346" i="13"/>
  <c r="A501" i="13"/>
  <c r="A665" i="13"/>
  <c r="A510" i="13"/>
  <c r="A355" i="13"/>
  <c r="A351" i="13"/>
  <c r="A506" i="13"/>
  <c r="A661" i="13"/>
  <c r="A333" i="13"/>
  <c r="A488" i="13"/>
  <c r="A643" i="13"/>
  <c r="A508" i="13"/>
  <c r="A353" i="13"/>
  <c r="A663" i="13"/>
  <c r="AE200" i="6"/>
  <c r="C318" i="13"/>
  <c r="C308" i="13"/>
  <c r="C294" i="13"/>
  <c r="C319" i="13"/>
  <c r="C300" i="13"/>
  <c r="C296" i="13"/>
  <c r="C285" i="13"/>
  <c r="C274" i="13"/>
  <c r="C595" i="13"/>
  <c r="C315" i="13"/>
  <c r="C292" i="13"/>
  <c r="C276" i="13"/>
  <c r="C447" i="13"/>
  <c r="C311" i="13"/>
  <c r="C303" i="13"/>
  <c r="C277" i="13"/>
  <c r="C298" i="13"/>
  <c r="C295" i="13"/>
  <c r="C273" i="13"/>
  <c r="C583" i="13"/>
  <c r="C321" i="13"/>
  <c r="C476" i="13"/>
  <c r="C631" i="13"/>
  <c r="C325" i="13"/>
  <c r="C306" i="13"/>
  <c r="C302" i="13"/>
  <c r="C472" i="13"/>
  <c r="C272" i="13"/>
  <c r="C312" i="13"/>
  <c r="C279" i="13"/>
  <c r="C297" i="13"/>
  <c r="C450" i="13"/>
  <c r="C323" i="13"/>
  <c r="C613" i="13"/>
  <c r="C463" i="13"/>
  <c r="C459" i="13"/>
  <c r="C309" i="13"/>
  <c r="C275" i="13"/>
  <c r="C289" i="13"/>
  <c r="C437" i="13"/>
  <c r="C282" i="13"/>
  <c r="C479" i="13"/>
  <c r="C475" i="13"/>
  <c r="C286" i="13"/>
  <c r="C446" i="13"/>
  <c r="C614" i="13"/>
  <c r="C474" i="13"/>
  <c r="C454" i="13"/>
  <c r="C310" i="13"/>
  <c r="C466" i="13"/>
  <c r="C602" i="13"/>
  <c r="C464" i="13"/>
  <c r="C603" i="13"/>
  <c r="C633" i="13"/>
  <c r="C629" i="13"/>
  <c r="C597" i="13"/>
  <c r="C313" i="13"/>
  <c r="C442" i="13"/>
  <c r="C441" i="13"/>
  <c r="C452" i="13"/>
  <c r="C284" i="13"/>
  <c r="C591" i="13"/>
  <c r="C620" i="13"/>
  <c r="C314" i="13"/>
  <c r="C621" i="13"/>
  <c r="C590" i="13"/>
  <c r="C626" i="13"/>
  <c r="C611" i="13"/>
  <c r="C600" i="13"/>
  <c r="C605" i="13"/>
  <c r="C451" i="13"/>
  <c r="C439" i="13"/>
  <c r="C473" i="13"/>
  <c r="C287" i="13"/>
  <c r="C281" i="13"/>
  <c r="C596" i="13"/>
  <c r="C589" i="13"/>
  <c r="C324" i="13"/>
  <c r="C599" i="13"/>
  <c r="C608" i="13"/>
  <c r="C637" i="13"/>
  <c r="C585" i="13"/>
  <c r="C630" i="13"/>
  <c r="C301" i="13"/>
  <c r="C317" i="13"/>
  <c r="C429" i="13"/>
  <c r="C443" i="13"/>
  <c r="C299" i="13"/>
  <c r="C617" i="13"/>
  <c r="C593" i="13"/>
  <c r="C461" i="13"/>
  <c r="C635" i="13"/>
  <c r="C594" i="13"/>
  <c r="C582" i="13"/>
  <c r="C623" i="13"/>
  <c r="C624" i="13"/>
  <c r="C438" i="13"/>
  <c r="C469" i="13"/>
  <c r="C610" i="13"/>
  <c r="C326" i="13"/>
  <c r="C436" i="13"/>
  <c r="C628" i="13"/>
  <c r="C607" i="13"/>
  <c r="C622" i="13"/>
  <c r="C316" i="13"/>
  <c r="C467" i="13"/>
  <c r="C290" i="13"/>
  <c r="C471" i="13"/>
  <c r="C627" i="13"/>
  <c r="C307" i="13"/>
  <c r="C440" i="13"/>
  <c r="C304" i="13"/>
  <c r="C606" i="13"/>
  <c r="C634" i="13"/>
  <c r="C615" i="13"/>
  <c r="C609" i="13"/>
  <c r="C456" i="13"/>
  <c r="C482" i="13"/>
  <c r="C460" i="13"/>
  <c r="C632" i="13"/>
  <c r="C322" i="13"/>
  <c r="C449" i="13"/>
  <c r="C432" i="13"/>
  <c r="C291" i="13"/>
  <c r="C625" i="13"/>
  <c r="C619" i="13"/>
  <c r="C604" i="13"/>
  <c r="C636" i="13"/>
  <c r="C612" i="13"/>
  <c r="C598" i="13"/>
  <c r="C618" i="13"/>
  <c r="C320" i="13"/>
  <c r="C448" i="13"/>
  <c r="C480" i="13"/>
  <c r="C468" i="13"/>
  <c r="C470" i="13"/>
  <c r="C453" i="13"/>
  <c r="C587" i="13"/>
  <c r="C584" i="13"/>
  <c r="C478" i="13"/>
  <c r="C433" i="13"/>
  <c r="C588" i="13"/>
  <c r="C427" i="13"/>
  <c r="C462" i="13"/>
  <c r="C445" i="13"/>
  <c r="C601" i="13"/>
  <c r="C586" i="13"/>
  <c r="C293" i="13"/>
  <c r="C435" i="13"/>
  <c r="C457" i="13"/>
  <c r="C430" i="13"/>
  <c r="C481" i="13"/>
  <c r="C431" i="13"/>
  <c r="C327" i="13"/>
  <c r="C278" i="13"/>
  <c r="C616" i="13"/>
  <c r="C428" i="13"/>
  <c r="C288" i="13"/>
  <c r="C305" i="13"/>
  <c r="C465" i="13"/>
  <c r="C444" i="13"/>
  <c r="C458" i="13"/>
  <c r="C283" i="13"/>
  <c r="C434" i="13"/>
  <c r="C592" i="13"/>
  <c r="C455" i="13"/>
  <c r="C477" i="13"/>
  <c r="C280" i="13"/>
  <c r="AO200" i="6"/>
  <c r="AZ200" i="6"/>
  <c r="AC200" i="6"/>
  <c r="AB200" i="6"/>
  <c r="AQ200" i="6"/>
  <c r="BC200" i="6"/>
  <c r="C37" i="5"/>
  <c r="E37" i="5"/>
  <c r="AC51" i="13"/>
  <c r="AC25" i="13"/>
  <c r="C52" i="13" s="1"/>
  <c r="AC20" i="13"/>
  <c r="C47" i="13" s="1"/>
  <c r="AC27" i="13"/>
  <c r="C54" i="13" s="1"/>
  <c r="AC32" i="13"/>
  <c r="AC8" i="13"/>
  <c r="AC18" i="13"/>
  <c r="C45" i="13" s="1"/>
  <c r="AC39" i="13"/>
  <c r="AC15" i="13"/>
  <c r="C42" i="13" s="1"/>
  <c r="AC44" i="13"/>
  <c r="AC56" i="13"/>
  <c r="AC49" i="13"/>
  <c r="AC48" i="13"/>
  <c r="AC34" i="13"/>
  <c r="AC47" i="13"/>
  <c r="AC12" i="13"/>
  <c r="C39" i="13" s="1"/>
  <c r="AC50" i="13"/>
  <c r="AC41" i="13"/>
  <c r="AC30" i="13"/>
  <c r="AC6" i="13"/>
  <c r="AC10" i="13"/>
  <c r="AC23" i="13"/>
  <c r="C50" i="13" s="1"/>
  <c r="AC26" i="13"/>
  <c r="C53" i="13" s="1"/>
  <c r="AC59" i="13"/>
  <c r="AC55" i="13"/>
  <c r="AC33" i="13"/>
  <c r="AC43" i="13"/>
  <c r="AC21" i="13"/>
  <c r="C48" i="13" s="1"/>
  <c r="AC42" i="13"/>
  <c r="AC4" i="13"/>
  <c r="C36" i="13" s="1"/>
  <c r="AC57" i="13"/>
  <c r="AC11" i="13"/>
  <c r="C38" i="13" s="1"/>
  <c r="AC29" i="13"/>
  <c r="C56" i="13" s="1"/>
  <c r="AC13" i="13"/>
  <c r="C40" i="13" s="1"/>
  <c r="AC46" i="13"/>
  <c r="AC19" i="13"/>
  <c r="C46" i="13" s="1"/>
  <c r="AC53" i="13"/>
  <c r="AC40" i="13"/>
  <c r="AC28" i="13"/>
  <c r="C55" i="13" s="1"/>
  <c r="AC7" i="13"/>
  <c r="AC14" i="13"/>
  <c r="C41" i="13" s="1"/>
  <c r="AC31" i="13"/>
  <c r="AC58" i="13"/>
  <c r="AC24" i="13"/>
  <c r="C51" i="13" s="1"/>
  <c r="AC54" i="13"/>
  <c r="AC17" i="13"/>
  <c r="C44" i="13" s="1"/>
  <c r="AC16" i="13"/>
  <c r="C43" i="13" s="1"/>
  <c r="AC38" i="13"/>
  <c r="AC37" i="13"/>
  <c r="AC9" i="13"/>
  <c r="AC36" i="13"/>
  <c r="AC5" i="13"/>
  <c r="AC45" i="13"/>
  <c r="AC35" i="13"/>
  <c r="AC22" i="13"/>
  <c r="C49" i="13" s="1"/>
  <c r="AC52" i="13"/>
  <c r="D59" i="13"/>
  <c r="C59" i="13"/>
  <c r="D60" i="13"/>
  <c r="C60" i="13"/>
  <c r="D58" i="13"/>
  <c r="C58" i="13"/>
  <c r="Y200" i="6"/>
  <c r="E53" i="5"/>
  <c r="D14" i="5"/>
  <c r="D53" i="5"/>
  <c r="BA200" i="6"/>
  <c r="C4" i="5"/>
  <c r="D18" i="5"/>
  <c r="C9" i="5"/>
  <c r="C25" i="5"/>
  <c r="E25" i="5"/>
  <c r="D15" i="5"/>
  <c r="D58" i="5"/>
  <c r="D24" i="5"/>
  <c r="C32" i="5"/>
  <c r="C45" i="5"/>
  <c r="E58" i="5"/>
  <c r="AN200" i="6"/>
  <c r="E22" i="5"/>
  <c r="E32" i="5"/>
  <c r="D45" i="5"/>
  <c r="D13" i="5"/>
  <c r="D41" i="5"/>
  <c r="D49" i="5"/>
  <c r="C38" i="5"/>
  <c r="E41" i="5"/>
  <c r="E49" i="5"/>
  <c r="D26" i="5"/>
  <c r="D38" i="5"/>
  <c r="C48" i="5"/>
  <c r="C56" i="5"/>
  <c r="C43" i="5"/>
  <c r="D48" i="5"/>
  <c r="D56" i="5"/>
  <c r="C11" i="5"/>
  <c r="D43" i="5"/>
  <c r="C5" i="5"/>
  <c r="D55" i="5"/>
  <c r="B5" i="7"/>
  <c r="Q20" i="7"/>
  <c r="H16" i="5" s="1"/>
  <c r="E11" i="5"/>
  <c r="E15" i="5"/>
  <c r="E26" i="5"/>
  <c r="E9" i="5"/>
  <c r="E13" i="5"/>
  <c r="E14" i="5"/>
  <c r="B8" i="8"/>
  <c r="C8" i="8" s="1"/>
  <c r="A56" i="6"/>
  <c r="N56" i="6" s="1"/>
  <c r="A6" i="6"/>
  <c r="AX6" i="6" s="1"/>
  <c r="G5" i="3"/>
  <c r="L36" i="7"/>
  <c r="N36" i="7" s="1"/>
  <c r="L19" i="7"/>
  <c r="B17" i="13" s="1"/>
  <c r="L22" i="7"/>
  <c r="A106" i="6"/>
  <c r="AH106" i="6" s="1"/>
  <c r="E4" i="5"/>
  <c r="M182" i="6"/>
  <c r="M179" i="6"/>
  <c r="M176" i="6"/>
  <c r="M199" i="6"/>
  <c r="M196" i="6"/>
  <c r="M181" i="6"/>
  <c r="M171" i="6"/>
  <c r="M168" i="6"/>
  <c r="M198" i="6"/>
  <c r="M193" i="6"/>
  <c r="M183" i="6"/>
  <c r="M188" i="6"/>
  <c r="M177" i="6"/>
  <c r="M195" i="6"/>
  <c r="M190" i="6"/>
  <c r="M185" i="6"/>
  <c r="M172" i="6"/>
  <c r="M169" i="6"/>
  <c r="M197" i="6"/>
  <c r="M192" i="6"/>
  <c r="M187" i="6"/>
  <c r="M180" i="6"/>
  <c r="M160" i="6"/>
  <c r="M157" i="6"/>
  <c r="M162" i="6"/>
  <c r="M156" i="6"/>
  <c r="M186" i="6"/>
  <c r="M175" i="6"/>
  <c r="M167" i="6"/>
  <c r="M191" i="6"/>
  <c r="M189" i="6"/>
  <c r="M184" i="6"/>
  <c r="M174" i="6"/>
  <c r="M194" i="6"/>
  <c r="M159" i="6"/>
  <c r="M173" i="6"/>
  <c r="M170" i="6"/>
  <c r="M178" i="6"/>
  <c r="M164" i="6"/>
  <c r="M166" i="6"/>
  <c r="M161" i="6"/>
  <c r="M165" i="6"/>
  <c r="M163" i="6"/>
  <c r="M158" i="6"/>
  <c r="M155" i="6"/>
  <c r="AH200" i="6"/>
  <c r="AT200" i="6"/>
  <c r="BF200" i="6"/>
  <c r="AD200" i="6"/>
  <c r="AG200" i="6"/>
  <c r="AJ200" i="6"/>
  <c r="AV200" i="6"/>
  <c r="BB200" i="6"/>
  <c r="Z200" i="6"/>
  <c r="AL200" i="6"/>
  <c r="AX200" i="6"/>
  <c r="AA200" i="6"/>
  <c r="AM200" i="6"/>
  <c r="AY200" i="6"/>
  <c r="AF200" i="6"/>
  <c r="X200" i="6"/>
  <c r="C29" i="5"/>
  <c r="E29" i="5"/>
  <c r="D29" i="5"/>
  <c r="E31" i="5"/>
  <c r="D31" i="5"/>
  <c r="C31" i="5"/>
  <c r="AR200" i="6"/>
  <c r="BD200" i="6"/>
  <c r="AS200" i="6"/>
  <c r="BE200" i="6"/>
  <c r="W200" i="6"/>
  <c r="AI200" i="6"/>
  <c r="AU200" i="6"/>
  <c r="C8" i="5"/>
  <c r="D8" i="5"/>
  <c r="AP200" i="6"/>
  <c r="E8" i="5"/>
  <c r="D6" i="5"/>
  <c r="C6" i="5"/>
  <c r="E6" i="5"/>
  <c r="E16" i="5"/>
  <c r="D16" i="5"/>
  <c r="C16" i="5"/>
  <c r="E12" i="5"/>
  <c r="D12" i="5"/>
  <c r="C12" i="5"/>
  <c r="E23" i="5"/>
  <c r="C23" i="5"/>
  <c r="D23" i="5"/>
  <c r="D34" i="5"/>
  <c r="E34" i="5"/>
  <c r="C34" i="5"/>
  <c r="D7" i="5"/>
  <c r="C7" i="5"/>
  <c r="E7" i="5"/>
  <c r="Q25" i="7"/>
  <c r="E27" i="5"/>
  <c r="D27" i="5"/>
  <c r="C27" i="5"/>
  <c r="E10" i="5"/>
  <c r="D10" i="5"/>
  <c r="C10" i="5"/>
  <c r="E21" i="5"/>
  <c r="C21" i="5"/>
  <c r="D21" i="5"/>
  <c r="D50" i="5"/>
  <c r="E50" i="5"/>
  <c r="C50" i="5"/>
  <c r="C17" i="5"/>
  <c r="E17" i="5"/>
  <c r="E39" i="5"/>
  <c r="D39" i="5"/>
  <c r="C39" i="5"/>
  <c r="C36" i="5"/>
  <c r="E36" i="5"/>
  <c r="D36" i="5"/>
  <c r="E44" i="5"/>
  <c r="C44" i="5"/>
  <c r="D44" i="5"/>
  <c r="D30" i="5"/>
  <c r="C30" i="5"/>
  <c r="C46" i="5"/>
  <c r="E46" i="5"/>
  <c r="D46" i="5"/>
  <c r="E54" i="5"/>
  <c r="D54" i="5"/>
  <c r="C54" i="5"/>
  <c r="Q26" i="7"/>
  <c r="E18" i="5"/>
  <c r="C20" i="5"/>
  <c r="E20" i="5"/>
  <c r="D20" i="5"/>
  <c r="C22" i="5"/>
  <c r="E30" i="5"/>
  <c r="E40" i="5"/>
  <c r="C40" i="5"/>
  <c r="D42" i="5"/>
  <c r="C42" i="5"/>
  <c r="L10" i="7"/>
  <c r="B8" i="13" s="1"/>
  <c r="L12" i="7"/>
  <c r="B10" i="13" s="1"/>
  <c r="D33" i="5"/>
  <c r="E33" i="5"/>
  <c r="D52" i="5"/>
  <c r="C52" i="5"/>
  <c r="C57" i="5"/>
  <c r="D57" i="5"/>
  <c r="E51" i="5"/>
  <c r="D51" i="5"/>
  <c r="E59" i="5"/>
  <c r="D59" i="5"/>
  <c r="C59" i="5"/>
  <c r="B11" i="10"/>
  <c r="L27" i="7"/>
  <c r="L15" i="7"/>
  <c r="B13" i="13" s="1"/>
  <c r="E47" i="5"/>
  <c r="D47" i="5"/>
  <c r="L8" i="7"/>
  <c r="E24" i="5"/>
  <c r="C47" i="5"/>
  <c r="L11" i="7"/>
  <c r="B9" i="13" s="1"/>
  <c r="L14" i="7"/>
  <c r="Q18" i="7"/>
  <c r="L21" i="7"/>
  <c r="B19" i="13" s="1"/>
  <c r="L28" i="7"/>
  <c r="B2" i="10" a="1"/>
  <c r="B2" i="10" s="1"/>
  <c r="B10" i="10"/>
  <c r="B7" i="10" a="1"/>
  <c r="B7" i="10" s="1"/>
  <c r="B6" i="10" a="1"/>
  <c r="B6" i="10" s="1"/>
  <c r="B5" i="10" a="1"/>
  <c r="B5" i="10" s="1"/>
  <c r="B4" i="10" a="1"/>
  <c r="B4" i="10" s="1"/>
  <c r="B3" i="10" a="1"/>
  <c r="B3" i="10" s="1"/>
  <c r="L46" i="7"/>
  <c r="N46" i="7" s="1"/>
  <c r="L44" i="7"/>
  <c r="N44" i="7" s="1"/>
  <c r="L24" i="7"/>
  <c r="L43" i="7"/>
  <c r="N43" i="7" s="1"/>
  <c r="L13" i="7"/>
  <c r="B11" i="13" s="1"/>
  <c r="L23" i="7"/>
  <c r="B21" i="13" s="1"/>
  <c r="L25" i="7"/>
  <c r="L26" i="7"/>
  <c r="B24" i="13" s="1"/>
  <c r="L35" i="7"/>
  <c r="N35" i="7" s="1"/>
  <c r="L16" i="7"/>
  <c r="B14" i="13" s="1"/>
  <c r="Q19" i="7"/>
  <c r="L39" i="7"/>
  <c r="N39" i="7" s="1"/>
  <c r="E35" i="5"/>
  <c r="C35" i="5"/>
  <c r="C55" i="5"/>
  <c r="L9" i="7"/>
  <c r="L20" i="7"/>
  <c r="Q22" i="7"/>
  <c r="L31" i="7"/>
  <c r="L30" i="7"/>
  <c r="Q30" i="7"/>
  <c r="Q27" i="7"/>
  <c r="Q24" i="7"/>
  <c r="Q21" i="7"/>
  <c r="Q32" i="7"/>
  <c r="Q29" i="7"/>
  <c r="Q31" i="7"/>
  <c r="Q28" i="7"/>
  <c r="Q23" i="7"/>
  <c r="Q17" i="7"/>
  <c r="Q16" i="7"/>
  <c r="Q15" i="7"/>
  <c r="Q14" i="7"/>
  <c r="Q13" i="7"/>
  <c r="Q12" i="7"/>
  <c r="Q11" i="7"/>
  <c r="Q10" i="7"/>
  <c r="Q9" i="7"/>
  <c r="Q8" i="7"/>
  <c r="L37" i="7"/>
  <c r="N37" i="7" s="1"/>
  <c r="L41" i="7"/>
  <c r="N41" i="7" s="1"/>
  <c r="L40" i="7"/>
  <c r="N40" i="7" s="1"/>
  <c r="L42" i="7"/>
  <c r="N42" i="7" s="1"/>
  <c r="L29" i="7"/>
  <c r="L32" i="7"/>
  <c r="L34" i="7"/>
  <c r="N34" i="7" s="1"/>
  <c r="L47" i="7"/>
  <c r="N47" i="7" s="1"/>
  <c r="L18" i="7"/>
  <c r="L33" i="7"/>
  <c r="N33" i="7" s="1"/>
  <c r="L38" i="7"/>
  <c r="N38" i="7" s="1"/>
  <c r="L17" i="7"/>
  <c r="B15" i="13" s="1"/>
  <c r="L45" i="7"/>
  <c r="N45" i="7" s="1"/>
  <c r="B351" i="13" l="1"/>
  <c r="D351" i="13" s="1"/>
  <c r="B490" i="13"/>
  <c r="D490" i="13" s="1"/>
  <c r="B504" i="13"/>
  <c r="D504" i="13" s="1"/>
  <c r="B642" i="13"/>
  <c r="D642" i="13" s="1"/>
  <c r="B644" i="13"/>
  <c r="D644" i="13" s="1"/>
  <c r="B337" i="13"/>
  <c r="D337" i="13" s="1"/>
  <c r="D355" i="13"/>
  <c r="C355" i="13"/>
  <c r="B355" i="13"/>
  <c r="B654" i="13"/>
  <c r="D654" i="13" s="1"/>
  <c r="B659" i="13"/>
  <c r="D659" i="13" s="1"/>
  <c r="B332" i="13"/>
  <c r="D332" i="13" s="1"/>
  <c r="B492" i="13"/>
  <c r="D492" i="13" s="1"/>
  <c r="D510" i="13"/>
  <c r="C510" i="13"/>
  <c r="B510" i="13"/>
  <c r="B344" i="13"/>
  <c r="D344" i="13" s="1"/>
  <c r="B495" i="13"/>
  <c r="D495" i="13" s="1"/>
  <c r="B487" i="13"/>
  <c r="D487" i="13" s="1"/>
  <c r="B341" i="13"/>
  <c r="D341" i="13" s="1"/>
  <c r="B647" i="13"/>
  <c r="D647" i="13" s="1"/>
  <c r="C665" i="13"/>
  <c r="B665" i="13"/>
  <c r="D665" i="13"/>
  <c r="B499" i="13"/>
  <c r="D499" i="13" s="1"/>
  <c r="B340" i="13"/>
  <c r="D340" i="13" s="1"/>
  <c r="B651" i="13"/>
  <c r="D651" i="13" s="1"/>
  <c r="B655" i="13"/>
  <c r="D655" i="13" s="1"/>
  <c r="D663" i="13"/>
  <c r="C663" i="13"/>
  <c r="B663" i="13"/>
  <c r="B501" i="13"/>
  <c r="D501" i="13" s="1"/>
  <c r="B650" i="13"/>
  <c r="D650" i="13" s="1"/>
  <c r="B343" i="13"/>
  <c r="D343" i="13" s="1"/>
  <c r="B496" i="13"/>
  <c r="D496" i="13" s="1"/>
  <c r="B500" i="13"/>
  <c r="D500" i="13" s="1"/>
  <c r="D353" i="13"/>
  <c r="C353" i="13"/>
  <c r="B353" i="13"/>
  <c r="B346" i="13"/>
  <c r="D346" i="13" s="1"/>
  <c r="B660" i="13"/>
  <c r="D660" i="13" s="1"/>
  <c r="B498" i="13"/>
  <c r="D498" i="13" s="1"/>
  <c r="B345" i="13"/>
  <c r="D345" i="13" s="1"/>
  <c r="C508" i="13"/>
  <c r="B508" i="13"/>
  <c r="D508" i="13"/>
  <c r="B656" i="13"/>
  <c r="D656" i="13" s="1"/>
  <c r="B350" i="13"/>
  <c r="D350" i="13" s="1"/>
  <c r="B494" i="13"/>
  <c r="D494" i="13" s="1"/>
  <c r="B653" i="13"/>
  <c r="D653" i="13" s="1"/>
  <c r="B491" i="13"/>
  <c r="D491" i="13" s="1"/>
  <c r="B331" i="13"/>
  <c r="D331" i="13" s="1"/>
  <c r="B643" i="13"/>
  <c r="D643" i="13" s="1"/>
  <c r="B347" i="13"/>
  <c r="D347" i="13" s="1"/>
  <c r="B505" i="13"/>
  <c r="D505" i="13" s="1"/>
  <c r="B649" i="13"/>
  <c r="D649" i="13" s="1"/>
  <c r="B497" i="13"/>
  <c r="D497" i="13" s="1"/>
  <c r="B646" i="13"/>
  <c r="D646" i="13" s="1"/>
  <c r="B486" i="13"/>
  <c r="D486" i="13" s="1"/>
  <c r="B488" i="13"/>
  <c r="D488" i="13" s="1"/>
  <c r="B657" i="13"/>
  <c r="D657" i="13" s="1"/>
  <c r="B352" i="13"/>
  <c r="D352" i="13" s="1"/>
  <c r="B339" i="13"/>
  <c r="D339" i="13" s="1"/>
  <c r="B652" i="13"/>
  <c r="D652" i="13" s="1"/>
  <c r="B336" i="13"/>
  <c r="D336" i="13" s="1"/>
  <c r="B641" i="13"/>
  <c r="D641" i="13" s="1"/>
  <c r="B333" i="13"/>
  <c r="D333" i="13" s="1"/>
  <c r="B502" i="13"/>
  <c r="D502" i="13" s="1"/>
  <c r="B507" i="13"/>
  <c r="D507" i="13" s="1"/>
  <c r="B648" i="13"/>
  <c r="D648" i="13" s="1"/>
  <c r="B342" i="13"/>
  <c r="D342" i="13" s="1"/>
  <c r="B503" i="13"/>
  <c r="D503" i="13" s="1"/>
  <c r="D509" i="13"/>
  <c r="B509" i="13"/>
  <c r="C509" i="13"/>
  <c r="B661" i="13"/>
  <c r="D661" i="13" s="1"/>
  <c r="B335" i="13"/>
  <c r="D335" i="13" s="1"/>
  <c r="B662" i="13"/>
  <c r="D662" i="13" s="1"/>
  <c r="B338" i="13"/>
  <c r="D338" i="13" s="1"/>
  <c r="B489" i="13"/>
  <c r="D489" i="13" s="1"/>
  <c r="B658" i="13"/>
  <c r="D658" i="13" s="1"/>
  <c r="D664" i="13"/>
  <c r="C664" i="13"/>
  <c r="B664" i="13"/>
  <c r="B506" i="13"/>
  <c r="D506" i="13" s="1"/>
  <c r="B645" i="13"/>
  <c r="D645" i="13" s="1"/>
  <c r="B349" i="13"/>
  <c r="D349" i="13" s="1"/>
  <c r="B493" i="13"/>
  <c r="D493" i="13" s="1"/>
  <c r="B334" i="13"/>
  <c r="D334" i="13" s="1"/>
  <c r="B348" i="13"/>
  <c r="D348" i="13" s="1"/>
  <c r="C354" i="13"/>
  <c r="B354" i="13"/>
  <c r="D354" i="13"/>
  <c r="Q106" i="6"/>
  <c r="E106" i="6"/>
  <c r="D321" i="13"/>
  <c r="D298" i="13"/>
  <c r="D630" i="13"/>
  <c r="D616" i="13"/>
  <c r="D612" i="13"/>
  <c r="D598" i="13"/>
  <c r="C652" i="13" s="1"/>
  <c r="D594" i="13"/>
  <c r="C648" i="13" s="1"/>
  <c r="D637" i="13"/>
  <c r="D297" i="13"/>
  <c r="C351" i="13" s="1"/>
  <c r="D619" i="13"/>
  <c r="D606" i="13"/>
  <c r="C660" i="13" s="1"/>
  <c r="D601" i="13"/>
  <c r="C655" i="13" s="1"/>
  <c r="D609" i="13"/>
  <c r="D595" i="13"/>
  <c r="C649" i="13" s="1"/>
  <c r="D591" i="13"/>
  <c r="C645" i="13" s="1"/>
  <c r="D325" i="13"/>
  <c r="D617" i="13"/>
  <c r="D315" i="13"/>
  <c r="D292" i="13"/>
  <c r="C346" i="13" s="1"/>
  <c r="D433" i="13"/>
  <c r="D289" i="13"/>
  <c r="C343" i="13" s="1"/>
  <c r="D303" i="13"/>
  <c r="D288" i="13"/>
  <c r="C342" i="13" s="1"/>
  <c r="D277" i="13"/>
  <c r="D605" i="13"/>
  <c r="C659" i="13" s="1"/>
  <c r="D318" i="13"/>
  <c r="D295" i="13"/>
  <c r="C349" i="13" s="1"/>
  <c r="D273" i="13"/>
  <c r="D587" i="13"/>
  <c r="D599" i="13"/>
  <c r="C653" i="13" s="1"/>
  <c r="D306" i="13"/>
  <c r="D276" i="13"/>
  <c r="D279" i="13"/>
  <c r="C333" i="13" s="1"/>
  <c r="D583" i="13"/>
  <c r="D463" i="13"/>
  <c r="D301" i="13"/>
  <c r="D442" i="13"/>
  <c r="C496" i="13" s="1"/>
  <c r="D471" i="13"/>
  <c r="D309" i="13"/>
  <c r="D635" i="13"/>
  <c r="D324" i="13"/>
  <c r="D429" i="13"/>
  <c r="D282" i="13"/>
  <c r="C336" i="13" s="1"/>
  <c r="D312" i="13"/>
  <c r="D450" i="13"/>
  <c r="C504" i="13" s="1"/>
  <c r="D285" i="13"/>
  <c r="C339" i="13" s="1"/>
  <c r="D586" i="13"/>
  <c r="D475" i="13"/>
  <c r="D300" i="13"/>
  <c r="D623" i="13"/>
  <c r="D466" i="13"/>
  <c r="D319" i="13"/>
  <c r="D310" i="13"/>
  <c r="D445" i="13"/>
  <c r="C499" i="13" s="1"/>
  <c r="D448" i="13"/>
  <c r="C502" i="13" s="1"/>
  <c r="D284" i="13"/>
  <c r="C338" i="13" s="1"/>
  <c r="D274" i="13"/>
  <c r="D628" i="13"/>
  <c r="D308" i="13"/>
  <c r="D615" i="13"/>
  <c r="D621" i="13"/>
  <c r="D313" i="13"/>
  <c r="D634" i="13"/>
  <c r="D614" i="13"/>
  <c r="D454" i="13"/>
  <c r="D281" i="13"/>
  <c r="C335" i="13" s="1"/>
  <c r="D589" i="13"/>
  <c r="C643" i="13" s="1"/>
  <c r="D604" i="13"/>
  <c r="C658" i="13" s="1"/>
  <c r="D603" i="13"/>
  <c r="C657" i="13" s="1"/>
  <c r="D607" i="13"/>
  <c r="C661" i="13" s="1"/>
  <c r="D455" i="13"/>
  <c r="D629" i="13"/>
  <c r="D291" i="13"/>
  <c r="C345" i="13" s="1"/>
  <c r="D316" i="13"/>
  <c r="D613" i="13"/>
  <c r="D293" i="13"/>
  <c r="C347" i="13" s="1"/>
  <c r="D317" i="13"/>
  <c r="D432" i="13"/>
  <c r="D447" i="13"/>
  <c r="C501" i="13" s="1"/>
  <c r="D624" i="13"/>
  <c r="D302" i="13"/>
  <c r="D597" i="13"/>
  <c r="C651" i="13" s="1"/>
  <c r="D596" i="13"/>
  <c r="C650" i="13" s="1"/>
  <c r="D428" i="13"/>
  <c r="D461" i="13"/>
  <c r="D430" i="13"/>
  <c r="D592" i="13"/>
  <c r="C646" i="13" s="1"/>
  <c r="D441" i="13"/>
  <c r="C495" i="13" s="1"/>
  <c r="D472" i="13"/>
  <c r="D584" i="13"/>
  <c r="D296" i="13"/>
  <c r="C350" i="13" s="1"/>
  <c r="D323" i="13"/>
  <c r="D449" i="13"/>
  <c r="C503" i="13" s="1"/>
  <c r="D458" i="13"/>
  <c r="D467" i="13"/>
  <c r="D287" i="13"/>
  <c r="C341" i="13" s="1"/>
  <c r="D474" i="13"/>
  <c r="D456" i="13"/>
  <c r="D307" i="13"/>
  <c r="D304" i="13"/>
  <c r="D464" i="13"/>
  <c r="D626" i="13"/>
  <c r="D631" i="13"/>
  <c r="D600" i="13"/>
  <c r="C654" i="13" s="1"/>
  <c r="D457" i="13"/>
  <c r="D459" i="13"/>
  <c r="D482" i="13"/>
  <c r="D452" i="13"/>
  <c r="C506" i="13" s="1"/>
  <c r="D427" i="13"/>
  <c r="C486" i="13" s="1"/>
  <c r="D440" i="13"/>
  <c r="C494" i="13" s="1"/>
  <c r="D275" i="13"/>
  <c r="D625" i="13"/>
  <c r="D611" i="13"/>
  <c r="D322" i="13"/>
  <c r="D320" i="13"/>
  <c r="D451" i="13"/>
  <c r="C505" i="13" s="1"/>
  <c r="D444" i="13"/>
  <c r="C498" i="13" s="1"/>
  <c r="D470" i="13"/>
  <c r="D476" i="13"/>
  <c r="D585" i="13"/>
  <c r="D608" i="13"/>
  <c r="D593" i="13"/>
  <c r="C647" i="13" s="1"/>
  <c r="D462" i="13"/>
  <c r="D443" i="13"/>
  <c r="C497" i="13" s="1"/>
  <c r="D481" i="13"/>
  <c r="D436" i="13"/>
  <c r="C490" i="13" s="1"/>
  <c r="D632" i="13"/>
  <c r="D437" i="13"/>
  <c r="C491" i="13" s="1"/>
  <c r="D294" i="13"/>
  <c r="C348" i="13" s="1"/>
  <c r="D305" i="13"/>
  <c r="D438" i="13"/>
  <c r="C492" i="13" s="1"/>
  <c r="D460" i="13"/>
  <c r="D286" i="13"/>
  <c r="C340" i="13" s="1"/>
  <c r="D473" i="13"/>
  <c r="D431" i="13"/>
  <c r="D478" i="13"/>
  <c r="D627" i="13"/>
  <c r="D311" i="13"/>
  <c r="D272" i="13"/>
  <c r="C331" i="13" s="1"/>
  <c r="D602" i="13"/>
  <c r="C656" i="13" s="1"/>
  <c r="D622" i="13"/>
  <c r="D290" i="13"/>
  <c r="C344" i="13" s="1"/>
  <c r="D468" i="13"/>
  <c r="D588" i="13"/>
  <c r="D465" i="13"/>
  <c r="D479" i="13"/>
  <c r="D453" i="13"/>
  <c r="D278" i="13"/>
  <c r="D590" i="13"/>
  <c r="C644" i="13" s="1"/>
  <c r="D636" i="13"/>
  <c r="D582" i="13"/>
  <c r="C641" i="13" s="1"/>
  <c r="D620" i="13"/>
  <c r="D633" i="13"/>
  <c r="D618" i="13"/>
  <c r="D280" i="13"/>
  <c r="C334" i="13" s="1"/>
  <c r="D434" i="13"/>
  <c r="C488" i="13" s="1"/>
  <c r="D480" i="13"/>
  <c r="D610" i="13"/>
  <c r="D283" i="13"/>
  <c r="C337" i="13" s="1"/>
  <c r="D435" i="13"/>
  <c r="C489" i="13" s="1"/>
  <c r="D469" i="13"/>
  <c r="D327" i="13"/>
  <c r="D314" i="13"/>
  <c r="D446" i="13"/>
  <c r="C500" i="13" s="1"/>
  <c r="D477" i="13"/>
  <c r="D299" i="13"/>
  <c r="D326" i="13"/>
  <c r="D439" i="13"/>
  <c r="C493" i="13" s="1"/>
  <c r="V106" i="6"/>
  <c r="AF106" i="6"/>
  <c r="M106" i="6"/>
  <c r="BB106" i="6"/>
  <c r="C57" i="13"/>
  <c r="BB43" i="7"/>
  <c r="BC43" i="7" s="1"/>
  <c r="BD43" i="7" s="1"/>
  <c r="AD51" i="13"/>
  <c r="AD32" i="13"/>
  <c r="AD10" i="13"/>
  <c r="AD6" i="13"/>
  <c r="AD8" i="13"/>
  <c r="AD56" i="13"/>
  <c r="AD39" i="13"/>
  <c r="AD20" i="13"/>
  <c r="D47" i="13" s="1"/>
  <c r="AD34" i="13"/>
  <c r="AD44" i="13"/>
  <c r="AD22" i="13"/>
  <c r="D49" i="13" s="1"/>
  <c r="AD46" i="13"/>
  <c r="AD27" i="13"/>
  <c r="D54" i="13" s="1"/>
  <c r="AD15" i="13"/>
  <c r="D42" i="13" s="1"/>
  <c r="AD18" i="13"/>
  <c r="D45" i="13" s="1"/>
  <c r="AD25" i="13"/>
  <c r="D52" i="13" s="1"/>
  <c r="AD52" i="13"/>
  <c r="AD49" i="13"/>
  <c r="AD16" i="13"/>
  <c r="D43" i="13" s="1"/>
  <c r="AD54" i="13"/>
  <c r="AD30" i="13"/>
  <c r="AD31" i="13"/>
  <c r="AD37" i="13"/>
  <c r="AD55" i="13"/>
  <c r="AD14" i="13"/>
  <c r="D41" i="13" s="1"/>
  <c r="AD48" i="13"/>
  <c r="AD26" i="13"/>
  <c r="D53" i="13" s="1"/>
  <c r="AD11" i="13"/>
  <c r="D38" i="13" s="1"/>
  <c r="AD45" i="13"/>
  <c r="AD29" i="13"/>
  <c r="D56" i="13" s="1"/>
  <c r="AD38" i="13"/>
  <c r="AD40" i="13"/>
  <c r="AD13" i="13"/>
  <c r="D40" i="13" s="1"/>
  <c r="AD23" i="13"/>
  <c r="D50" i="13" s="1"/>
  <c r="AD59" i="13"/>
  <c r="AD19" i="13"/>
  <c r="D46" i="13" s="1"/>
  <c r="AD33" i="13"/>
  <c r="AD41" i="13"/>
  <c r="AD28" i="13"/>
  <c r="D55" i="13" s="1"/>
  <c r="AD43" i="13"/>
  <c r="AD24" i="13"/>
  <c r="D51" i="13" s="1"/>
  <c r="AD5" i="13"/>
  <c r="AD50" i="13"/>
  <c r="AD12" i="13"/>
  <c r="D39" i="13" s="1"/>
  <c r="AD9" i="13"/>
  <c r="AD53" i="13"/>
  <c r="AD57" i="13"/>
  <c r="AD42" i="13"/>
  <c r="AD36" i="13"/>
  <c r="AD4" i="13"/>
  <c r="D36" i="13" s="1"/>
  <c r="AD7" i="13"/>
  <c r="AD21" i="13"/>
  <c r="D48" i="13" s="1"/>
  <c r="AD35" i="13"/>
  <c r="AD58" i="13"/>
  <c r="AD17" i="13"/>
  <c r="D44" i="13" s="1"/>
  <c r="AD47" i="13"/>
  <c r="C37" i="13"/>
  <c r="AA106" i="6"/>
  <c r="Y106" i="6"/>
  <c r="O106" i="6"/>
  <c r="J106" i="6"/>
  <c r="T106" i="6"/>
  <c r="G56" i="6"/>
  <c r="AK56" i="6"/>
  <c r="M56" i="6"/>
  <c r="BB50" i="7"/>
  <c r="BC50" i="7" s="1"/>
  <c r="M43" i="7"/>
  <c r="O43" i="7" s="1"/>
  <c r="M16" i="7"/>
  <c r="S11" i="7" s="1"/>
  <c r="AF6" i="6"/>
  <c r="I6" i="6"/>
  <c r="AV6" i="6"/>
  <c r="BB60" i="7"/>
  <c r="BC60" i="7" s="1"/>
  <c r="AD20" i="7"/>
  <c r="AE20" i="7" s="1"/>
  <c r="BB62" i="7"/>
  <c r="BC62" i="7" s="1"/>
  <c r="AJ56" i="6"/>
  <c r="AJ6" i="6"/>
  <c r="BB59" i="7"/>
  <c r="BC59" i="7" s="1"/>
  <c r="X6" i="6"/>
  <c r="S155" i="6" s="1"/>
  <c r="M44" i="7"/>
  <c r="O44" i="7" s="1"/>
  <c r="M38" i="7"/>
  <c r="O38" i="7" s="1"/>
  <c r="M34" i="7"/>
  <c r="O34" i="7" s="1"/>
  <c r="L6" i="6"/>
  <c r="G155" i="6" s="1"/>
  <c r="BB48" i="7"/>
  <c r="BL48" i="7" s="1"/>
  <c r="BB46" i="7"/>
  <c r="BC46" i="7" s="1"/>
  <c r="BD46" i="7" s="1"/>
  <c r="M32" i="7"/>
  <c r="C30" i="13" s="1"/>
  <c r="M25" i="7"/>
  <c r="S20" i="7" s="1"/>
  <c r="M14" i="7"/>
  <c r="C12" i="13" s="1"/>
  <c r="AG56" i="6"/>
  <c r="BD6" i="6"/>
  <c r="BB44" i="7"/>
  <c r="BH44" i="7" s="1"/>
  <c r="M27" i="7"/>
  <c r="O27" i="7" s="1"/>
  <c r="M37" i="7"/>
  <c r="O37" i="7" s="1"/>
  <c r="BB45" i="7"/>
  <c r="BI45" i="7" s="1"/>
  <c r="BB41" i="7"/>
  <c r="BC41" i="7" s="1"/>
  <c r="M28" i="7"/>
  <c r="S23" i="7" s="1"/>
  <c r="Y6" i="6"/>
  <c r="T155" i="6" s="1"/>
  <c r="C106" i="6"/>
  <c r="M6" i="6"/>
  <c r="H155" i="6" s="1"/>
  <c r="M40" i="7"/>
  <c r="O40" i="7" s="1"/>
  <c r="BB55" i="7"/>
  <c r="BC55" i="7" s="1"/>
  <c r="BD55" i="7" s="1"/>
  <c r="M17" i="7"/>
  <c r="S12" i="7" s="1"/>
  <c r="M13" i="7"/>
  <c r="O13" i="7" s="1"/>
  <c r="W56" i="6"/>
  <c r="BE6" i="6"/>
  <c r="BB56" i="7"/>
  <c r="BC56" i="7" s="1"/>
  <c r="M36" i="7"/>
  <c r="O36" i="7" s="1"/>
  <c r="J56" i="6"/>
  <c r="AS6" i="6"/>
  <c r="M33" i="7"/>
  <c r="O33" i="7" s="1"/>
  <c r="BC56" i="6"/>
  <c r="AG6" i="6"/>
  <c r="BB6" i="6"/>
  <c r="AD6" i="6"/>
  <c r="H6" i="7"/>
  <c r="H2" i="7"/>
  <c r="M35" i="7"/>
  <c r="O35" i="7" s="1"/>
  <c r="M41" i="7"/>
  <c r="O41" i="7" s="1"/>
  <c r="BB63" i="7"/>
  <c r="BC63" i="7" s="1"/>
  <c r="BB54" i="7"/>
  <c r="BR54" i="7" s="1"/>
  <c r="BB49" i="7"/>
  <c r="BC49" i="7" s="1"/>
  <c r="M20" i="7"/>
  <c r="O20" i="7" s="1"/>
  <c r="H1" i="7"/>
  <c r="AE56" i="6"/>
  <c r="M47" i="7"/>
  <c r="O47" i="7" s="1"/>
  <c r="BB61" i="7"/>
  <c r="BC61" i="7" s="1"/>
  <c r="M29" i="7"/>
  <c r="C27" i="13" s="1"/>
  <c r="M26" i="7"/>
  <c r="C24" i="13" s="1"/>
  <c r="M24" i="7"/>
  <c r="S19" i="7" s="1"/>
  <c r="BB47" i="7"/>
  <c r="BC47" i="7" s="1"/>
  <c r="BB53" i="7"/>
  <c r="BC53" i="7" s="1"/>
  <c r="AU56" i="6"/>
  <c r="U56" i="6"/>
  <c r="AP6" i="6"/>
  <c r="U6" i="6"/>
  <c r="P155" i="6" s="1"/>
  <c r="BB65" i="7"/>
  <c r="BC65" i="7" s="1"/>
  <c r="M23" i="7"/>
  <c r="C21" i="13" s="1"/>
  <c r="AN56" i="6"/>
  <c r="H56" i="6"/>
  <c r="AP56" i="6"/>
  <c r="R6" i="6"/>
  <c r="AR6" i="6"/>
  <c r="M42" i="7"/>
  <c r="O42" i="7" s="1"/>
  <c r="M22" i="7"/>
  <c r="S17" i="7" s="1"/>
  <c r="M10" i="7"/>
  <c r="C8" i="13" s="1"/>
  <c r="AZ56" i="6"/>
  <c r="T56" i="6"/>
  <c r="F56" i="6"/>
  <c r="F6" i="6"/>
  <c r="T6" i="6"/>
  <c r="O155" i="6" s="1"/>
  <c r="M30" i="7"/>
  <c r="S25" i="7" s="1"/>
  <c r="M46" i="7"/>
  <c r="O46" i="7" s="1"/>
  <c r="BB51" i="7"/>
  <c r="BO51" i="7" s="1"/>
  <c r="BB52" i="7"/>
  <c r="BP52" i="7" s="1"/>
  <c r="M15" i="7"/>
  <c r="O15" i="7" s="1"/>
  <c r="K56" i="6"/>
  <c r="BE56" i="6"/>
  <c r="AM56" i="6"/>
  <c r="Z6" i="6"/>
  <c r="U155" i="6" s="1"/>
  <c r="H6" i="6"/>
  <c r="M39" i="7"/>
  <c r="O39" i="7" s="1"/>
  <c r="M45" i="7"/>
  <c r="O45" i="7" s="1"/>
  <c r="BB58" i="7"/>
  <c r="BC58" i="7" s="1"/>
  <c r="BB57" i="7"/>
  <c r="BC57" i="7" s="1"/>
  <c r="BB64" i="7"/>
  <c r="BC64" i="7" s="1"/>
  <c r="BD64" i="7" s="1"/>
  <c r="AD56" i="6"/>
  <c r="AW6" i="6"/>
  <c r="BB42" i="7"/>
  <c r="BF42" i="7" s="1"/>
  <c r="M19" i="7"/>
  <c r="C17" i="13" s="1"/>
  <c r="AW56" i="6"/>
  <c r="AK6" i="6"/>
  <c r="N6" i="6"/>
  <c r="I155" i="6" s="1"/>
  <c r="N21" i="7"/>
  <c r="D19" i="13" s="1"/>
  <c r="BC106" i="6"/>
  <c r="F106" i="6"/>
  <c r="AZ106" i="6"/>
  <c r="H106" i="6"/>
  <c r="AN106" i="6"/>
  <c r="AR106" i="6"/>
  <c r="AB106" i="6"/>
  <c r="AQ56" i="6"/>
  <c r="C56" i="6"/>
  <c r="O56" i="6"/>
  <c r="AJ106" i="6"/>
  <c r="P106" i="6"/>
  <c r="BE106" i="6"/>
  <c r="X106" i="6"/>
  <c r="D106" i="6"/>
  <c r="S56" i="6"/>
  <c r="X56" i="6"/>
  <c r="AA56" i="6"/>
  <c r="R106" i="6"/>
  <c r="AC106" i="6"/>
  <c r="BF106" i="6"/>
  <c r="U106" i="6"/>
  <c r="BA106" i="6"/>
  <c r="AY106" i="6"/>
  <c r="AT106" i="6"/>
  <c r="BD106" i="6"/>
  <c r="AO106" i="6"/>
  <c r="AM106" i="6"/>
  <c r="N17" i="7"/>
  <c r="D15" i="13" s="1"/>
  <c r="N11" i="7"/>
  <c r="D9" i="13" s="1"/>
  <c r="N23" i="7"/>
  <c r="D21" i="13" s="1"/>
  <c r="N12" i="7"/>
  <c r="D10" i="13" s="1"/>
  <c r="N19" i="7"/>
  <c r="D17" i="13" s="1"/>
  <c r="AD18" i="7"/>
  <c r="AE18" i="7" s="1"/>
  <c r="R18" i="7"/>
  <c r="H14" i="5"/>
  <c r="H22" i="5"/>
  <c r="R26" i="7"/>
  <c r="AD26" i="7"/>
  <c r="AE26" i="7" s="1"/>
  <c r="H8" i="5"/>
  <c r="R12" i="7"/>
  <c r="AD12" i="7"/>
  <c r="AE12" i="7" s="1"/>
  <c r="N27" i="7"/>
  <c r="D25" i="13" s="1"/>
  <c r="B25" i="13"/>
  <c r="N10" i="7"/>
  <c r="D8" i="13" s="1"/>
  <c r="R25" i="7"/>
  <c r="AD25" i="7"/>
  <c r="AE25" i="7" s="1"/>
  <c r="H21" i="5"/>
  <c r="R23" i="7"/>
  <c r="AD23" i="7"/>
  <c r="AE23" i="7" s="1"/>
  <c r="H19" i="5"/>
  <c r="N26" i="7"/>
  <c r="D24" i="13" s="1"/>
  <c r="N14" i="7"/>
  <c r="D12" i="13" s="1"/>
  <c r="B12" i="13"/>
  <c r="J16" i="5"/>
  <c r="C225" i="13" s="1"/>
  <c r="K16" i="5"/>
  <c r="D225" i="13" s="1"/>
  <c r="I16" i="5"/>
  <c r="B225" i="13" s="1"/>
  <c r="A225" i="13"/>
  <c r="N29" i="7"/>
  <c r="D27" i="13" s="1"/>
  <c r="B27" i="13"/>
  <c r="AD16" i="7"/>
  <c r="AE16" i="7" s="1"/>
  <c r="R16" i="7"/>
  <c r="H12" i="5"/>
  <c r="N9" i="7"/>
  <c r="D7" i="13" s="1"/>
  <c r="B7" i="13"/>
  <c r="S30" i="7"/>
  <c r="R30" i="7"/>
  <c r="AD30" i="7"/>
  <c r="AE30" i="7" s="1"/>
  <c r="H26" i="5"/>
  <c r="H24" i="5"/>
  <c r="R28" i="7"/>
  <c r="AD28" i="7"/>
  <c r="AE28" i="7" s="1"/>
  <c r="R8" i="7"/>
  <c r="AD8" i="7"/>
  <c r="AE8" i="7" s="1"/>
  <c r="H4" i="5"/>
  <c r="R31" i="7"/>
  <c r="H27" i="5"/>
  <c r="AD31" i="7"/>
  <c r="AE31" i="7" s="1"/>
  <c r="S31" i="7"/>
  <c r="AD24" i="7"/>
  <c r="AE24" i="7" s="1"/>
  <c r="R24" i="7"/>
  <c r="H20" i="5"/>
  <c r="R14" i="7"/>
  <c r="AD14" i="7"/>
  <c r="AE14" i="7" s="1"/>
  <c r="H10" i="5"/>
  <c r="N30" i="7"/>
  <c r="D28" i="13" s="1"/>
  <c r="B28" i="13"/>
  <c r="R17" i="7"/>
  <c r="AD17" i="7"/>
  <c r="AE17" i="7" s="1"/>
  <c r="H13" i="5"/>
  <c r="R9" i="7"/>
  <c r="AD9" i="7"/>
  <c r="AE9" i="7" s="1"/>
  <c r="H5" i="5"/>
  <c r="AD29" i="7"/>
  <c r="AE29" i="7" s="1"/>
  <c r="H25" i="5"/>
  <c r="R29" i="7"/>
  <c r="S29" i="7"/>
  <c r="R22" i="7"/>
  <c r="H18" i="5"/>
  <c r="AD22" i="7"/>
  <c r="AE22" i="7" s="1"/>
  <c r="N25" i="7"/>
  <c r="D23" i="13" s="1"/>
  <c r="B23" i="13"/>
  <c r="N18" i="7"/>
  <c r="D16" i="13" s="1"/>
  <c r="B16" i="13"/>
  <c r="AD10" i="7"/>
  <c r="AE10" i="7" s="1"/>
  <c r="H6" i="5"/>
  <c r="R10" i="7"/>
  <c r="R32" i="7"/>
  <c r="AD32" i="7"/>
  <c r="AE32" i="7" s="1"/>
  <c r="S32" i="7"/>
  <c r="H28" i="5"/>
  <c r="N20" i="7"/>
  <c r="D18" i="13" s="1"/>
  <c r="B18" i="13"/>
  <c r="AD19" i="7"/>
  <c r="AE19" i="7" s="1"/>
  <c r="R19" i="7"/>
  <c r="H15" i="5"/>
  <c r="N24" i="7"/>
  <c r="D22" i="13" s="1"/>
  <c r="B22" i="13"/>
  <c r="R20" i="7"/>
  <c r="N31" i="7"/>
  <c r="D29" i="13" s="1"/>
  <c r="B29" i="13"/>
  <c r="H7" i="5"/>
  <c r="R11" i="7"/>
  <c r="AD11" i="7"/>
  <c r="AE11" i="7" s="1"/>
  <c r="H17" i="5"/>
  <c r="R21" i="7"/>
  <c r="AD21" i="7"/>
  <c r="AE21" i="7" s="1"/>
  <c r="N16" i="7"/>
  <c r="D14" i="13" s="1"/>
  <c r="N8" i="7"/>
  <c r="B6" i="13"/>
  <c r="N13" i="7"/>
  <c r="D11" i="13" s="1"/>
  <c r="N28" i="7"/>
  <c r="D26" i="13" s="1"/>
  <c r="B26" i="13"/>
  <c r="AD13" i="7"/>
  <c r="AE13" i="7" s="1"/>
  <c r="R13" i="7"/>
  <c r="H9" i="5"/>
  <c r="R27" i="7"/>
  <c r="AD27" i="7"/>
  <c r="AE27" i="7" s="1"/>
  <c r="H23" i="5"/>
  <c r="N32" i="7"/>
  <c r="D30" i="13" s="1"/>
  <c r="B30" i="13"/>
  <c r="R15" i="7"/>
  <c r="H11" i="5"/>
  <c r="AD15" i="7"/>
  <c r="AE15" i="7" s="1"/>
  <c r="N15" i="7"/>
  <c r="D13" i="13" s="1"/>
  <c r="BA56" i="6"/>
  <c r="AH56" i="6"/>
  <c r="A57" i="6"/>
  <c r="AT56" i="6"/>
  <c r="D56" i="6"/>
  <c r="BD56" i="6"/>
  <c r="AC56" i="6"/>
  <c r="AV56" i="6"/>
  <c r="V56" i="6"/>
  <c r="AS56" i="6"/>
  <c r="R56" i="6"/>
  <c r="AR56" i="6"/>
  <c r="Q56" i="6"/>
  <c r="P56" i="6"/>
  <c r="AO56" i="6"/>
  <c r="AI56" i="6"/>
  <c r="I56" i="6"/>
  <c r="BB56" i="6"/>
  <c r="AY56" i="6"/>
  <c r="AL56" i="6"/>
  <c r="AF56" i="6"/>
  <c r="AB56" i="6"/>
  <c r="Y56" i="6"/>
  <c r="L56" i="6"/>
  <c r="E56" i="6"/>
  <c r="B56" i="6"/>
  <c r="BF56" i="6"/>
  <c r="Z56" i="6"/>
  <c r="AX56" i="6"/>
  <c r="M200" i="6"/>
  <c r="AO1" i="7"/>
  <c r="C187" i="13"/>
  <c r="N106" i="6"/>
  <c r="K106" i="6"/>
  <c r="AX106" i="6"/>
  <c r="AI106" i="6"/>
  <c r="AK106" i="6"/>
  <c r="AG106" i="6"/>
  <c r="AW106" i="6"/>
  <c r="AS106" i="6"/>
  <c r="Z106" i="6"/>
  <c r="G106" i="6"/>
  <c r="AQ106" i="6"/>
  <c r="AE106" i="6"/>
  <c r="AD106" i="6"/>
  <c r="W106" i="6"/>
  <c r="A107" i="6"/>
  <c r="AU106" i="6"/>
  <c r="AP106" i="6"/>
  <c r="AL106" i="6"/>
  <c r="S106" i="6"/>
  <c r="L106" i="6"/>
  <c r="I106" i="6"/>
  <c r="B106" i="6"/>
  <c r="AV106" i="6"/>
  <c r="N22" i="7"/>
  <c r="D20" i="13" s="1"/>
  <c r="B20" i="13"/>
  <c r="M9" i="7"/>
  <c r="M21" i="7"/>
  <c r="M18" i="7"/>
  <c r="S13" i="7" s="1"/>
  <c r="M31" i="7"/>
  <c r="M11" i="7"/>
  <c r="M8" i="7"/>
  <c r="M12" i="7"/>
  <c r="E5" i="5"/>
  <c r="A155" i="6"/>
  <c r="A7" i="6"/>
  <c r="AU6" i="6"/>
  <c r="AI6" i="6"/>
  <c r="W6" i="6"/>
  <c r="K6" i="6"/>
  <c r="BC6" i="6"/>
  <c r="AQ6" i="6"/>
  <c r="AE6" i="6"/>
  <c r="S6" i="6"/>
  <c r="G6" i="6"/>
  <c r="BA6" i="6"/>
  <c r="AO6" i="6"/>
  <c r="AC6" i="6"/>
  <c r="Q6" i="6"/>
  <c r="E6" i="6"/>
  <c r="AY6" i="6"/>
  <c r="AM6" i="6"/>
  <c r="AA6" i="6"/>
  <c r="O6" i="6"/>
  <c r="C6" i="6"/>
  <c r="V6" i="6"/>
  <c r="AB6" i="6"/>
  <c r="P6" i="6"/>
  <c r="AH6" i="6"/>
  <c r="BF6" i="6"/>
  <c r="J6" i="6"/>
  <c r="AZ6" i="6"/>
  <c r="D6" i="6"/>
  <c r="AL6" i="6"/>
  <c r="B6" i="6"/>
  <c r="B155" i="6" s="1"/>
  <c r="AT6" i="6"/>
  <c r="AN6" i="6"/>
  <c r="C332" i="13" l="1"/>
  <c r="C507" i="13"/>
  <c r="C352" i="13"/>
  <c r="C662" i="13"/>
  <c r="C487" i="13"/>
  <c r="C642" i="13"/>
  <c r="BG43" i="7"/>
  <c r="A530" i="13"/>
  <c r="A523" i="13"/>
  <c r="A533" i="13"/>
  <c r="A515" i="13"/>
  <c r="A537" i="13"/>
  <c r="A519" i="13"/>
  <c r="A526" i="13"/>
  <c r="A534" i="13"/>
  <c r="A524" i="13"/>
  <c r="A514" i="13"/>
  <c r="A538" i="13"/>
  <c r="A528" i="13"/>
  <c r="A518" i="13"/>
  <c r="A531" i="13"/>
  <c r="A521" i="13"/>
  <c r="A535" i="13"/>
  <c r="A532" i="13"/>
  <c r="A522" i="13"/>
  <c r="A529" i="13"/>
  <c r="A520" i="13"/>
  <c r="A527" i="13"/>
  <c r="A536" i="13"/>
  <c r="A517" i="13"/>
  <c r="A525" i="13"/>
  <c r="A516" i="13"/>
  <c r="A693" i="13"/>
  <c r="A690" i="13"/>
  <c r="A687" i="13"/>
  <c r="A684" i="13"/>
  <c r="A681" i="13"/>
  <c r="A678" i="13"/>
  <c r="A675" i="13"/>
  <c r="A672" i="13"/>
  <c r="A669" i="13"/>
  <c r="A691" i="13"/>
  <c r="A686" i="13"/>
  <c r="A682" i="13"/>
  <c r="A677" i="13"/>
  <c r="A673" i="13"/>
  <c r="A689" i="13"/>
  <c r="A685" i="13"/>
  <c r="A680" i="13"/>
  <c r="A676" i="13"/>
  <c r="A671" i="13"/>
  <c r="A692" i="13"/>
  <c r="A683" i="13"/>
  <c r="A674" i="13"/>
  <c r="A688" i="13"/>
  <c r="A679" i="13"/>
  <c r="A670" i="13"/>
  <c r="A373" i="13"/>
  <c r="A363" i="13"/>
  <c r="A376" i="13"/>
  <c r="A366" i="13"/>
  <c r="A379" i="13"/>
  <c r="A369" i="13"/>
  <c r="A383" i="13"/>
  <c r="A378" i="13"/>
  <c r="A374" i="13"/>
  <c r="A370" i="13"/>
  <c r="A365" i="13"/>
  <c r="A361" i="13"/>
  <c r="A381" i="13"/>
  <c r="A377" i="13"/>
  <c r="A372" i="13"/>
  <c r="A368" i="13"/>
  <c r="A364" i="13"/>
  <c r="A359" i="13"/>
  <c r="A380" i="13"/>
  <c r="A371" i="13"/>
  <c r="A362" i="13"/>
  <c r="A360" i="13"/>
  <c r="A375" i="13"/>
  <c r="A367" i="13"/>
  <c r="A382" i="13"/>
  <c r="BN50" i="7"/>
  <c r="C14" i="13"/>
  <c r="O16" i="7"/>
  <c r="D57" i="13"/>
  <c r="D37" i="13"/>
  <c r="BD50" i="7"/>
  <c r="O14" i="7"/>
  <c r="BC44" i="7"/>
  <c r="BD44" i="7" s="1"/>
  <c r="C11" i="13"/>
  <c r="BD60" i="7"/>
  <c r="BX60" i="7"/>
  <c r="BS55" i="7"/>
  <c r="BD62" i="7"/>
  <c r="C15" i="13"/>
  <c r="O17" i="7"/>
  <c r="BD59" i="7"/>
  <c r="BW59" i="7"/>
  <c r="BZ62" i="7"/>
  <c r="O25" i="7"/>
  <c r="BV58" i="7"/>
  <c r="BC51" i="7"/>
  <c r="BD51" i="7" s="1"/>
  <c r="C25" i="13"/>
  <c r="S22" i="7"/>
  <c r="C23" i="13"/>
  <c r="BC48" i="7"/>
  <c r="BD48" i="7" s="1"/>
  <c r="BD41" i="7"/>
  <c r="O24" i="7"/>
  <c r="C26" i="13"/>
  <c r="U20" i="7"/>
  <c r="F48" i="13" s="1"/>
  <c r="C22" i="13"/>
  <c r="BE41" i="7"/>
  <c r="BC54" i="7"/>
  <c r="BD54" i="7" s="1"/>
  <c r="O28" i="7"/>
  <c r="BC45" i="7"/>
  <c r="BD45" i="7" s="1"/>
  <c r="U19" i="7"/>
  <c r="F47" i="13" s="1"/>
  <c r="U23" i="7"/>
  <c r="F51" i="13" s="1"/>
  <c r="CA63" i="7"/>
  <c r="BD63" i="7"/>
  <c r="BJ46" i="7"/>
  <c r="BC52" i="7"/>
  <c r="BD52" i="7" s="1"/>
  <c r="BD47" i="7"/>
  <c r="BK47" i="7"/>
  <c r="S27" i="7"/>
  <c r="CB64" i="7"/>
  <c r="BD56" i="7"/>
  <c r="S28" i="7"/>
  <c r="O10" i="7"/>
  <c r="BT56" i="7"/>
  <c r="O32" i="7"/>
  <c r="S15" i="7"/>
  <c r="C20" i="13"/>
  <c r="C18" i="13"/>
  <c r="O19" i="7"/>
  <c r="O22" i="7"/>
  <c r="S10" i="7"/>
  <c r="BC42" i="7"/>
  <c r="BD42" i="7" s="1"/>
  <c r="BD49" i="7"/>
  <c r="C13" i="13"/>
  <c r="BD53" i="7"/>
  <c r="O23" i="7"/>
  <c r="S14" i="7"/>
  <c r="BM49" i="7"/>
  <c r="BD65" i="7"/>
  <c r="BQ53" i="7"/>
  <c r="CC65" i="7"/>
  <c r="S18" i="7"/>
  <c r="O29" i="7"/>
  <c r="O30" i="7"/>
  <c r="O26" i="7"/>
  <c r="BY61" i="7"/>
  <c r="C28" i="13"/>
  <c r="BD57" i="7"/>
  <c r="S21" i="7"/>
  <c r="BD61" i="7"/>
  <c r="BU57" i="7"/>
  <c r="S24" i="7"/>
  <c r="BD58" i="7"/>
  <c r="AQ1" i="7"/>
  <c r="D187" i="13" s="1"/>
  <c r="S9" i="7"/>
  <c r="U9" i="7" s="1"/>
  <c r="F37" i="13" s="1"/>
  <c r="U25" i="7"/>
  <c r="F53" i="13" s="1"/>
  <c r="T25" i="7"/>
  <c r="E53" i="13" s="1"/>
  <c r="T10" i="7"/>
  <c r="E38" i="13" s="1"/>
  <c r="T24" i="7"/>
  <c r="E52" i="13" s="1"/>
  <c r="U31" i="7"/>
  <c r="F59" i="13" s="1"/>
  <c r="T22" i="7"/>
  <c r="E50" i="13" s="1"/>
  <c r="T13" i="7"/>
  <c r="E41" i="13" s="1"/>
  <c r="T28" i="7"/>
  <c r="E56" i="13" s="1"/>
  <c r="T11" i="7"/>
  <c r="E39" i="13" s="1"/>
  <c r="T14" i="7"/>
  <c r="E42" i="13" s="1"/>
  <c r="T23" i="7"/>
  <c r="E51" i="13" s="1"/>
  <c r="T17" i="7"/>
  <c r="E45" i="13" s="1"/>
  <c r="T12" i="7"/>
  <c r="E40" i="13" s="1"/>
  <c r="U17" i="7"/>
  <c r="F45" i="13" s="1"/>
  <c r="T16" i="7"/>
  <c r="E44" i="13" s="1"/>
  <c r="T29" i="7"/>
  <c r="E57" i="13" s="1"/>
  <c r="U29" i="7"/>
  <c r="F57" i="13" s="1"/>
  <c r="U30" i="7"/>
  <c r="F58" i="13" s="1"/>
  <c r="U11" i="7"/>
  <c r="F39" i="13" s="1"/>
  <c r="U13" i="7"/>
  <c r="F41" i="13" s="1"/>
  <c r="O8" i="7"/>
  <c r="C6" i="13"/>
  <c r="J23" i="5"/>
  <c r="C232" i="13" s="1"/>
  <c r="A232" i="13"/>
  <c r="K23" i="5"/>
  <c r="D232" i="13" s="1"/>
  <c r="I23" i="5"/>
  <c r="B232" i="13" s="1"/>
  <c r="I17" i="5"/>
  <c r="B226" i="13" s="1"/>
  <c r="K17" i="5"/>
  <c r="D226" i="13" s="1"/>
  <c r="J17" i="5"/>
  <c r="C226" i="13" s="1"/>
  <c r="A226" i="13"/>
  <c r="J13" i="5"/>
  <c r="C222" i="13" s="1"/>
  <c r="I13" i="5"/>
  <c r="B222" i="13" s="1"/>
  <c r="A222" i="13"/>
  <c r="K13" i="5"/>
  <c r="D222" i="13" s="1"/>
  <c r="O11" i="7"/>
  <c r="C9" i="13"/>
  <c r="F155" i="6"/>
  <c r="O31" i="7"/>
  <c r="C29" i="13"/>
  <c r="T21" i="7"/>
  <c r="E49" i="13" s="1"/>
  <c r="J28" i="5"/>
  <c r="C237" i="13" s="1"/>
  <c r="A237" i="13"/>
  <c r="K28" i="5"/>
  <c r="D237" i="13" s="1"/>
  <c r="I28" i="5"/>
  <c r="B237" i="13" s="1"/>
  <c r="J18" i="5"/>
  <c r="C227" i="13" s="1"/>
  <c r="I18" i="5"/>
  <c r="B227" i="13" s="1"/>
  <c r="K18" i="5"/>
  <c r="D227" i="13" s="1"/>
  <c r="A227" i="13"/>
  <c r="J5" i="5"/>
  <c r="C214" i="13" s="1"/>
  <c r="I5" i="5"/>
  <c r="B214" i="13" s="1"/>
  <c r="A214" i="13"/>
  <c r="K5" i="5"/>
  <c r="D214" i="13" s="1"/>
  <c r="T31" i="7"/>
  <c r="E59" i="13" s="1"/>
  <c r="K26" i="5"/>
  <c r="D235" i="13" s="1"/>
  <c r="J26" i="5"/>
  <c r="C235" i="13" s="1"/>
  <c r="A235" i="13"/>
  <c r="I26" i="5"/>
  <c r="B235" i="13" s="1"/>
  <c r="J6" i="5"/>
  <c r="C215" i="13" s="1"/>
  <c r="A215" i="13"/>
  <c r="K6" i="5"/>
  <c r="D215" i="13" s="1"/>
  <c r="I6" i="5"/>
  <c r="B215" i="13" s="1"/>
  <c r="O18" i="7"/>
  <c r="C16" i="13"/>
  <c r="AO2" i="7"/>
  <c r="C188" i="13"/>
  <c r="K107" i="6"/>
  <c r="Z107" i="6"/>
  <c r="AG107" i="6"/>
  <c r="AX107" i="6"/>
  <c r="N107" i="6"/>
  <c r="AW107" i="6"/>
  <c r="AE107" i="6"/>
  <c r="W107" i="6"/>
  <c r="AQ107" i="6"/>
  <c r="A108" i="6"/>
  <c r="T107" i="6"/>
  <c r="AU107" i="6"/>
  <c r="L107" i="6"/>
  <c r="G107" i="6"/>
  <c r="AS107" i="6"/>
  <c r="AL107" i="6"/>
  <c r="B107" i="6"/>
  <c r="AK107" i="6"/>
  <c r="BC107" i="6"/>
  <c r="AJ107" i="6"/>
  <c r="AC107" i="6"/>
  <c r="AB107" i="6"/>
  <c r="AA107" i="6"/>
  <c r="S107" i="6"/>
  <c r="Q107" i="6"/>
  <c r="V107" i="6"/>
  <c r="AH107" i="6"/>
  <c r="P107" i="6"/>
  <c r="AT107" i="6"/>
  <c r="BA107" i="6"/>
  <c r="X107" i="6"/>
  <c r="AV107" i="6"/>
  <c r="BF107" i="6"/>
  <c r="O107" i="6"/>
  <c r="AO107" i="6"/>
  <c r="R107" i="6"/>
  <c r="AZ107" i="6"/>
  <c r="M107" i="6"/>
  <c r="AY107" i="6"/>
  <c r="U107" i="6"/>
  <c r="AR107" i="6"/>
  <c r="AD107" i="6"/>
  <c r="AN107" i="6"/>
  <c r="E107" i="6"/>
  <c r="BB107" i="6"/>
  <c r="AF107" i="6"/>
  <c r="I107" i="6"/>
  <c r="C107" i="6"/>
  <c r="F107" i="6"/>
  <c r="AI107" i="6"/>
  <c r="AM107" i="6"/>
  <c r="BE107" i="6"/>
  <c r="AP107" i="6"/>
  <c r="H107" i="6"/>
  <c r="J107" i="6"/>
  <c r="D107" i="6"/>
  <c r="BD107" i="6"/>
  <c r="Y107" i="6"/>
  <c r="T20" i="7"/>
  <c r="E48" i="13" s="1"/>
  <c r="U12" i="7"/>
  <c r="F40" i="13" s="1"/>
  <c r="O21" i="7"/>
  <c r="C19" i="13"/>
  <c r="I11" i="5"/>
  <c r="B220" i="13" s="1"/>
  <c r="K11" i="5"/>
  <c r="D220" i="13" s="1"/>
  <c r="A220" i="13"/>
  <c r="J11" i="5"/>
  <c r="C220" i="13" s="1"/>
  <c r="J15" i="5"/>
  <c r="C224" i="13" s="1"/>
  <c r="I15" i="5"/>
  <c r="B224" i="13" s="1"/>
  <c r="A224" i="13"/>
  <c r="K15" i="5"/>
  <c r="D224" i="13" s="1"/>
  <c r="J4" i="5"/>
  <c r="C213" i="13" s="1"/>
  <c r="K4" i="5"/>
  <c r="D213" i="13" s="1"/>
  <c r="A213" i="13"/>
  <c r="I4" i="5"/>
  <c r="B213" i="13" s="1"/>
  <c r="T18" i="7"/>
  <c r="E46" i="13" s="1"/>
  <c r="D155" i="6"/>
  <c r="O9" i="7"/>
  <c r="C7" i="13"/>
  <c r="B34" i="7"/>
  <c r="K8" i="5"/>
  <c r="D217" i="13" s="1"/>
  <c r="A217" i="13"/>
  <c r="J8" i="5"/>
  <c r="C217" i="13" s="1"/>
  <c r="I8" i="5"/>
  <c r="B217" i="13" s="1"/>
  <c r="S26" i="7"/>
  <c r="I10" i="5"/>
  <c r="B219" i="13" s="1"/>
  <c r="J10" i="5"/>
  <c r="C219" i="13" s="1"/>
  <c r="K10" i="5"/>
  <c r="D219" i="13" s="1"/>
  <c r="A219" i="13"/>
  <c r="I27" i="5"/>
  <c r="B236" i="13" s="1"/>
  <c r="A236" i="13"/>
  <c r="K27" i="5"/>
  <c r="D236" i="13" s="1"/>
  <c r="J27" i="5"/>
  <c r="C236" i="13" s="1"/>
  <c r="R155" i="6"/>
  <c r="A156" i="6"/>
  <c r="B7" i="6"/>
  <c r="B156" i="6" s="1"/>
  <c r="AW7" i="6"/>
  <c r="AK7" i="6"/>
  <c r="Y7" i="6"/>
  <c r="M7" i="6"/>
  <c r="A8" i="6"/>
  <c r="AU7" i="6"/>
  <c r="AI7" i="6"/>
  <c r="BF7" i="6"/>
  <c r="AT7" i="6"/>
  <c r="AH7" i="6"/>
  <c r="V7" i="6"/>
  <c r="Q156" i="6" s="1"/>
  <c r="J7" i="6"/>
  <c r="E156" i="6" s="1"/>
  <c r="BC7" i="6"/>
  <c r="AQ7" i="6"/>
  <c r="AE7" i="6"/>
  <c r="S7" i="6"/>
  <c r="N156" i="6" s="1"/>
  <c r="G7" i="6"/>
  <c r="BA7" i="6"/>
  <c r="AO7" i="6"/>
  <c r="AC7" i="6"/>
  <c r="Q7" i="6"/>
  <c r="L156" i="6" s="1"/>
  <c r="E7" i="6"/>
  <c r="P7" i="6"/>
  <c r="K156" i="6" s="1"/>
  <c r="BB7" i="6"/>
  <c r="F7" i="6"/>
  <c r="AZ7" i="6"/>
  <c r="D7" i="6"/>
  <c r="AP7" i="6"/>
  <c r="AN7" i="6"/>
  <c r="AD7" i="6"/>
  <c r="AB7" i="6"/>
  <c r="X7" i="6"/>
  <c r="R7" i="6"/>
  <c r="AX7" i="6"/>
  <c r="U7" i="6"/>
  <c r="AF7" i="6"/>
  <c r="AG7" i="6"/>
  <c r="AS7" i="6"/>
  <c r="H7" i="6"/>
  <c r="BE7" i="6"/>
  <c r="T7" i="6"/>
  <c r="AL7" i="6"/>
  <c r="AJ7" i="6"/>
  <c r="N7" i="6"/>
  <c r="BD7" i="6"/>
  <c r="AR7" i="6"/>
  <c r="AV7" i="6"/>
  <c r="L7" i="6"/>
  <c r="AM7" i="6"/>
  <c r="Z7" i="6"/>
  <c r="I7" i="6"/>
  <c r="C7" i="6"/>
  <c r="C156" i="6" s="1"/>
  <c r="O7" i="6"/>
  <c r="J156" i="6" s="1"/>
  <c r="AA7" i="6"/>
  <c r="V156" i="6" s="1"/>
  <c r="AY7" i="6"/>
  <c r="K7" i="6"/>
  <c r="F156" i="6" s="1"/>
  <c r="W7" i="6"/>
  <c r="R156" i="6" s="1"/>
  <c r="BF57" i="6"/>
  <c r="E57" i="6"/>
  <c r="Q57" i="6"/>
  <c r="AO57" i="6"/>
  <c r="B57" i="6"/>
  <c r="BA57" i="6"/>
  <c r="AP57" i="6"/>
  <c r="P57" i="6"/>
  <c r="M57" i="6"/>
  <c r="L57" i="6"/>
  <c r="AK57" i="6"/>
  <c r="K57" i="6"/>
  <c r="AJ57" i="6"/>
  <c r="J57" i="6"/>
  <c r="BC57" i="6"/>
  <c r="AC57" i="6"/>
  <c r="A58" i="6"/>
  <c r="AZ57" i="6"/>
  <c r="AW57" i="6"/>
  <c r="AT57" i="6"/>
  <c r="AF57" i="6"/>
  <c r="W57" i="6"/>
  <c r="S57" i="6"/>
  <c r="F57" i="6"/>
  <c r="AL57" i="6"/>
  <c r="AX57" i="6"/>
  <c r="Z57" i="6"/>
  <c r="AU57" i="6"/>
  <c r="AD57" i="6"/>
  <c r="AG57" i="6"/>
  <c r="X57" i="6"/>
  <c r="N57" i="6"/>
  <c r="C57" i="6"/>
  <c r="U57" i="6"/>
  <c r="I57" i="6"/>
  <c r="AS57" i="6"/>
  <c r="T57" i="6"/>
  <c r="H57" i="6"/>
  <c r="AM57" i="6"/>
  <c r="AY57" i="6"/>
  <c r="AN57" i="6"/>
  <c r="AH57" i="6"/>
  <c r="O57" i="6"/>
  <c r="V57" i="6"/>
  <c r="AI57" i="6"/>
  <c r="R57" i="6"/>
  <c r="AB57" i="6"/>
  <c r="AV57" i="6"/>
  <c r="Y57" i="6"/>
  <c r="BB57" i="6"/>
  <c r="BE57" i="6"/>
  <c r="D57" i="6"/>
  <c r="AE57" i="6"/>
  <c r="AQ57" i="6"/>
  <c r="G57" i="6"/>
  <c r="BD57" i="6"/>
  <c r="AR57" i="6"/>
  <c r="AA57" i="6"/>
  <c r="T15" i="7"/>
  <c r="E43" i="13" s="1"/>
  <c r="I20" i="5"/>
  <c r="B229" i="13" s="1"/>
  <c r="A229" i="13"/>
  <c r="J20" i="5"/>
  <c r="C229" i="13" s="1"/>
  <c r="K20" i="5"/>
  <c r="D229" i="13" s="1"/>
  <c r="I19" i="5"/>
  <c r="B228" i="13" s="1"/>
  <c r="A228" i="13"/>
  <c r="K19" i="5"/>
  <c r="D228" i="13" s="1"/>
  <c r="J19" i="5"/>
  <c r="C228" i="13" s="1"/>
  <c r="J21" i="5"/>
  <c r="C230" i="13" s="1"/>
  <c r="K21" i="5"/>
  <c r="D230" i="13" s="1"/>
  <c r="I21" i="5"/>
  <c r="B230" i="13" s="1"/>
  <c r="A230" i="13"/>
  <c r="A231" i="13"/>
  <c r="K22" i="5"/>
  <c r="D231" i="13" s="1"/>
  <c r="J22" i="5"/>
  <c r="C231" i="13" s="1"/>
  <c r="I22" i="5"/>
  <c r="B231" i="13" s="1"/>
  <c r="T27" i="7"/>
  <c r="E55" i="13" s="1"/>
  <c r="U32" i="7"/>
  <c r="F60" i="13" s="1"/>
  <c r="J24" i="5"/>
  <c r="C233" i="13" s="1"/>
  <c r="I24" i="5"/>
  <c r="B233" i="13" s="1"/>
  <c r="A233" i="13"/>
  <c r="K24" i="5"/>
  <c r="D233" i="13" s="1"/>
  <c r="J12" i="5"/>
  <c r="C221" i="13" s="1"/>
  <c r="A221" i="13"/>
  <c r="K12" i="5"/>
  <c r="D221" i="13" s="1"/>
  <c r="I12" i="5"/>
  <c r="B221" i="13" s="1"/>
  <c r="C10" i="13"/>
  <c r="O12" i="7"/>
  <c r="J155" i="6"/>
  <c r="V155" i="6"/>
  <c r="K155" i="6"/>
  <c r="C45" i="7"/>
  <c r="A44" i="7"/>
  <c r="B45" i="7"/>
  <c r="C46" i="7"/>
  <c r="A45" i="7"/>
  <c r="C34" i="7"/>
  <c r="C33" i="7"/>
  <c r="C32" i="7"/>
  <c r="C31" i="7"/>
  <c r="C30" i="7"/>
  <c r="C29" i="7"/>
  <c r="C28" i="7"/>
  <c r="C27" i="7"/>
  <c r="C26" i="7"/>
  <c r="C25" i="7"/>
  <c r="C24" i="7"/>
  <c r="C23" i="7"/>
  <c r="C22" i="7"/>
  <c r="C21" i="7"/>
  <c r="C18" i="7"/>
  <c r="C15" i="7"/>
  <c r="C12" i="7"/>
  <c r="C9" i="7"/>
  <c r="A47" i="7"/>
  <c r="B44" i="7"/>
  <c r="C41" i="7"/>
  <c r="A32" i="7"/>
  <c r="A29" i="7"/>
  <c r="A43" i="7"/>
  <c r="C40" i="7"/>
  <c r="B39" i="7"/>
  <c r="B38" i="7"/>
  <c r="B37" i="7"/>
  <c r="C36" i="7"/>
  <c r="B20" i="7"/>
  <c r="B14" i="7"/>
  <c r="B8" i="7"/>
  <c r="C42" i="7"/>
  <c r="A40" i="7"/>
  <c r="B31" i="7"/>
  <c r="B28" i="7"/>
  <c r="B25" i="7"/>
  <c r="B22" i="7"/>
  <c r="C19" i="7"/>
  <c r="B36" i="7"/>
  <c r="C37" i="7"/>
  <c r="A23" i="7"/>
  <c r="A38" i="7"/>
  <c r="A33" i="7"/>
  <c r="B30" i="7"/>
  <c r="C47" i="7"/>
  <c r="B46" i="7"/>
  <c r="C39" i="7"/>
  <c r="A30" i="7"/>
  <c r="B27" i="7"/>
  <c r="B47" i="7"/>
  <c r="A46" i="7"/>
  <c r="C44" i="7"/>
  <c r="A39" i="7"/>
  <c r="A27" i="7"/>
  <c r="A22" i="7"/>
  <c r="B19" i="7"/>
  <c r="B13" i="7"/>
  <c r="B42" i="7"/>
  <c r="A41" i="7"/>
  <c r="C43" i="7"/>
  <c r="B40" i="7"/>
  <c r="B32" i="7"/>
  <c r="B26" i="7"/>
  <c r="B41" i="7"/>
  <c r="B18" i="7"/>
  <c r="A18" i="7"/>
  <c r="B15" i="7"/>
  <c r="B12" i="7"/>
  <c r="A37" i="7"/>
  <c r="A31" i="7"/>
  <c r="C20" i="7"/>
  <c r="A15" i="7"/>
  <c r="A12" i="7"/>
  <c r="A20" i="7"/>
  <c r="B9" i="7"/>
  <c r="A42" i="7"/>
  <c r="A25" i="7"/>
  <c r="A24" i="7"/>
  <c r="B23" i="7"/>
  <c r="C16" i="7"/>
  <c r="B33" i="7"/>
  <c r="B16" i="7"/>
  <c r="A13" i="7"/>
  <c r="B43" i="7"/>
  <c r="C38" i="7"/>
  <c r="B29" i="7"/>
  <c r="B21" i="7"/>
  <c r="B17" i="7"/>
  <c r="C14" i="7"/>
  <c r="B10" i="7"/>
  <c r="C13" i="7"/>
  <c r="C11" i="7"/>
  <c r="A14" i="7"/>
  <c r="B11" i="7"/>
  <c r="C10" i="7"/>
  <c r="C8" i="7"/>
  <c r="A11" i="7"/>
  <c r="A10" i="7"/>
  <c r="A9" i="7"/>
  <c r="A8" i="7"/>
  <c r="C17" i="7"/>
  <c r="A16" i="7"/>
  <c r="A21" i="7"/>
  <c r="A17" i="7"/>
  <c r="A26" i="7"/>
  <c r="B24" i="7"/>
  <c r="D6" i="13"/>
  <c r="A19" i="7"/>
  <c r="A28" i="7"/>
  <c r="T32" i="7"/>
  <c r="E60" i="13" s="1"/>
  <c r="K25" i="5"/>
  <c r="D234" i="13" s="1"/>
  <c r="I25" i="5"/>
  <c r="B234" i="13" s="1"/>
  <c r="J25" i="5"/>
  <c r="C234" i="13" s="1"/>
  <c r="A234" i="13"/>
  <c r="T9" i="7"/>
  <c r="E37" i="13" s="1"/>
  <c r="S8" i="7"/>
  <c r="T30" i="7"/>
  <c r="E58" i="13" s="1"/>
  <c r="T26" i="7"/>
  <c r="E54" i="13" s="1"/>
  <c r="E155" i="6"/>
  <c r="L155" i="6"/>
  <c r="AN1" i="7"/>
  <c r="A187" i="13"/>
  <c r="K9" i="5"/>
  <c r="D218" i="13" s="1"/>
  <c r="A218" i="13"/>
  <c r="I9" i="5"/>
  <c r="B218" i="13" s="1"/>
  <c r="J9" i="5"/>
  <c r="C218" i="13" s="1"/>
  <c r="I7" i="5"/>
  <c r="B216" i="13" s="1"/>
  <c r="A216" i="13"/>
  <c r="K7" i="5"/>
  <c r="D216" i="13" s="1"/>
  <c r="J7" i="5"/>
  <c r="C216" i="13" s="1"/>
  <c r="T19" i="7"/>
  <c r="E47" i="13" s="1"/>
  <c r="C155" i="6"/>
  <c r="Q155" i="6"/>
  <c r="N155" i="6"/>
  <c r="T8" i="7"/>
  <c r="S16" i="7"/>
  <c r="K14" i="5"/>
  <c r="D223" i="13" s="1"/>
  <c r="J14" i="5"/>
  <c r="C223" i="13" s="1"/>
  <c r="A223" i="13"/>
  <c r="I14" i="5"/>
  <c r="B223" i="13" s="1"/>
  <c r="A545" i="13" l="1"/>
  <c r="E541" i="13"/>
  <c r="B517" i="13"/>
  <c r="E545" i="13" s="1"/>
  <c r="J386" i="13"/>
  <c r="B367" i="13"/>
  <c r="J395" i="13" s="1"/>
  <c r="A395" i="13"/>
  <c r="A551" i="13"/>
  <c r="B523" i="13"/>
  <c r="K551" i="13" s="1"/>
  <c r="K541" i="13"/>
  <c r="B375" i="13"/>
  <c r="R403" i="13" s="1"/>
  <c r="R386" i="13"/>
  <c r="A403" i="13"/>
  <c r="A393" i="13"/>
  <c r="H386" i="13"/>
  <c r="B365" i="13"/>
  <c r="H393" i="13" s="1"/>
  <c r="A707" i="13"/>
  <c r="B679" i="13"/>
  <c r="L707" i="13" s="1"/>
  <c r="L696" i="13"/>
  <c r="B682" i="13"/>
  <c r="O710" i="13" s="1"/>
  <c r="A710" i="13"/>
  <c r="O696" i="13"/>
  <c r="D541" i="13"/>
  <c r="A544" i="13"/>
  <c r="B516" i="13"/>
  <c r="D544" i="13" s="1"/>
  <c r="A546" i="13"/>
  <c r="B518" i="13"/>
  <c r="F546" i="13" s="1"/>
  <c r="F541" i="13"/>
  <c r="A558" i="13"/>
  <c r="R541" i="13"/>
  <c r="B530" i="13"/>
  <c r="R558" i="13" s="1"/>
  <c r="Q386" i="13"/>
  <c r="B374" i="13"/>
  <c r="Q402" i="13" s="1"/>
  <c r="A402" i="13"/>
  <c r="D386" i="13"/>
  <c r="A389" i="13"/>
  <c r="B361" i="13"/>
  <c r="D389" i="13" s="1"/>
  <c r="C696" i="13"/>
  <c r="A698" i="13"/>
  <c r="B670" i="13"/>
  <c r="C698" i="13" s="1"/>
  <c r="J696" i="13"/>
  <c r="A705" i="13"/>
  <c r="B677" i="13"/>
  <c r="J705" i="13" s="1"/>
  <c r="B693" i="13"/>
  <c r="Z721" i="13" s="1"/>
  <c r="Z696" i="13"/>
  <c r="A721" i="13"/>
  <c r="D693" i="13"/>
  <c r="C693" i="13"/>
  <c r="S541" i="13"/>
  <c r="B531" i="13"/>
  <c r="S559" i="13" s="1"/>
  <c r="A559" i="13"/>
  <c r="C386" i="13"/>
  <c r="B360" i="13"/>
  <c r="C388" i="13" s="1"/>
  <c r="A388" i="13"/>
  <c r="A398" i="13"/>
  <c r="B370" i="13"/>
  <c r="M398" i="13" s="1"/>
  <c r="M386" i="13"/>
  <c r="U696" i="13"/>
  <c r="A716" i="13"/>
  <c r="B688" i="13"/>
  <c r="U716" i="13" s="1"/>
  <c r="S696" i="13"/>
  <c r="B686" i="13"/>
  <c r="S714" i="13" s="1"/>
  <c r="A714" i="13"/>
  <c r="M541" i="13"/>
  <c r="A553" i="13"/>
  <c r="B525" i="13"/>
  <c r="M553" i="13" s="1"/>
  <c r="P541" i="13"/>
  <c r="B528" i="13"/>
  <c r="P556" i="13" s="1"/>
  <c r="A556" i="13"/>
  <c r="A387" i="13"/>
  <c r="B359" i="13"/>
  <c r="B387" i="13" s="1"/>
  <c r="B386" i="13"/>
  <c r="B369" i="13"/>
  <c r="L397" i="13" s="1"/>
  <c r="A397" i="13"/>
  <c r="L386" i="13"/>
  <c r="A699" i="13"/>
  <c r="B671" i="13"/>
  <c r="D699" i="13" s="1"/>
  <c r="D696" i="13"/>
  <c r="B675" i="13"/>
  <c r="H703" i="13" s="1"/>
  <c r="H696" i="13"/>
  <c r="A703" i="13"/>
  <c r="H541" i="13"/>
  <c r="B520" i="13"/>
  <c r="H548" i="13" s="1"/>
  <c r="A548" i="13"/>
  <c r="A562" i="13"/>
  <c r="V541" i="13"/>
  <c r="B534" i="13"/>
  <c r="V562" i="13" s="1"/>
  <c r="G696" i="13"/>
  <c r="B674" i="13"/>
  <c r="G702" i="13" s="1"/>
  <c r="A702" i="13"/>
  <c r="A399" i="13"/>
  <c r="B371" i="13"/>
  <c r="N399" i="13" s="1"/>
  <c r="N386" i="13"/>
  <c r="B669" i="13"/>
  <c r="B697" i="13" s="1"/>
  <c r="A697" i="13"/>
  <c r="B696" i="13"/>
  <c r="A411" i="13"/>
  <c r="D383" i="13"/>
  <c r="C383" i="13"/>
  <c r="B383" i="13"/>
  <c r="Z411" i="13" s="1"/>
  <c r="Z386" i="13"/>
  <c r="B672" i="13"/>
  <c r="E700" i="13" s="1"/>
  <c r="A700" i="13"/>
  <c r="E696" i="13"/>
  <c r="B524" i="13"/>
  <c r="L552" i="13" s="1"/>
  <c r="L541" i="13"/>
  <c r="A552" i="13"/>
  <c r="A392" i="13"/>
  <c r="G386" i="13"/>
  <c r="B364" i="13"/>
  <c r="G392" i="13" s="1"/>
  <c r="V386" i="13"/>
  <c r="B379" i="13"/>
  <c r="V407" i="13" s="1"/>
  <c r="A407" i="13"/>
  <c r="I696" i="13"/>
  <c r="A704" i="13"/>
  <c r="B676" i="13"/>
  <c r="I704" i="13" s="1"/>
  <c r="K696" i="13"/>
  <c r="B678" i="13"/>
  <c r="K706" i="13" s="1"/>
  <c r="A706" i="13"/>
  <c r="A557" i="13"/>
  <c r="Q541" i="13"/>
  <c r="B529" i="13"/>
  <c r="Q557" i="13" s="1"/>
  <c r="A554" i="13"/>
  <c r="B526" i="13"/>
  <c r="N554" i="13" s="1"/>
  <c r="N541" i="13"/>
  <c r="W386" i="13"/>
  <c r="B380" i="13"/>
  <c r="W408" i="13" s="1"/>
  <c r="A408" i="13"/>
  <c r="D692" i="13"/>
  <c r="B692" i="13"/>
  <c r="Y720" i="13" s="1"/>
  <c r="Y696" i="13"/>
  <c r="A720" i="13"/>
  <c r="C692" i="13"/>
  <c r="A555" i="13"/>
  <c r="O541" i="13"/>
  <c r="B527" i="13"/>
  <c r="O555" i="13" s="1"/>
  <c r="A396" i="13"/>
  <c r="K386" i="13"/>
  <c r="B368" i="13"/>
  <c r="K396" i="13" s="1"/>
  <c r="B366" i="13"/>
  <c r="I394" i="13" s="1"/>
  <c r="I386" i="13"/>
  <c r="A394" i="13"/>
  <c r="B680" i="13"/>
  <c r="M708" i="13" s="1"/>
  <c r="A708" i="13"/>
  <c r="M696" i="13"/>
  <c r="B681" i="13"/>
  <c r="N709" i="13" s="1"/>
  <c r="N696" i="13"/>
  <c r="A709" i="13"/>
  <c r="J541" i="13"/>
  <c r="B522" i="13"/>
  <c r="J550" i="13" s="1"/>
  <c r="A550" i="13"/>
  <c r="B519" i="13"/>
  <c r="G547" i="13" s="1"/>
  <c r="A547" i="13"/>
  <c r="G541" i="13"/>
  <c r="D538" i="13"/>
  <c r="A566" i="13"/>
  <c r="C538" i="13"/>
  <c r="B538" i="13"/>
  <c r="Z566" i="13" s="1"/>
  <c r="Z541" i="13"/>
  <c r="D536" i="13"/>
  <c r="X541" i="13"/>
  <c r="C536" i="13"/>
  <c r="A564" i="13"/>
  <c r="B536" i="13"/>
  <c r="X564" i="13" s="1"/>
  <c r="O386" i="13"/>
  <c r="B372" i="13"/>
  <c r="O400" i="13" s="1"/>
  <c r="A400" i="13"/>
  <c r="B376" i="13"/>
  <c r="S404" i="13" s="1"/>
  <c r="A404" i="13"/>
  <c r="S386" i="13"/>
  <c r="A713" i="13"/>
  <c r="B685" i="13"/>
  <c r="R713" i="13" s="1"/>
  <c r="R696" i="13"/>
  <c r="B684" i="13"/>
  <c r="Q712" i="13" s="1"/>
  <c r="A712" i="13"/>
  <c r="Q696" i="13"/>
  <c r="T541" i="13"/>
  <c r="B532" i="13"/>
  <c r="T560" i="13" s="1"/>
  <c r="A560" i="13"/>
  <c r="D537" i="13"/>
  <c r="B537" i="13"/>
  <c r="Y565" i="13" s="1"/>
  <c r="C537" i="13"/>
  <c r="A565" i="13"/>
  <c r="Y541" i="13"/>
  <c r="B362" i="13"/>
  <c r="E390" i="13" s="1"/>
  <c r="A390" i="13"/>
  <c r="E386" i="13"/>
  <c r="A711" i="13"/>
  <c r="B683" i="13"/>
  <c r="P711" i="13" s="1"/>
  <c r="P696" i="13"/>
  <c r="B541" i="13"/>
  <c r="B514" i="13"/>
  <c r="B542" i="13" s="1"/>
  <c r="A542" i="13"/>
  <c r="A405" i="13"/>
  <c r="T386" i="13"/>
  <c r="B377" i="13"/>
  <c r="T405" i="13" s="1"/>
  <c r="B363" i="13"/>
  <c r="F391" i="13" s="1"/>
  <c r="A391" i="13"/>
  <c r="F386" i="13"/>
  <c r="V696" i="13"/>
  <c r="A717" i="13"/>
  <c r="B689" i="13"/>
  <c r="V717" i="13" s="1"/>
  <c r="B687" i="13"/>
  <c r="T715" i="13" s="1"/>
  <c r="A715" i="13"/>
  <c r="T696" i="13"/>
  <c r="A563" i="13"/>
  <c r="W541" i="13"/>
  <c r="B535" i="13"/>
  <c r="W563" i="13" s="1"/>
  <c r="A543" i="13"/>
  <c r="B515" i="13"/>
  <c r="C543" i="13" s="1"/>
  <c r="C541" i="13"/>
  <c r="A719" i="13"/>
  <c r="B691" i="13"/>
  <c r="X719" i="13" s="1"/>
  <c r="X696" i="13"/>
  <c r="C691" i="13"/>
  <c r="D691" i="13"/>
  <c r="B378" i="13"/>
  <c r="U406" i="13" s="1"/>
  <c r="U386" i="13"/>
  <c r="A406" i="13"/>
  <c r="D382" i="13"/>
  <c r="C382" i="13"/>
  <c r="A410" i="13"/>
  <c r="B382" i="13"/>
  <c r="Y410" i="13" s="1"/>
  <c r="Y386" i="13"/>
  <c r="B381" i="13"/>
  <c r="X409" i="13" s="1"/>
  <c r="X386" i="13"/>
  <c r="A409" i="13"/>
  <c r="D381" i="13"/>
  <c r="C381" i="13"/>
  <c r="P386" i="13"/>
  <c r="A401" i="13"/>
  <c r="B373" i="13"/>
  <c r="P401" i="13" s="1"/>
  <c r="A701" i="13"/>
  <c r="B673" i="13"/>
  <c r="F701" i="13" s="1"/>
  <c r="F696" i="13"/>
  <c r="W696" i="13"/>
  <c r="B690" i="13"/>
  <c r="W718" i="13" s="1"/>
  <c r="A718" i="13"/>
  <c r="I541" i="13"/>
  <c r="A549" i="13"/>
  <c r="B521" i="13"/>
  <c r="I549" i="13" s="1"/>
  <c r="U541" i="13"/>
  <c r="A561" i="13"/>
  <c r="B533" i="13"/>
  <c r="U561" i="13" s="1"/>
  <c r="U22" i="7"/>
  <c r="F50" i="13" s="1"/>
  <c r="U18" i="7"/>
  <c r="F46" i="13" s="1"/>
  <c r="U28" i="7"/>
  <c r="F56" i="13" s="1"/>
  <c r="U15" i="7"/>
  <c r="F43" i="13" s="1"/>
  <c r="U10" i="7"/>
  <c r="F38" i="13" s="1"/>
  <c r="U27" i="7"/>
  <c r="F55" i="13" s="1"/>
  <c r="U14" i="7"/>
  <c r="F42" i="13" s="1"/>
  <c r="U21" i="7"/>
  <c r="F49" i="13" s="1"/>
  <c r="U24" i="7"/>
  <c r="F52" i="13" s="1"/>
  <c r="V32" i="7"/>
  <c r="V31" i="7"/>
  <c r="V30" i="7"/>
  <c r="V29" i="7"/>
  <c r="V28" i="7"/>
  <c r="V27" i="7"/>
  <c r="V26" i="7"/>
  <c r="V25" i="7"/>
  <c r="V24" i="7"/>
  <c r="V23" i="7"/>
  <c r="V22" i="7"/>
  <c r="V21" i="7"/>
  <c r="V19" i="7"/>
  <c r="V13" i="7"/>
  <c r="W31" i="7"/>
  <c r="B89" i="13" s="1"/>
  <c r="W28" i="7"/>
  <c r="B86" i="13" s="1"/>
  <c r="W25" i="7"/>
  <c r="B83" i="13" s="1"/>
  <c r="W22" i="7"/>
  <c r="B80" i="13" s="1"/>
  <c r="W18" i="7"/>
  <c r="B76" i="13" s="1"/>
  <c r="W21" i="7"/>
  <c r="B79" i="13" s="1"/>
  <c r="W19" i="7"/>
  <c r="B77" i="13" s="1"/>
  <c r="W32" i="7"/>
  <c r="B90" i="13" s="1"/>
  <c r="W23" i="7"/>
  <c r="B81" i="13" s="1"/>
  <c r="V18" i="7"/>
  <c r="W27" i="7"/>
  <c r="B85" i="13" s="1"/>
  <c r="V8" i="7"/>
  <c r="W15" i="7"/>
  <c r="B73" i="13" s="1"/>
  <c r="W12" i="7"/>
  <c r="B70" i="13" s="1"/>
  <c r="W29" i="7"/>
  <c r="B87" i="13" s="1"/>
  <c r="V15" i="7"/>
  <c r="V12" i="7"/>
  <c r="V20" i="7"/>
  <c r="V16" i="7"/>
  <c r="W30" i="7"/>
  <c r="B88" i="13" s="1"/>
  <c r="W13" i="7"/>
  <c r="B71" i="13" s="1"/>
  <c r="W10" i="7"/>
  <c r="B68" i="13" s="1"/>
  <c r="V17" i="7"/>
  <c r="W11" i="7"/>
  <c r="B69" i="13" s="1"/>
  <c r="W24" i="7"/>
  <c r="B82" i="13" s="1"/>
  <c r="V11" i="7"/>
  <c r="W26" i="7"/>
  <c r="B84" i="13" s="1"/>
  <c r="W14" i="7"/>
  <c r="B72" i="13" s="1"/>
  <c r="V10" i="7"/>
  <c r="W9" i="7"/>
  <c r="B67" i="13" s="1"/>
  <c r="V14" i="7"/>
  <c r="V9" i="7"/>
  <c r="W8" i="7"/>
  <c r="B66" i="13" s="1"/>
  <c r="W20" i="7"/>
  <c r="B78" i="13" s="1"/>
  <c r="W17" i="7"/>
  <c r="B75" i="13" s="1"/>
  <c r="W16" i="7"/>
  <c r="B74" i="13" s="1"/>
  <c r="E36" i="13"/>
  <c r="A59" i="6"/>
  <c r="AC58" i="6"/>
  <c r="AO58" i="6"/>
  <c r="B58" i="6"/>
  <c r="S58" i="6"/>
  <c r="AR58" i="6"/>
  <c r="AK58" i="6"/>
  <c r="J58" i="6"/>
  <c r="G58" i="6"/>
  <c r="BF58" i="6"/>
  <c r="AF58" i="6"/>
  <c r="AE58" i="6"/>
  <c r="E58" i="6"/>
  <c r="BD58" i="6"/>
  <c r="AD58" i="6"/>
  <c r="D58" i="6"/>
  <c r="X58" i="6"/>
  <c r="Q58" i="6"/>
  <c r="BA58" i="6"/>
  <c r="AT58" i="6"/>
  <c r="AQ58" i="6"/>
  <c r="AN58" i="6"/>
  <c r="AA58" i="6"/>
  <c r="T58" i="6"/>
  <c r="AX58" i="6"/>
  <c r="AL58" i="6"/>
  <c r="BE58" i="6"/>
  <c r="N58" i="6"/>
  <c r="Z58" i="6"/>
  <c r="AG58" i="6"/>
  <c r="AP58" i="6"/>
  <c r="L58" i="6"/>
  <c r="H58" i="6"/>
  <c r="I58" i="6"/>
  <c r="AJ58" i="6"/>
  <c r="O58" i="6"/>
  <c r="AY58" i="6"/>
  <c r="R58" i="6"/>
  <c r="K58" i="6"/>
  <c r="U58" i="6"/>
  <c r="AV58" i="6"/>
  <c r="W58" i="6"/>
  <c r="AU58" i="6"/>
  <c r="AH58" i="6"/>
  <c r="AB58" i="6"/>
  <c r="AW58" i="6"/>
  <c r="BB58" i="6"/>
  <c r="F58" i="6"/>
  <c r="Y58" i="6"/>
  <c r="P58" i="6"/>
  <c r="V58" i="6"/>
  <c r="BC58" i="6"/>
  <c r="AI58" i="6"/>
  <c r="AS58" i="6"/>
  <c r="AM58" i="6"/>
  <c r="M58" i="6"/>
  <c r="AZ58" i="6"/>
  <c r="C58" i="6"/>
  <c r="O156" i="6"/>
  <c r="A157" i="6"/>
  <c r="AY8" i="6"/>
  <c r="AM8" i="6"/>
  <c r="AA8" i="6"/>
  <c r="O8" i="6"/>
  <c r="C8" i="6"/>
  <c r="A9" i="6"/>
  <c r="AU8" i="6"/>
  <c r="AI8" i="6"/>
  <c r="W8" i="6"/>
  <c r="R157" i="6" s="1"/>
  <c r="K8" i="6"/>
  <c r="F157" i="6" s="1"/>
  <c r="BF8" i="6"/>
  <c r="AT8" i="6"/>
  <c r="AH8" i="6"/>
  <c r="V8" i="6"/>
  <c r="J8" i="6"/>
  <c r="BC8" i="6"/>
  <c r="AQ8" i="6"/>
  <c r="AE8" i="6"/>
  <c r="S8" i="6"/>
  <c r="G8" i="6"/>
  <c r="BB8" i="6"/>
  <c r="F8" i="6"/>
  <c r="B8" i="6"/>
  <c r="B157" i="6" s="1"/>
  <c r="AP8" i="6"/>
  <c r="AL8" i="6"/>
  <c r="AD8" i="6"/>
  <c r="R8" i="6"/>
  <c r="N8" i="6"/>
  <c r="I157" i="6" s="1"/>
  <c r="BD8" i="6"/>
  <c r="H8" i="6"/>
  <c r="T8" i="6"/>
  <c r="O157" i="6" s="1"/>
  <c r="AJ8" i="6"/>
  <c r="AR8" i="6"/>
  <c r="X8" i="6"/>
  <c r="S157" i="6" s="1"/>
  <c r="L8" i="6"/>
  <c r="G157" i="6" s="1"/>
  <c r="Z8" i="6"/>
  <c r="U157" i="6" s="1"/>
  <c r="AF8" i="6"/>
  <c r="I8" i="6"/>
  <c r="AC8" i="6"/>
  <c r="AX8" i="6"/>
  <c r="U8" i="6"/>
  <c r="P157" i="6" s="1"/>
  <c r="AG8" i="6"/>
  <c r="AS8" i="6"/>
  <c r="BE8" i="6"/>
  <c r="M8" i="6"/>
  <c r="H157" i="6" s="1"/>
  <c r="AB8" i="6"/>
  <c r="AV8" i="6"/>
  <c r="Y8" i="6"/>
  <c r="T157" i="6" s="1"/>
  <c r="AN8" i="6"/>
  <c r="E8" i="6"/>
  <c r="AK8" i="6"/>
  <c r="AW8" i="6"/>
  <c r="Q8" i="6"/>
  <c r="AO8" i="6"/>
  <c r="D8" i="6"/>
  <c r="P8" i="6"/>
  <c r="BA8" i="6"/>
  <c r="AZ8" i="6"/>
  <c r="U16" i="7"/>
  <c r="F44" i="13" s="1"/>
  <c r="H156" i="6"/>
  <c r="D156" i="6"/>
  <c r="T156" i="6"/>
  <c r="U156" i="6"/>
  <c r="AC75" i="7"/>
  <c r="AC69" i="7"/>
  <c r="AC80" i="7"/>
  <c r="AC63" i="7"/>
  <c r="AC79" i="7"/>
  <c r="AC73" i="7"/>
  <c r="AC67" i="7"/>
  <c r="AC64" i="7"/>
  <c r="AC65" i="7"/>
  <c r="AC78" i="7"/>
  <c r="AC66" i="7"/>
  <c r="AC77" i="7"/>
  <c r="AC17" i="7"/>
  <c r="AC11" i="7"/>
  <c r="AC6" i="7"/>
  <c r="AC76" i="7"/>
  <c r="AC29" i="7"/>
  <c r="AC26" i="7"/>
  <c r="AC23" i="7"/>
  <c r="AC25" i="7"/>
  <c r="AC18" i="7"/>
  <c r="AC68" i="7"/>
  <c r="AC74" i="7"/>
  <c r="AC24" i="7"/>
  <c r="AC22" i="7"/>
  <c r="AC16" i="7"/>
  <c r="AC15" i="7"/>
  <c r="AC10" i="7"/>
  <c r="AC9" i="7"/>
  <c r="AC20" i="7"/>
  <c r="AC13" i="7"/>
  <c r="AC5" i="7"/>
  <c r="AC7" i="7"/>
  <c r="AC19" i="7"/>
  <c r="AC21" i="7"/>
  <c r="AC4" i="7"/>
  <c r="AC14" i="7"/>
  <c r="AC12" i="7"/>
  <c r="AC8" i="7"/>
  <c r="AC28" i="7"/>
  <c r="AC27" i="7"/>
  <c r="G156" i="6"/>
  <c r="P156" i="6"/>
  <c r="A188" i="13"/>
  <c r="AN2" i="7"/>
  <c r="AQ2" i="7"/>
  <c r="D188" i="13" s="1"/>
  <c r="F44" i="7"/>
  <c r="F46" i="7"/>
  <c r="F34" i="7"/>
  <c r="F33" i="7"/>
  <c r="F32" i="7"/>
  <c r="F31" i="7"/>
  <c r="F30" i="7"/>
  <c r="F29" i="7"/>
  <c r="F28" i="7"/>
  <c r="F27" i="7"/>
  <c r="F26" i="7"/>
  <c r="F25" i="7"/>
  <c r="F24" i="7"/>
  <c r="F23" i="7"/>
  <c r="F22" i="7"/>
  <c r="F21" i="7"/>
  <c r="E46" i="7"/>
  <c r="F47" i="7"/>
  <c r="F41" i="7"/>
  <c r="E45" i="7"/>
  <c r="F42" i="7"/>
  <c r="F19" i="7"/>
  <c r="F13" i="7"/>
  <c r="F18" i="7"/>
  <c r="E37" i="7"/>
  <c r="F38" i="7"/>
  <c r="E47" i="7"/>
  <c r="F45" i="7"/>
  <c r="E39" i="7"/>
  <c r="E27" i="7"/>
  <c r="E44" i="7"/>
  <c r="F43" i="7"/>
  <c r="E43" i="7"/>
  <c r="E34" i="7"/>
  <c r="E32" i="7"/>
  <c r="E29" i="7"/>
  <c r="F20" i="7"/>
  <c r="E14" i="7"/>
  <c r="E8" i="7"/>
  <c r="E41" i="7"/>
  <c r="F37" i="7"/>
  <c r="F40" i="7"/>
  <c r="E38" i="7"/>
  <c r="E28" i="7"/>
  <c r="E30" i="7"/>
  <c r="E15" i="7"/>
  <c r="E12" i="7"/>
  <c r="E31" i="7"/>
  <c r="E20" i="7"/>
  <c r="F9" i="7"/>
  <c r="F39" i="7"/>
  <c r="E9" i="7"/>
  <c r="E42" i="7"/>
  <c r="E26" i="7"/>
  <c r="E24" i="7"/>
  <c r="F16" i="7"/>
  <c r="E33" i="7"/>
  <c r="F17" i="7"/>
  <c r="E22" i="7"/>
  <c r="E19" i="7"/>
  <c r="E17" i="7"/>
  <c r="E10" i="7"/>
  <c r="E11" i="7"/>
  <c r="E40" i="7"/>
  <c r="F36" i="7"/>
  <c r="F14" i="7"/>
  <c r="F12" i="7"/>
  <c r="F10" i="7"/>
  <c r="F8" i="7"/>
  <c r="E25" i="7"/>
  <c r="F15" i="7"/>
  <c r="E23" i="7"/>
  <c r="E16" i="7"/>
  <c r="E21" i="7"/>
  <c r="E36" i="7"/>
  <c r="E18" i="7"/>
  <c r="E13" i="7"/>
  <c r="F11" i="7"/>
  <c r="U8" i="7"/>
  <c r="AP1" i="7"/>
  <c r="B187" i="13" s="1"/>
  <c r="I156" i="6"/>
  <c r="S156" i="6"/>
  <c r="AO3" i="7"/>
  <c r="C189" i="13"/>
  <c r="AL108" i="6"/>
  <c r="N108" i="6"/>
  <c r="AX108" i="6"/>
  <c r="AG108" i="6"/>
  <c r="AW108" i="6"/>
  <c r="AE108" i="6"/>
  <c r="K108" i="6"/>
  <c r="A109" i="6"/>
  <c r="B108" i="6"/>
  <c r="AK108" i="6"/>
  <c r="Z108" i="6"/>
  <c r="Y108" i="6"/>
  <c r="W108" i="6"/>
  <c r="BE108" i="6"/>
  <c r="S108" i="6"/>
  <c r="BB108" i="6"/>
  <c r="R108" i="6"/>
  <c r="F108" i="6"/>
  <c r="E108" i="6"/>
  <c r="BA108" i="6"/>
  <c r="AU108" i="6"/>
  <c r="AQ108" i="6"/>
  <c r="AO108" i="6"/>
  <c r="AJ108" i="6"/>
  <c r="Q108" i="6"/>
  <c r="G108" i="6"/>
  <c r="AI108" i="6"/>
  <c r="AH108" i="6"/>
  <c r="V108" i="6"/>
  <c r="BF108" i="6"/>
  <c r="P108" i="6"/>
  <c r="AB108" i="6"/>
  <c r="J108" i="6"/>
  <c r="O108" i="6"/>
  <c r="AN108" i="6"/>
  <c r="AA108" i="6"/>
  <c r="AC108" i="6"/>
  <c r="AY108" i="6"/>
  <c r="M108" i="6"/>
  <c r="L108" i="6"/>
  <c r="AV108" i="6"/>
  <c r="U108" i="6"/>
  <c r="H108" i="6"/>
  <c r="BC108" i="6"/>
  <c r="AM108" i="6"/>
  <c r="D108" i="6"/>
  <c r="AD108" i="6"/>
  <c r="BD108" i="6"/>
  <c r="AR108" i="6"/>
  <c r="AT108" i="6"/>
  <c r="C108" i="6"/>
  <c r="T108" i="6"/>
  <c r="AZ108" i="6"/>
  <c r="AS108" i="6"/>
  <c r="AP108" i="6"/>
  <c r="I108" i="6"/>
  <c r="X108" i="6"/>
  <c r="AF108" i="6"/>
  <c r="U26" i="7"/>
  <c r="F54" i="13" s="1"/>
  <c r="C682" i="13" l="1"/>
  <c r="D682" i="13" s="1"/>
  <c r="C514" i="13"/>
  <c r="D514" i="13" s="1"/>
  <c r="C522" i="13"/>
  <c r="D522" i="13" s="1"/>
  <c r="C671" i="13"/>
  <c r="D671" i="13" s="1"/>
  <c r="C687" i="13"/>
  <c r="D687" i="13" s="1"/>
  <c r="C367" i="13"/>
  <c r="D367" i="13" s="1"/>
  <c r="C678" i="13"/>
  <c r="D678" i="13" s="1"/>
  <c r="C672" i="13"/>
  <c r="D672" i="13" s="1"/>
  <c r="C371" i="13"/>
  <c r="D371" i="13" s="1"/>
  <c r="C533" i="13"/>
  <c r="D533" i="13" s="1"/>
  <c r="C363" i="13"/>
  <c r="D363" i="13" s="1"/>
  <c r="C527" i="13"/>
  <c r="D527" i="13" s="1"/>
  <c r="C523" i="13"/>
  <c r="D523" i="13" s="1"/>
  <c r="C680" i="13"/>
  <c r="D680" i="13" s="1"/>
  <c r="C529" i="13"/>
  <c r="D529" i="13" s="1"/>
  <c r="C359" i="13"/>
  <c r="D359" i="13" s="1"/>
  <c r="C521" i="13"/>
  <c r="D521" i="13" s="1"/>
  <c r="C379" i="13"/>
  <c r="D379" i="13" s="1"/>
  <c r="C674" i="13"/>
  <c r="D674" i="13" s="1"/>
  <c r="C516" i="13"/>
  <c r="D516" i="13" s="1"/>
  <c r="C380" i="13"/>
  <c r="D380" i="13" s="1"/>
  <c r="C374" i="13"/>
  <c r="D374" i="13" s="1"/>
  <c r="C368" i="13"/>
  <c r="D368" i="13" s="1"/>
  <c r="C375" i="13"/>
  <c r="D375" i="13" s="1"/>
  <c r="C681" i="13"/>
  <c r="D681" i="13" s="1"/>
  <c r="C360" i="13"/>
  <c r="D360" i="13" s="1"/>
  <c r="C365" i="13"/>
  <c r="D365" i="13" s="1"/>
  <c r="C673" i="13"/>
  <c r="D673" i="13" s="1"/>
  <c r="C535" i="13"/>
  <c r="D535" i="13" s="1"/>
  <c r="C362" i="13"/>
  <c r="D362" i="13" s="1"/>
  <c r="C524" i="13"/>
  <c r="D524" i="13" s="1"/>
  <c r="C528" i="13"/>
  <c r="D528" i="13" s="1"/>
  <c r="C688" i="13"/>
  <c r="D688" i="13" s="1"/>
  <c r="C361" i="13"/>
  <c r="D361" i="13" s="1"/>
  <c r="C376" i="13"/>
  <c r="D376" i="13" s="1"/>
  <c r="C684" i="13"/>
  <c r="D684" i="13" s="1"/>
  <c r="C669" i="13"/>
  <c r="D669" i="13" s="1"/>
  <c r="C675" i="13"/>
  <c r="D675" i="13" s="1"/>
  <c r="C369" i="13"/>
  <c r="D369" i="13" s="1"/>
  <c r="C677" i="13"/>
  <c r="D677" i="13" s="1"/>
  <c r="C372" i="13"/>
  <c r="D372" i="13" s="1"/>
  <c r="C534" i="13"/>
  <c r="D534" i="13" s="1"/>
  <c r="C530" i="13"/>
  <c r="D530" i="13" s="1"/>
  <c r="C373" i="13"/>
  <c r="D373" i="13" s="1"/>
  <c r="C683" i="13"/>
  <c r="D683" i="13" s="1"/>
  <c r="C366" i="13"/>
  <c r="D366" i="13" s="1"/>
  <c r="C364" i="13"/>
  <c r="D364" i="13" s="1"/>
  <c r="C525" i="13"/>
  <c r="D525" i="13" s="1"/>
  <c r="C531" i="13"/>
  <c r="D531" i="13" s="1"/>
  <c r="C518" i="13"/>
  <c r="D518" i="13" s="1"/>
  <c r="C690" i="13"/>
  <c r="D690" i="13" s="1"/>
  <c r="C519" i="13"/>
  <c r="D519" i="13" s="1"/>
  <c r="C515" i="13"/>
  <c r="D515" i="13" s="1"/>
  <c r="C377" i="13"/>
  <c r="D377" i="13" s="1"/>
  <c r="C685" i="13"/>
  <c r="D685" i="13" s="1"/>
  <c r="C526" i="13"/>
  <c r="D526" i="13" s="1"/>
  <c r="C676" i="13"/>
  <c r="D676" i="13" s="1"/>
  <c r="C370" i="13"/>
  <c r="D370" i="13" s="1"/>
  <c r="C670" i="13"/>
  <c r="D670" i="13" s="1"/>
  <c r="C679" i="13"/>
  <c r="D679" i="13" s="1"/>
  <c r="C517" i="13"/>
  <c r="D517" i="13" s="1"/>
  <c r="C378" i="13"/>
  <c r="D378" i="13" s="1"/>
  <c r="C689" i="13"/>
  <c r="D689" i="13" s="1"/>
  <c r="C532" i="13"/>
  <c r="D532" i="13" s="1"/>
  <c r="C520" i="13"/>
  <c r="D520" i="13" s="1"/>
  <c r="C686" i="13"/>
  <c r="D686" i="13" s="1"/>
  <c r="AP2" i="7"/>
  <c r="B188" i="13" s="1"/>
  <c r="Q157" i="6"/>
  <c r="DD47" i="7"/>
  <c r="A72" i="13"/>
  <c r="DD49" i="7"/>
  <c r="A74" i="13"/>
  <c r="DD57" i="7"/>
  <c r="A82" i="13"/>
  <c r="DD53" i="7"/>
  <c r="A78" i="13"/>
  <c r="DD58" i="7"/>
  <c r="A83" i="13"/>
  <c r="AO4" i="7"/>
  <c r="C190" i="13"/>
  <c r="AX109" i="6"/>
  <c r="AL109" i="6"/>
  <c r="W109" i="6"/>
  <c r="AE109" i="6"/>
  <c r="S109" i="6"/>
  <c r="AI109" i="6"/>
  <c r="B109" i="6"/>
  <c r="AQ109" i="6"/>
  <c r="A110" i="6"/>
  <c r="N109" i="6"/>
  <c r="BE109" i="6"/>
  <c r="AG109" i="6"/>
  <c r="BC109" i="6"/>
  <c r="G109" i="6"/>
  <c r="AU109" i="6"/>
  <c r="Y109" i="6"/>
  <c r="T109" i="6"/>
  <c r="F109" i="6"/>
  <c r="AW109" i="6"/>
  <c r="AV109" i="6"/>
  <c r="AP109" i="6"/>
  <c r="Z109" i="6"/>
  <c r="P109" i="6"/>
  <c r="AN109" i="6"/>
  <c r="AC109" i="6"/>
  <c r="BF109" i="6"/>
  <c r="AH109" i="6"/>
  <c r="AY109" i="6"/>
  <c r="J109" i="6"/>
  <c r="AB109" i="6"/>
  <c r="Q109" i="6"/>
  <c r="E109" i="6"/>
  <c r="D109" i="6"/>
  <c r="BB109" i="6"/>
  <c r="AM109" i="6"/>
  <c r="AO109" i="6"/>
  <c r="R109" i="6"/>
  <c r="AD109" i="6"/>
  <c r="H109" i="6"/>
  <c r="I109" i="6"/>
  <c r="V109" i="6"/>
  <c r="AT109" i="6"/>
  <c r="C109" i="6"/>
  <c r="BA109" i="6"/>
  <c r="L109" i="6"/>
  <c r="X109" i="6"/>
  <c r="AZ109" i="6"/>
  <c r="O109" i="6"/>
  <c r="AJ109" i="6"/>
  <c r="AF109" i="6"/>
  <c r="BD109" i="6"/>
  <c r="K109" i="6"/>
  <c r="M109" i="6"/>
  <c r="U109" i="6"/>
  <c r="AR109" i="6"/>
  <c r="AA109" i="6"/>
  <c r="AK109" i="6"/>
  <c r="AS109" i="6"/>
  <c r="AN3" i="7"/>
  <c r="A189" i="13"/>
  <c r="A60" i="6"/>
  <c r="Q59" i="6"/>
  <c r="AC59" i="6"/>
  <c r="AN59" i="6"/>
  <c r="AE59" i="6"/>
  <c r="E59" i="6"/>
  <c r="BB59" i="6"/>
  <c r="AB59" i="6"/>
  <c r="B59" i="6"/>
  <c r="BA59" i="6"/>
  <c r="AZ59" i="6"/>
  <c r="X59" i="6"/>
  <c r="AR59" i="6"/>
  <c r="R59" i="6"/>
  <c r="AH59" i="6"/>
  <c r="U59" i="6"/>
  <c r="O59" i="6"/>
  <c r="K59" i="6"/>
  <c r="H59" i="6"/>
  <c r="AU59" i="6"/>
  <c r="AO59" i="6"/>
  <c r="N59" i="6"/>
  <c r="Z59" i="6"/>
  <c r="AX59" i="6"/>
  <c r="M59" i="6"/>
  <c r="AK59" i="6"/>
  <c r="BC59" i="6"/>
  <c r="BE59" i="6"/>
  <c r="AF59" i="6"/>
  <c r="AL59" i="6"/>
  <c r="AP59" i="6"/>
  <c r="AV59" i="6"/>
  <c r="P59" i="6"/>
  <c r="C59" i="6"/>
  <c r="AD59" i="6"/>
  <c r="AW59" i="6"/>
  <c r="F59" i="6"/>
  <c r="D59" i="6"/>
  <c r="AS59" i="6"/>
  <c r="G59" i="6"/>
  <c r="AJ59" i="6"/>
  <c r="T59" i="6"/>
  <c r="L59" i="6"/>
  <c r="AT59" i="6"/>
  <c r="V59" i="6"/>
  <c r="AY59" i="6"/>
  <c r="AM59" i="6"/>
  <c r="AI59" i="6"/>
  <c r="AA59" i="6"/>
  <c r="I59" i="6"/>
  <c r="AQ59" i="6"/>
  <c r="J59" i="6"/>
  <c r="BD59" i="6"/>
  <c r="W59" i="6"/>
  <c r="S59" i="6"/>
  <c r="AG59" i="6"/>
  <c r="BF59" i="6"/>
  <c r="Y59" i="6"/>
  <c r="DD43" i="7"/>
  <c r="A68" i="13"/>
  <c r="DD45" i="7"/>
  <c r="A70" i="13"/>
  <c r="DD59" i="7"/>
  <c r="A84" i="13"/>
  <c r="DD48" i="7"/>
  <c r="A73" i="13"/>
  <c r="DD60" i="7"/>
  <c r="A85" i="13"/>
  <c r="DD61" i="7"/>
  <c r="A86" i="13"/>
  <c r="DD44" i="7"/>
  <c r="A69" i="13"/>
  <c r="DD62" i="7"/>
  <c r="A87" i="13"/>
  <c r="K157" i="6"/>
  <c r="DD63" i="7"/>
  <c r="A88" i="13"/>
  <c r="AQ3" i="7"/>
  <c r="D189" i="13" s="1"/>
  <c r="D157" i="6"/>
  <c r="N157" i="6"/>
  <c r="DD41" i="7"/>
  <c r="A66" i="13"/>
  <c r="DD46" i="7"/>
  <c r="A71" i="13"/>
  <c r="DD64" i="7"/>
  <c r="A89" i="13"/>
  <c r="A158" i="6"/>
  <c r="BA9" i="6"/>
  <c r="AO9" i="6"/>
  <c r="AC9" i="6"/>
  <c r="Q9" i="6"/>
  <c r="L158" i="6" s="1"/>
  <c r="E9" i="6"/>
  <c r="AZ9" i="6"/>
  <c r="AN9" i="6"/>
  <c r="AB9" i="6"/>
  <c r="B9" i="6"/>
  <c r="B158" i="6" s="1"/>
  <c r="A10" i="6"/>
  <c r="AU9" i="6"/>
  <c r="AI9" i="6"/>
  <c r="W9" i="6"/>
  <c r="K9" i="6"/>
  <c r="AT9" i="6"/>
  <c r="AH9" i="6"/>
  <c r="V9" i="6"/>
  <c r="Q158" i="6" s="1"/>
  <c r="P9" i="6"/>
  <c r="K158" i="6" s="1"/>
  <c r="J9" i="6"/>
  <c r="E158" i="6" s="1"/>
  <c r="D9" i="6"/>
  <c r="BF9" i="6"/>
  <c r="AF9" i="6"/>
  <c r="N9" i="6"/>
  <c r="AR9" i="6"/>
  <c r="I9" i="6"/>
  <c r="AV9" i="6"/>
  <c r="U9" i="6"/>
  <c r="P158" i="6" s="1"/>
  <c r="X9" i="6"/>
  <c r="AS9" i="6"/>
  <c r="Y9" i="6"/>
  <c r="T9" i="6"/>
  <c r="O158" i="6" s="1"/>
  <c r="AJ9" i="6"/>
  <c r="BE9" i="6"/>
  <c r="AK9" i="6"/>
  <c r="H9" i="6"/>
  <c r="Z9" i="6"/>
  <c r="AW9" i="6"/>
  <c r="M9" i="6"/>
  <c r="H158" i="6" s="1"/>
  <c r="L9" i="6"/>
  <c r="C9" i="6"/>
  <c r="C158" i="6" s="1"/>
  <c r="R9" i="6"/>
  <c r="AL9" i="6"/>
  <c r="O9" i="6"/>
  <c r="J158" i="6" s="1"/>
  <c r="AG9" i="6"/>
  <c r="AA9" i="6"/>
  <c r="V158" i="6" s="1"/>
  <c r="AP9" i="6"/>
  <c r="AX9" i="6"/>
  <c r="BD9" i="6"/>
  <c r="AY9" i="6"/>
  <c r="F9" i="6"/>
  <c r="BC9" i="6"/>
  <c r="AM9" i="6"/>
  <c r="AD9" i="6"/>
  <c r="BB9" i="6"/>
  <c r="S9" i="6"/>
  <c r="N158" i="6" s="1"/>
  <c r="AE9" i="6"/>
  <c r="AQ9" i="6"/>
  <c r="G9" i="6"/>
  <c r="DD50" i="7"/>
  <c r="A75" i="13"/>
  <c r="DD52" i="7"/>
  <c r="A77" i="13"/>
  <c r="DD65" i="7"/>
  <c r="A90" i="13"/>
  <c r="X20" i="7"/>
  <c r="A108" i="13" s="1"/>
  <c r="X17" i="7"/>
  <c r="A105" i="13" s="1"/>
  <c r="X14" i="7"/>
  <c r="A102" i="13" s="1"/>
  <c r="X11" i="7"/>
  <c r="A99" i="13" s="1"/>
  <c r="X8" i="7"/>
  <c r="A96" i="13" s="1"/>
  <c r="Y31" i="7"/>
  <c r="B119" i="13" s="1"/>
  <c r="Y28" i="7"/>
  <c r="B116" i="13" s="1"/>
  <c r="Y25" i="7"/>
  <c r="B113" i="13" s="1"/>
  <c r="Y22" i="7"/>
  <c r="B110" i="13" s="1"/>
  <c r="Y18" i="7"/>
  <c r="B106" i="13" s="1"/>
  <c r="Y12" i="7"/>
  <c r="B100" i="13" s="1"/>
  <c r="Y17" i="7"/>
  <c r="B105" i="13" s="1"/>
  <c r="X23" i="7"/>
  <c r="A111" i="13" s="1"/>
  <c r="Y30" i="7"/>
  <c r="B118" i="13" s="1"/>
  <c r="Y27" i="7"/>
  <c r="B115" i="13" s="1"/>
  <c r="X30" i="7"/>
  <c r="A118" i="13" s="1"/>
  <c r="X27" i="7"/>
  <c r="A115" i="13" s="1"/>
  <c r="X22" i="7"/>
  <c r="A110" i="13" s="1"/>
  <c r="Y14" i="7"/>
  <c r="B102" i="13" s="1"/>
  <c r="Y8" i="7"/>
  <c r="B96" i="13" s="1"/>
  <c r="X21" i="7"/>
  <c r="A109" i="13" s="1"/>
  <c r="X28" i="7"/>
  <c r="A116" i="13" s="1"/>
  <c r="Y15" i="7"/>
  <c r="B103" i="13" s="1"/>
  <c r="Y29" i="7"/>
  <c r="B117" i="13" s="1"/>
  <c r="X15" i="7"/>
  <c r="A103" i="13" s="1"/>
  <c r="X12" i="7"/>
  <c r="A100" i="13" s="1"/>
  <c r="X29" i="7"/>
  <c r="A117" i="13" s="1"/>
  <c r="X18" i="7"/>
  <c r="A106" i="13" s="1"/>
  <c r="Y16" i="7"/>
  <c r="B104" i="13" s="1"/>
  <c r="Y9" i="7"/>
  <c r="B97" i="13" s="1"/>
  <c r="Y20" i="7"/>
  <c r="B108" i="13" s="1"/>
  <c r="X16" i="7"/>
  <c r="A104" i="13" s="1"/>
  <c r="X9" i="7"/>
  <c r="A97" i="13" s="1"/>
  <c r="X13" i="7"/>
  <c r="A101" i="13" s="1"/>
  <c r="X31" i="7"/>
  <c r="A119" i="13" s="1"/>
  <c r="Y26" i="7"/>
  <c r="B114" i="13" s="1"/>
  <c r="X25" i="7"/>
  <c r="A113" i="13" s="1"/>
  <c r="X24" i="7"/>
  <c r="A112" i="13" s="1"/>
  <c r="Y23" i="7"/>
  <c r="B111" i="13" s="1"/>
  <c r="Y19" i="7"/>
  <c r="B107" i="13" s="1"/>
  <c r="Y11" i="7"/>
  <c r="B99" i="13" s="1"/>
  <c r="Y21" i="7"/>
  <c r="B109" i="13" s="1"/>
  <c r="Y24" i="7"/>
  <c r="B112" i="13" s="1"/>
  <c r="Y10" i="7"/>
  <c r="B98" i="13" s="1"/>
  <c r="X26" i="7"/>
  <c r="A114" i="13" s="1"/>
  <c r="X19" i="7"/>
  <c r="A107" i="13" s="1"/>
  <c r="Y13" i="7"/>
  <c r="B101" i="13" s="1"/>
  <c r="X10" i="7"/>
  <c r="A98" i="13" s="1"/>
  <c r="Y32" i="7"/>
  <c r="B120" i="13" s="1"/>
  <c r="X32" i="7"/>
  <c r="A120" i="13" s="1"/>
  <c r="F36" i="13"/>
  <c r="L157" i="6"/>
  <c r="C157" i="6"/>
  <c r="DD51" i="7"/>
  <c r="A76" i="13"/>
  <c r="DD54" i="7"/>
  <c r="A79" i="13"/>
  <c r="E35" i="7"/>
  <c r="C35" i="7"/>
  <c r="F35" i="7"/>
  <c r="B35" i="7"/>
  <c r="D35" i="7"/>
  <c r="H35" i="7"/>
  <c r="G35" i="7"/>
  <c r="J157" i="6"/>
  <c r="DD55" i="7"/>
  <c r="A80" i="13"/>
  <c r="E157" i="6"/>
  <c r="V157" i="6"/>
  <c r="DD42" i="7"/>
  <c r="A67" i="13"/>
  <c r="DD56" i="7"/>
  <c r="A81" i="13"/>
  <c r="B12" i="8" l="1"/>
  <c r="C12" i="8" s="1"/>
  <c r="B13" i="8"/>
  <c r="C13" i="8" s="1"/>
  <c r="B14" i="8"/>
  <c r="C14" i="8" s="1"/>
  <c r="DE55" i="7"/>
  <c r="DW40" i="7"/>
  <c r="P155" i="13" s="1"/>
  <c r="A170" i="13"/>
  <c r="A140" i="13"/>
  <c r="DE54" i="7"/>
  <c r="DF54" i="7" s="1"/>
  <c r="C139" i="13" s="1"/>
  <c r="DV40" i="7"/>
  <c r="O155" i="13" s="1"/>
  <c r="A169" i="13"/>
  <c r="A139" i="13"/>
  <c r="DN40" i="7"/>
  <c r="G155" i="13" s="1"/>
  <c r="DE46" i="7"/>
  <c r="DF46" i="7" s="1"/>
  <c r="C131" i="13" s="1"/>
  <c r="A161" i="13"/>
  <c r="A131" i="13"/>
  <c r="EB40" i="7"/>
  <c r="U155" i="13" s="1"/>
  <c r="DE60" i="7"/>
  <c r="DF60" i="7" s="1"/>
  <c r="C145" i="13" s="1"/>
  <c r="A145" i="13"/>
  <c r="A175" i="13"/>
  <c r="A159" i="13"/>
  <c r="DL40" i="7"/>
  <c r="E155" i="13" s="1"/>
  <c r="DE44" i="7"/>
  <c r="A129" i="13"/>
  <c r="DE59" i="7"/>
  <c r="EA40" i="7"/>
  <c r="T155" i="13" s="1"/>
  <c r="A174" i="13"/>
  <c r="A144" i="13"/>
  <c r="DX40" i="7"/>
  <c r="Q155" i="13" s="1"/>
  <c r="DE56" i="7"/>
  <c r="A171" i="13"/>
  <c r="A141" i="13"/>
  <c r="S158" i="6"/>
  <c r="DE45" i="7"/>
  <c r="DF45" i="7" s="1"/>
  <c r="DM40" i="7"/>
  <c r="F155" i="13" s="1"/>
  <c r="A130" i="13"/>
  <c r="A160" i="13"/>
  <c r="E60" i="6"/>
  <c r="Q60" i="6"/>
  <c r="AO60" i="6"/>
  <c r="BA60" i="6"/>
  <c r="AH60" i="6"/>
  <c r="H60" i="6"/>
  <c r="A61" i="6"/>
  <c r="G60" i="6"/>
  <c r="BF60" i="6"/>
  <c r="AZ60" i="6"/>
  <c r="Y60" i="6"/>
  <c r="AV60" i="6"/>
  <c r="V60" i="6"/>
  <c r="AU60" i="6"/>
  <c r="AT60" i="6"/>
  <c r="T60" i="6"/>
  <c r="AS60" i="6"/>
  <c r="S60" i="6"/>
  <c r="L60" i="6"/>
  <c r="BC60" i="6"/>
  <c r="AP60" i="6"/>
  <c r="AI60" i="6"/>
  <c r="AF60" i="6"/>
  <c r="AC60" i="6"/>
  <c r="P60" i="6"/>
  <c r="I60" i="6"/>
  <c r="F60" i="6"/>
  <c r="B60" i="6"/>
  <c r="N60" i="6"/>
  <c r="AL60" i="6"/>
  <c r="AX60" i="6"/>
  <c r="Z60" i="6"/>
  <c r="C60" i="6"/>
  <c r="BE60" i="6"/>
  <c r="AY60" i="6"/>
  <c r="R60" i="6"/>
  <c r="BB60" i="6"/>
  <c r="O60" i="6"/>
  <c r="AW60" i="6"/>
  <c r="AN60" i="6"/>
  <c r="AM60" i="6"/>
  <c r="J60" i="6"/>
  <c r="W60" i="6"/>
  <c r="AA60" i="6"/>
  <c r="U60" i="6"/>
  <c r="X60" i="6"/>
  <c r="AD60" i="6"/>
  <c r="M60" i="6"/>
  <c r="AB60" i="6"/>
  <c r="AG60" i="6"/>
  <c r="D60" i="6"/>
  <c r="AQ60" i="6"/>
  <c r="BD60" i="6"/>
  <c r="AJ60" i="6"/>
  <c r="K60" i="6"/>
  <c r="AK60" i="6"/>
  <c r="AE60" i="6"/>
  <c r="AR60" i="6"/>
  <c r="DE51" i="7"/>
  <c r="A136" i="13"/>
  <c r="DS40" i="7"/>
  <c r="L155" i="13" s="1"/>
  <c r="A166" i="13"/>
  <c r="DE65" i="7"/>
  <c r="EG40" i="7"/>
  <c r="Z155" i="13" s="1"/>
  <c r="A150" i="13"/>
  <c r="A180" i="13"/>
  <c r="G158" i="6"/>
  <c r="DE41" i="7"/>
  <c r="DF41" i="7" s="1"/>
  <c r="C126" i="13" s="1"/>
  <c r="DI40" i="7"/>
  <c r="B155" i="13" s="1"/>
  <c r="A126" i="13"/>
  <c r="A156" i="13"/>
  <c r="EE40" i="7"/>
  <c r="X155" i="13" s="1"/>
  <c r="DE63" i="7"/>
  <c r="A148" i="13"/>
  <c r="A178" i="13"/>
  <c r="DP40" i="7"/>
  <c r="I155" i="13" s="1"/>
  <c r="DE48" i="7"/>
  <c r="DF48" i="7" s="1"/>
  <c r="C133" i="13" s="1"/>
  <c r="A163" i="13"/>
  <c r="A133" i="13"/>
  <c r="DE61" i="7"/>
  <c r="EC40" i="7"/>
  <c r="V155" i="13" s="1"/>
  <c r="A176" i="13"/>
  <c r="A146" i="13"/>
  <c r="DK40" i="7"/>
  <c r="D155" i="13" s="1"/>
  <c r="DE43" i="7"/>
  <c r="DF43" i="7" s="1"/>
  <c r="C128" i="13" s="1"/>
  <c r="A128" i="13"/>
  <c r="A158" i="13"/>
  <c r="DE57" i="7"/>
  <c r="DF57" i="7" s="1"/>
  <c r="C142" i="13" s="1"/>
  <c r="DY40" i="7"/>
  <c r="R155" i="13" s="1"/>
  <c r="A172" i="13"/>
  <c r="A142" i="13"/>
  <c r="R158" i="6"/>
  <c r="U158" i="6"/>
  <c r="AN4" i="7"/>
  <c r="A190" i="13"/>
  <c r="DE49" i="7"/>
  <c r="DF49" i="7" s="1"/>
  <c r="C134" i="13" s="1"/>
  <c r="DQ40" i="7"/>
  <c r="J155" i="13" s="1"/>
  <c r="A134" i="13"/>
  <c r="A164" i="13"/>
  <c r="I158" i="6"/>
  <c r="A159" i="6"/>
  <c r="A11" i="6"/>
  <c r="AN10" i="6"/>
  <c r="BC10" i="6"/>
  <c r="W10" i="6"/>
  <c r="R159" i="6" s="1"/>
  <c r="F10" i="6"/>
  <c r="D10" i="6"/>
  <c r="AI10" i="6"/>
  <c r="B10" i="6"/>
  <c r="B159" i="6" s="1"/>
  <c r="AD10" i="6"/>
  <c r="AB10" i="6"/>
  <c r="AQ10" i="6"/>
  <c r="AC10" i="6"/>
  <c r="AA10" i="6"/>
  <c r="N10" i="6"/>
  <c r="I159" i="6" s="1"/>
  <c r="L10" i="6"/>
  <c r="G159" i="6" s="1"/>
  <c r="BD10" i="6"/>
  <c r="AJ10" i="6"/>
  <c r="O10" i="6"/>
  <c r="J159" i="6" s="1"/>
  <c r="T10" i="6"/>
  <c r="AW10" i="6"/>
  <c r="P10" i="6"/>
  <c r="K159" i="6" s="1"/>
  <c r="AE10" i="6"/>
  <c r="AX10" i="6"/>
  <c r="R10" i="6"/>
  <c r="V10" i="6"/>
  <c r="Q159" i="6" s="1"/>
  <c r="H10" i="6"/>
  <c r="X10" i="6"/>
  <c r="S159" i="6" s="1"/>
  <c r="AZ10" i="6"/>
  <c r="AR10" i="6"/>
  <c r="M10" i="6"/>
  <c r="H159" i="6" s="1"/>
  <c r="AL10" i="6"/>
  <c r="C10" i="6"/>
  <c r="AF10" i="6"/>
  <c r="Q10" i="6"/>
  <c r="AY10" i="6"/>
  <c r="AM10" i="6"/>
  <c r="Z10" i="6"/>
  <c r="U159" i="6" s="1"/>
  <c r="G10" i="6"/>
  <c r="K10" i="6"/>
  <c r="F159" i="6" s="1"/>
  <c r="BA10" i="6"/>
  <c r="S10" i="6"/>
  <c r="AV10" i="6"/>
  <c r="E10" i="6"/>
  <c r="AS10" i="6"/>
  <c r="AK10" i="6"/>
  <c r="I10" i="6"/>
  <c r="J10" i="6"/>
  <c r="AT10" i="6"/>
  <c r="AP10" i="6"/>
  <c r="BB10" i="6"/>
  <c r="AH10" i="6"/>
  <c r="Y10" i="6"/>
  <c r="T159" i="6" s="1"/>
  <c r="AO10" i="6"/>
  <c r="BF10" i="6"/>
  <c r="U10" i="6"/>
  <c r="AU10" i="6"/>
  <c r="AG10" i="6"/>
  <c r="BE10" i="6"/>
  <c r="DE47" i="7"/>
  <c r="DF47" i="7" s="1"/>
  <c r="C132" i="13" s="1"/>
  <c r="DO40" i="7"/>
  <c r="H155" i="13" s="1"/>
  <c r="A162" i="13"/>
  <c r="A132" i="13"/>
  <c r="DE42" i="7"/>
  <c r="DJ40" i="7"/>
  <c r="C155" i="13" s="1"/>
  <c r="A127" i="13"/>
  <c r="A157" i="13"/>
  <c r="DE50" i="7"/>
  <c r="DF50" i="7" s="1"/>
  <c r="C135" i="13" s="1"/>
  <c r="DR40" i="7"/>
  <c r="K155" i="13" s="1"/>
  <c r="A165" i="13"/>
  <c r="A135" i="13"/>
  <c r="AO5" i="7"/>
  <c r="C191" i="13"/>
  <c r="A111" i="6"/>
  <c r="B110" i="6"/>
  <c r="AU110" i="6"/>
  <c r="K110" i="6"/>
  <c r="AL110" i="6"/>
  <c r="AW110" i="6"/>
  <c r="Y110" i="6"/>
  <c r="AQ110" i="6"/>
  <c r="W110" i="6"/>
  <c r="S110" i="6"/>
  <c r="BC110" i="6"/>
  <c r="G110" i="6"/>
  <c r="AI110" i="6"/>
  <c r="AF110" i="6"/>
  <c r="AZ110" i="6"/>
  <c r="AX110" i="6"/>
  <c r="Z110" i="6"/>
  <c r="Q110" i="6"/>
  <c r="O110" i="6"/>
  <c r="N110" i="6"/>
  <c r="F110" i="6"/>
  <c r="D110" i="6"/>
  <c r="R110" i="6"/>
  <c r="V110" i="6"/>
  <c r="AH110" i="6"/>
  <c r="AT110" i="6"/>
  <c r="BF110" i="6"/>
  <c r="AY110" i="6"/>
  <c r="C110" i="6"/>
  <c r="AM110" i="6"/>
  <c r="AN110" i="6"/>
  <c r="AV110" i="6"/>
  <c r="M110" i="6"/>
  <c r="AA110" i="6"/>
  <c r="AB110" i="6"/>
  <c r="X110" i="6"/>
  <c r="AD110" i="6"/>
  <c r="AC110" i="6"/>
  <c r="AJ110" i="6"/>
  <c r="AO110" i="6"/>
  <c r="BD110" i="6"/>
  <c r="BA110" i="6"/>
  <c r="I110" i="6"/>
  <c r="U110" i="6"/>
  <c r="AR110" i="6"/>
  <c r="E110" i="6"/>
  <c r="AE110" i="6"/>
  <c r="BB110" i="6"/>
  <c r="AP110" i="6"/>
  <c r="T110" i="6"/>
  <c r="AK110" i="6"/>
  <c r="L110" i="6"/>
  <c r="AG110" i="6"/>
  <c r="J110" i="6"/>
  <c r="AS110" i="6"/>
  <c r="P110" i="6"/>
  <c r="H110" i="6"/>
  <c r="BE110" i="6"/>
  <c r="DE58" i="7"/>
  <c r="DZ40" i="7"/>
  <c r="S155" i="13" s="1"/>
  <c r="A173" i="13"/>
  <c r="A143" i="13"/>
  <c r="AP3" i="7"/>
  <c r="B189" i="13" s="1"/>
  <c r="A36" i="7"/>
  <c r="D158" i="6"/>
  <c r="DE62" i="7"/>
  <c r="ED40" i="7"/>
  <c r="W155" i="13" s="1"/>
  <c r="A177" i="13"/>
  <c r="A147" i="13"/>
  <c r="T158" i="6"/>
  <c r="F158" i="6"/>
  <c r="DE52" i="7"/>
  <c r="DF52" i="7" s="1"/>
  <c r="C137" i="13" s="1"/>
  <c r="DT40" i="7"/>
  <c r="M155" i="13" s="1"/>
  <c r="A167" i="13"/>
  <c r="A137" i="13"/>
  <c r="EF40" i="7"/>
  <c r="Y155" i="13" s="1"/>
  <c r="A149" i="13"/>
  <c r="DE64" i="7"/>
  <c r="A179" i="13"/>
  <c r="AQ4" i="7"/>
  <c r="D190" i="13" s="1"/>
  <c r="DU40" i="7"/>
  <c r="N155" i="13" s="1"/>
  <c r="DE53" i="7"/>
  <c r="DF53" i="7" s="1"/>
  <c r="C138" i="13" s="1"/>
  <c r="A138" i="13"/>
  <c r="A168" i="13"/>
  <c r="AP4" i="7" l="1"/>
  <c r="B190" i="13" s="1"/>
  <c r="DG49" i="7"/>
  <c r="D134" i="13" s="1"/>
  <c r="DG41" i="7"/>
  <c r="D126" i="13" s="1"/>
  <c r="DG54" i="7"/>
  <c r="D139" i="13" s="1"/>
  <c r="DF63" i="7"/>
  <c r="C148" i="13" s="1"/>
  <c r="DG47" i="7"/>
  <c r="D132" i="13" s="1"/>
  <c r="C130" i="13"/>
  <c r="DG45" i="7"/>
  <c r="D130" i="13" s="1"/>
  <c r="D159" i="6"/>
  <c r="EG65" i="7"/>
  <c r="Z180" i="13" s="1"/>
  <c r="B150" i="13"/>
  <c r="DX56" i="7"/>
  <c r="Q171" i="13" s="1"/>
  <c r="B141" i="13"/>
  <c r="ED62" i="7"/>
  <c r="W177" i="13" s="1"/>
  <c r="B147" i="13"/>
  <c r="DZ58" i="7"/>
  <c r="S173" i="13" s="1"/>
  <c r="B143" i="13"/>
  <c r="DG50" i="7"/>
  <c r="D135" i="13" s="1"/>
  <c r="N159" i="6"/>
  <c r="DK43" i="7"/>
  <c r="D158" i="13" s="1"/>
  <c r="B128" i="13"/>
  <c r="DF65" i="7"/>
  <c r="C150" i="13" s="1"/>
  <c r="DG60" i="7"/>
  <c r="D145" i="13" s="1"/>
  <c r="DF64" i="7"/>
  <c r="C149" i="13" s="1"/>
  <c r="DO47" i="7"/>
  <c r="H162" i="13" s="1"/>
  <c r="B132" i="13"/>
  <c r="BC61" i="6"/>
  <c r="AB61" i="6"/>
  <c r="B61" i="6"/>
  <c r="AZ61" i="6"/>
  <c r="AT61" i="6"/>
  <c r="T61" i="6"/>
  <c r="AQ61" i="6"/>
  <c r="P61" i="6"/>
  <c r="AN61" i="6"/>
  <c r="M61" i="6"/>
  <c r="A62" i="6"/>
  <c r="AG61" i="6"/>
  <c r="G61" i="6"/>
  <c r="C61" i="6"/>
  <c r="BD61" i="6"/>
  <c r="AW61" i="6"/>
  <c r="AJ61" i="6"/>
  <c r="AD61" i="6"/>
  <c r="W61" i="6"/>
  <c r="J61" i="6"/>
  <c r="AX61" i="6"/>
  <c r="N61" i="6"/>
  <c r="Z61" i="6"/>
  <c r="AL61" i="6"/>
  <c r="R61" i="6"/>
  <c r="AY61" i="6"/>
  <c r="S61" i="6"/>
  <c r="Y61" i="6"/>
  <c r="BF61" i="6"/>
  <c r="AI61" i="6"/>
  <c r="H61" i="6"/>
  <c r="AH61" i="6"/>
  <c r="L61" i="6"/>
  <c r="I61" i="6"/>
  <c r="BE61" i="6"/>
  <c r="AA61" i="6"/>
  <c r="AS61" i="6"/>
  <c r="D61" i="6"/>
  <c r="AE61" i="6"/>
  <c r="AM61" i="6"/>
  <c r="F61" i="6"/>
  <c r="AR61" i="6"/>
  <c r="V61" i="6"/>
  <c r="O61" i="6"/>
  <c r="BB61" i="6"/>
  <c r="AK61" i="6"/>
  <c r="AP61" i="6"/>
  <c r="K61" i="6"/>
  <c r="E61" i="6"/>
  <c r="Q61" i="6"/>
  <c r="AU61" i="6"/>
  <c r="AC61" i="6"/>
  <c r="AO61" i="6"/>
  <c r="AF61" i="6"/>
  <c r="BA61" i="6"/>
  <c r="X61" i="6"/>
  <c r="AV61" i="6"/>
  <c r="U61" i="6"/>
  <c r="DF56" i="7"/>
  <c r="C141" i="13" s="1"/>
  <c r="DL44" i="7"/>
  <c r="E159" i="13" s="1"/>
  <c r="B129" i="13"/>
  <c r="DU53" i="7"/>
  <c r="N168" i="13" s="1"/>
  <c r="B138" i="13"/>
  <c r="DF58" i="7"/>
  <c r="C143" i="13" s="1"/>
  <c r="DG53" i="7"/>
  <c r="D138" i="13" s="1"/>
  <c r="DG43" i="7"/>
  <c r="D128" i="13" s="1"/>
  <c r="DP48" i="7"/>
  <c r="I163" i="13" s="1"/>
  <c r="B133" i="13"/>
  <c r="DV54" i="7"/>
  <c r="O169" i="13" s="1"/>
  <c r="B139" i="13"/>
  <c r="DF62" i="7"/>
  <c r="C147" i="13" s="1"/>
  <c r="V159" i="6"/>
  <c r="A12" i="6"/>
  <c r="A160" i="6"/>
  <c r="B11" i="6"/>
  <c r="B160" i="6" s="1"/>
  <c r="AY11" i="6"/>
  <c r="AH11" i="6"/>
  <c r="Q11" i="6"/>
  <c r="L160" i="6" s="1"/>
  <c r="P11" i="6"/>
  <c r="J11" i="6"/>
  <c r="E160" i="6" s="1"/>
  <c r="AQ11" i="6"/>
  <c r="AM11" i="6"/>
  <c r="V11" i="6"/>
  <c r="E11" i="6"/>
  <c r="U11" i="6"/>
  <c r="P160" i="6" s="1"/>
  <c r="BF11" i="6"/>
  <c r="F11" i="6"/>
  <c r="D11" i="6"/>
  <c r="BD11" i="6"/>
  <c r="AP11" i="6"/>
  <c r="Z11" i="6"/>
  <c r="U160" i="6" s="1"/>
  <c r="AS11" i="6"/>
  <c r="BA11" i="6"/>
  <c r="L11" i="6"/>
  <c r="G160" i="6" s="1"/>
  <c r="N11" i="6"/>
  <c r="I160" i="6" s="1"/>
  <c r="AX11" i="6"/>
  <c r="Y11" i="6"/>
  <c r="I11" i="6"/>
  <c r="H11" i="6"/>
  <c r="AJ11" i="6"/>
  <c r="AF11" i="6"/>
  <c r="AD11" i="6"/>
  <c r="AR11" i="6"/>
  <c r="AV11" i="6"/>
  <c r="BB11" i="6"/>
  <c r="AK11" i="6"/>
  <c r="T11" i="6"/>
  <c r="O160" i="6" s="1"/>
  <c r="BE11" i="6"/>
  <c r="O11" i="6"/>
  <c r="J160" i="6" s="1"/>
  <c r="AN11" i="6"/>
  <c r="AC11" i="6"/>
  <c r="X11" i="6"/>
  <c r="S160" i="6" s="1"/>
  <c r="AA11" i="6"/>
  <c r="V160" i="6" s="1"/>
  <c r="AB11" i="6"/>
  <c r="M11" i="6"/>
  <c r="H160" i="6" s="1"/>
  <c r="R11" i="6"/>
  <c r="AE11" i="6"/>
  <c r="G11" i="6"/>
  <c r="AL11" i="6"/>
  <c r="BC11" i="6"/>
  <c r="AO11" i="6"/>
  <c r="AZ11" i="6"/>
  <c r="AG11" i="6"/>
  <c r="K11" i="6"/>
  <c r="W11" i="6"/>
  <c r="C11" i="6"/>
  <c r="C160" i="6" s="1"/>
  <c r="AW11" i="6"/>
  <c r="S11" i="6"/>
  <c r="N160" i="6" s="1"/>
  <c r="AI11" i="6"/>
  <c r="AT11" i="6"/>
  <c r="AU11" i="6"/>
  <c r="DY57" i="7"/>
  <c r="R172" i="13" s="1"/>
  <c r="B142" i="13"/>
  <c r="DM45" i="7"/>
  <c r="F160" i="13" s="1"/>
  <c r="B130" i="13"/>
  <c r="DF44" i="7"/>
  <c r="C129" i="13" s="1"/>
  <c r="DN46" i="7"/>
  <c r="G161" i="13" s="1"/>
  <c r="B131" i="13"/>
  <c r="AN5" i="7"/>
  <c r="A191" i="13"/>
  <c r="DG57" i="7"/>
  <c r="D142" i="13" s="1"/>
  <c r="DG48" i="7"/>
  <c r="D133" i="13" s="1"/>
  <c r="DI41" i="7"/>
  <c r="B156" i="13" s="1"/>
  <c r="B126" i="13"/>
  <c r="DS51" i="7"/>
  <c r="L166" i="13" s="1"/>
  <c r="B136" i="13"/>
  <c r="DG52" i="7"/>
  <c r="D137" i="13" s="1"/>
  <c r="AQ5" i="7"/>
  <c r="D191" i="13" s="1"/>
  <c r="DJ42" i="7"/>
  <c r="C157" i="13" s="1"/>
  <c r="B127" i="13"/>
  <c r="E159" i="6"/>
  <c r="EC61" i="7"/>
  <c r="V176" i="13" s="1"/>
  <c r="B146" i="13"/>
  <c r="DF51" i="7"/>
  <c r="C136" i="13" s="1"/>
  <c r="DG46" i="7"/>
  <c r="D131" i="13" s="1"/>
  <c r="EF64" i="7"/>
  <c r="Y179" i="13" s="1"/>
  <c r="B149" i="13"/>
  <c r="DT52" i="7"/>
  <c r="M167" i="13" s="1"/>
  <c r="B137" i="13"/>
  <c r="DF42" i="7"/>
  <c r="C127" i="13" s="1"/>
  <c r="L159" i="6"/>
  <c r="DQ49" i="7"/>
  <c r="J164" i="13" s="1"/>
  <c r="B134" i="13"/>
  <c r="DF61" i="7"/>
  <c r="C146" i="13" s="1"/>
  <c r="EE63" i="7"/>
  <c r="X178" i="13" s="1"/>
  <c r="B148" i="13"/>
  <c r="DW55" i="7"/>
  <c r="P170" i="13" s="1"/>
  <c r="B140" i="13"/>
  <c r="C159" i="6"/>
  <c r="EA59" i="7"/>
  <c r="T174" i="13" s="1"/>
  <c r="B144" i="13"/>
  <c r="EB60" i="7"/>
  <c r="U175" i="13" s="1"/>
  <c r="B145" i="13"/>
  <c r="DF55" i="7"/>
  <c r="C140" i="13" s="1"/>
  <c r="AO6" i="7"/>
  <c r="C192" i="13"/>
  <c r="B111" i="6"/>
  <c r="AI111" i="6"/>
  <c r="W111" i="6"/>
  <c r="S111" i="6"/>
  <c r="AU111" i="6"/>
  <c r="AE111" i="6"/>
  <c r="AK111" i="6"/>
  <c r="K111" i="6"/>
  <c r="AF111" i="6"/>
  <c r="T111" i="6"/>
  <c r="R111" i="6"/>
  <c r="A112" i="6"/>
  <c r="BC111" i="6"/>
  <c r="BA111" i="6"/>
  <c r="AS111" i="6"/>
  <c r="Q111" i="6"/>
  <c r="AQ111" i="6"/>
  <c r="H111" i="6"/>
  <c r="BF111" i="6"/>
  <c r="AT111" i="6"/>
  <c r="C111" i="6"/>
  <c r="AY111" i="6"/>
  <c r="V111" i="6"/>
  <c r="X111" i="6"/>
  <c r="AO111" i="6"/>
  <c r="L111" i="6"/>
  <c r="AA111" i="6"/>
  <c r="AB111" i="6"/>
  <c r="D111" i="6"/>
  <c r="AC111" i="6"/>
  <c r="AJ111" i="6"/>
  <c r="AD111" i="6"/>
  <c r="AZ111" i="6"/>
  <c r="AN111" i="6"/>
  <c r="N111" i="6"/>
  <c r="AM111" i="6"/>
  <c r="P111" i="6"/>
  <c r="BB111" i="6"/>
  <c r="I111" i="6"/>
  <c r="Z111" i="6"/>
  <c r="E111" i="6"/>
  <c r="F111" i="6"/>
  <c r="U111" i="6"/>
  <c r="BE111" i="6"/>
  <c r="AW111" i="6"/>
  <c r="J111" i="6"/>
  <c r="Y111" i="6"/>
  <c r="O111" i="6"/>
  <c r="AR111" i="6"/>
  <c r="G111" i="6"/>
  <c r="AH111" i="6"/>
  <c r="AG111" i="6"/>
  <c r="BD111" i="6"/>
  <c r="AL111" i="6"/>
  <c r="AV111" i="6"/>
  <c r="AX111" i="6"/>
  <c r="AP111" i="6"/>
  <c r="M111" i="6"/>
  <c r="DR50" i="7"/>
  <c r="K165" i="13" s="1"/>
  <c r="B135" i="13"/>
  <c r="P159" i="6"/>
  <c r="O159" i="6"/>
  <c r="DF59" i="7"/>
  <c r="DG42" i="7" l="1"/>
  <c r="D127" i="13" s="1"/>
  <c r="DG58" i="7"/>
  <c r="D143" i="13" s="1"/>
  <c r="DG44" i="7"/>
  <c r="D129" i="13" s="1"/>
  <c r="DG65" i="7"/>
  <c r="D150" i="13" s="1"/>
  <c r="DG63" i="7"/>
  <c r="D148" i="13" s="1"/>
  <c r="DG51" i="7"/>
  <c r="D136" i="13" s="1"/>
  <c r="A63" i="6"/>
  <c r="E62" i="6"/>
  <c r="AC62" i="6"/>
  <c r="AO62" i="6"/>
  <c r="B62" i="6"/>
  <c r="W62" i="6"/>
  <c r="V62" i="6"/>
  <c r="AU62" i="6"/>
  <c r="U62" i="6"/>
  <c r="AN62" i="6"/>
  <c r="AK62" i="6"/>
  <c r="K62" i="6"/>
  <c r="AJ62" i="6"/>
  <c r="J62" i="6"/>
  <c r="AI62" i="6"/>
  <c r="AH62" i="6"/>
  <c r="H62" i="6"/>
  <c r="BA62" i="6"/>
  <c r="AR62" i="6"/>
  <c r="AD62" i="6"/>
  <c r="X62" i="6"/>
  <c r="Q62" i="6"/>
  <c r="D62" i="6"/>
  <c r="BE62" i="6"/>
  <c r="N62" i="6"/>
  <c r="Z62" i="6"/>
  <c r="AL62" i="6"/>
  <c r="AY62" i="6"/>
  <c r="AA62" i="6"/>
  <c r="I62" i="6"/>
  <c r="S62" i="6"/>
  <c r="AQ62" i="6"/>
  <c r="C62" i="6"/>
  <c r="F62" i="6"/>
  <c r="AX62" i="6"/>
  <c r="AM62" i="6"/>
  <c r="M62" i="6"/>
  <c r="AZ62" i="6"/>
  <c r="R62" i="6"/>
  <c r="BB62" i="6"/>
  <c r="L62" i="6"/>
  <c r="BD62" i="6"/>
  <c r="AG62" i="6"/>
  <c r="AP62" i="6"/>
  <c r="AB62" i="6"/>
  <c r="G62" i="6"/>
  <c r="Y62" i="6"/>
  <c r="P62" i="6"/>
  <c r="AV62" i="6"/>
  <c r="BC62" i="6"/>
  <c r="BF62" i="6"/>
  <c r="T62" i="6"/>
  <c r="AE62" i="6"/>
  <c r="AW62" i="6"/>
  <c r="AF62" i="6"/>
  <c r="O62" i="6"/>
  <c r="AS62" i="6"/>
  <c r="AT62" i="6"/>
  <c r="AP5" i="7"/>
  <c r="B191" i="13" s="1"/>
  <c r="K160" i="6"/>
  <c r="R160" i="6"/>
  <c r="DG55" i="7"/>
  <c r="D140" i="13" s="1"/>
  <c r="AO7" i="7"/>
  <c r="C193" i="13"/>
  <c r="A113" i="6"/>
  <c r="AI112" i="6"/>
  <c r="N112" i="6"/>
  <c r="AX112" i="6"/>
  <c r="AU112" i="6"/>
  <c r="AE112" i="6"/>
  <c r="BC112" i="6"/>
  <c r="Z112" i="6"/>
  <c r="B112" i="6"/>
  <c r="S112" i="6"/>
  <c r="AS112" i="6"/>
  <c r="Y112" i="6"/>
  <c r="W112" i="6"/>
  <c r="M112" i="6"/>
  <c r="K112" i="6"/>
  <c r="BA112" i="6"/>
  <c r="AV112" i="6"/>
  <c r="AL112" i="6"/>
  <c r="AK112" i="6"/>
  <c r="AT112" i="6"/>
  <c r="J112" i="6"/>
  <c r="O112" i="6"/>
  <c r="D112" i="6"/>
  <c r="AO112" i="6"/>
  <c r="L112" i="6"/>
  <c r="AJ112" i="6"/>
  <c r="R112" i="6"/>
  <c r="AD112" i="6"/>
  <c r="AZ112" i="6"/>
  <c r="AH112" i="6"/>
  <c r="C112" i="6"/>
  <c r="AQ112" i="6"/>
  <c r="V112" i="6"/>
  <c r="H112" i="6"/>
  <c r="BF112" i="6"/>
  <c r="P112" i="6"/>
  <c r="Q112" i="6"/>
  <c r="G112" i="6"/>
  <c r="AY112" i="6"/>
  <c r="T112" i="6"/>
  <c r="BD112" i="6"/>
  <c r="U112" i="6"/>
  <c r="AR112" i="6"/>
  <c r="AW112" i="6"/>
  <c r="F112" i="6"/>
  <c r="X112" i="6"/>
  <c r="AP112" i="6"/>
  <c r="AG112" i="6"/>
  <c r="BE112" i="6"/>
  <c r="AB112" i="6"/>
  <c r="AA112" i="6"/>
  <c r="BB112" i="6"/>
  <c r="AM112" i="6"/>
  <c r="AN112" i="6"/>
  <c r="AC112" i="6"/>
  <c r="E112" i="6"/>
  <c r="AF112" i="6"/>
  <c r="I112" i="6"/>
  <c r="F160" i="6"/>
  <c r="D160" i="6"/>
  <c r="DG62" i="7"/>
  <c r="D147" i="13" s="1"/>
  <c r="Q160" i="6"/>
  <c r="AN6" i="7"/>
  <c r="A192" i="13"/>
  <c r="DG64" i="7"/>
  <c r="D149" i="13" s="1"/>
  <c r="AQ6" i="7"/>
  <c r="D192" i="13" s="1"/>
  <c r="T160" i="6"/>
  <c r="A161" i="6"/>
  <c r="B12" i="6"/>
  <c r="B161" i="6" s="1"/>
  <c r="AC12" i="6"/>
  <c r="K12" i="6"/>
  <c r="F161" i="6" s="1"/>
  <c r="AA12" i="6"/>
  <c r="V161" i="6" s="1"/>
  <c r="J12" i="6"/>
  <c r="A13" i="6"/>
  <c r="BF12" i="6"/>
  <c r="W12" i="6"/>
  <c r="R161" i="6" s="1"/>
  <c r="BC12" i="6"/>
  <c r="S12" i="6"/>
  <c r="N161" i="6" s="1"/>
  <c r="AZ12" i="6"/>
  <c r="Q12" i="6"/>
  <c r="BA12" i="6"/>
  <c r="AY12" i="6"/>
  <c r="R12" i="6"/>
  <c r="P12" i="6"/>
  <c r="K161" i="6" s="1"/>
  <c r="X12" i="6"/>
  <c r="S161" i="6" s="1"/>
  <c r="E12" i="6"/>
  <c r="AN12" i="6"/>
  <c r="T12" i="6"/>
  <c r="O161" i="6" s="1"/>
  <c r="Z12" i="6"/>
  <c r="U161" i="6" s="1"/>
  <c r="AL12" i="6"/>
  <c r="C12" i="6"/>
  <c r="BE12" i="6"/>
  <c r="N12" i="6"/>
  <c r="I161" i="6" s="1"/>
  <c r="AV12" i="6"/>
  <c r="AK12" i="6"/>
  <c r="AM12" i="6"/>
  <c r="F12" i="6"/>
  <c r="H12" i="6"/>
  <c r="AF12" i="6"/>
  <c r="M12" i="6"/>
  <c r="H161" i="6" s="1"/>
  <c r="AR12" i="6"/>
  <c r="AJ12" i="6"/>
  <c r="AO12" i="6"/>
  <c r="BD12" i="6"/>
  <c r="AQ12" i="6"/>
  <c r="AX12" i="6"/>
  <c r="AG12" i="6"/>
  <c r="AW12" i="6"/>
  <c r="O12" i="6"/>
  <c r="D12" i="6"/>
  <c r="BB12" i="6"/>
  <c r="AI12" i="6"/>
  <c r="Y12" i="6"/>
  <c r="T161" i="6" s="1"/>
  <c r="AU12" i="6"/>
  <c r="U12" i="6"/>
  <c r="P161" i="6" s="1"/>
  <c r="L12" i="6"/>
  <c r="G161" i="6" s="1"/>
  <c r="AP12" i="6"/>
  <c r="V12" i="6"/>
  <c r="Q161" i="6" s="1"/>
  <c r="AB12" i="6"/>
  <c r="G12" i="6"/>
  <c r="I12" i="6"/>
  <c r="AE12" i="6"/>
  <c r="AS12" i="6"/>
  <c r="AH12" i="6"/>
  <c r="AD12" i="6"/>
  <c r="AT12" i="6"/>
  <c r="C144" i="13"/>
  <c r="DG59" i="7"/>
  <c r="D144" i="13" s="1"/>
  <c r="DG61" i="7"/>
  <c r="D146" i="13" s="1"/>
  <c r="DG56" i="7"/>
  <c r="D141" i="13" s="1"/>
  <c r="D161" i="6" l="1"/>
  <c r="AP6" i="7"/>
  <c r="B192" i="13" s="1"/>
  <c r="AQ7" i="7"/>
  <c r="D193" i="13" s="1"/>
  <c r="A162" i="6"/>
  <c r="B13" i="6"/>
  <c r="B162" i="6" s="1"/>
  <c r="A14" i="6"/>
  <c r="BF13" i="6"/>
  <c r="AN13" i="6"/>
  <c r="W13" i="6"/>
  <c r="F13" i="6"/>
  <c r="BE13" i="6"/>
  <c r="U13" i="6"/>
  <c r="P162" i="6" s="1"/>
  <c r="E13" i="6"/>
  <c r="S13" i="6"/>
  <c r="N162" i="6" s="1"/>
  <c r="AH13" i="6"/>
  <c r="AT13" i="6"/>
  <c r="AB13" i="6"/>
  <c r="K13" i="6"/>
  <c r="F162" i="6" s="1"/>
  <c r="AE13" i="6"/>
  <c r="J13" i="6"/>
  <c r="E162" i="6" s="1"/>
  <c r="AU13" i="6"/>
  <c r="AS13" i="6"/>
  <c r="X13" i="6"/>
  <c r="S162" i="6" s="1"/>
  <c r="L13" i="6"/>
  <c r="G162" i="6" s="1"/>
  <c r="O13" i="6"/>
  <c r="J162" i="6" s="1"/>
  <c r="AD13" i="6"/>
  <c r="BD13" i="6"/>
  <c r="AX13" i="6"/>
  <c r="AM13" i="6"/>
  <c r="AY13" i="6"/>
  <c r="Q13" i="6"/>
  <c r="L162" i="6" s="1"/>
  <c r="AA13" i="6"/>
  <c r="AV13" i="6"/>
  <c r="AF13" i="6"/>
  <c r="N13" i="6"/>
  <c r="I162" i="6" s="1"/>
  <c r="AW13" i="6"/>
  <c r="AZ13" i="6"/>
  <c r="AP13" i="6"/>
  <c r="AG13" i="6"/>
  <c r="AR13" i="6"/>
  <c r="AL13" i="6"/>
  <c r="P13" i="6"/>
  <c r="K162" i="6" s="1"/>
  <c r="H13" i="6"/>
  <c r="T13" i="6"/>
  <c r="O162" i="6" s="1"/>
  <c r="BA13" i="6"/>
  <c r="D13" i="6"/>
  <c r="G13" i="6"/>
  <c r="AQ13" i="6"/>
  <c r="AK13" i="6"/>
  <c r="V13" i="6"/>
  <c r="Q162" i="6" s="1"/>
  <c r="BB13" i="6"/>
  <c r="R13" i="6"/>
  <c r="BC13" i="6"/>
  <c r="C13" i="6"/>
  <c r="C162" i="6" s="1"/>
  <c r="AJ13" i="6"/>
  <c r="Z13" i="6"/>
  <c r="U162" i="6" s="1"/>
  <c r="AI13" i="6"/>
  <c r="AO13" i="6"/>
  <c r="AC13" i="6"/>
  <c r="Y13" i="6"/>
  <c r="T162" i="6" s="1"/>
  <c r="I13" i="6"/>
  <c r="M13" i="6"/>
  <c r="H162" i="6" s="1"/>
  <c r="J161" i="6"/>
  <c r="E161" i="6"/>
  <c r="L161" i="6"/>
  <c r="AN7" i="7"/>
  <c r="A193" i="13"/>
  <c r="AO8" i="7"/>
  <c r="C194" i="13"/>
  <c r="N113" i="6"/>
  <c r="A114" i="6"/>
  <c r="Z113" i="6"/>
  <c r="W113" i="6"/>
  <c r="G113" i="6"/>
  <c r="AI113" i="6"/>
  <c r="B113" i="6"/>
  <c r="AX113" i="6"/>
  <c r="AW113" i="6"/>
  <c r="AU113" i="6"/>
  <c r="AK113" i="6"/>
  <c r="K113" i="6"/>
  <c r="AL113" i="6"/>
  <c r="AG113" i="6"/>
  <c r="S113" i="6"/>
  <c r="H113" i="6"/>
  <c r="BD113" i="6"/>
  <c r="BC113" i="6"/>
  <c r="AO113" i="6"/>
  <c r="AE113" i="6"/>
  <c r="AF113" i="6"/>
  <c r="C113" i="6"/>
  <c r="AH113" i="6"/>
  <c r="AT113" i="6"/>
  <c r="V113" i="6"/>
  <c r="AB113" i="6"/>
  <c r="AY113" i="6"/>
  <c r="AM113" i="6"/>
  <c r="AA113" i="6"/>
  <c r="AZ113" i="6"/>
  <c r="D113" i="6"/>
  <c r="P113" i="6"/>
  <c r="BA113" i="6"/>
  <c r="X113" i="6"/>
  <c r="Q113" i="6"/>
  <c r="BB113" i="6"/>
  <c r="J113" i="6"/>
  <c r="AN113" i="6"/>
  <c r="T113" i="6"/>
  <c r="AQ113" i="6"/>
  <c r="O113" i="6"/>
  <c r="U113" i="6"/>
  <c r="AS113" i="6"/>
  <c r="F113" i="6"/>
  <c r="AR113" i="6"/>
  <c r="L113" i="6"/>
  <c r="AJ113" i="6"/>
  <c r="AP113" i="6"/>
  <c r="E113" i="6"/>
  <c r="M113" i="6"/>
  <c r="AC113" i="6"/>
  <c r="R113" i="6"/>
  <c r="BE113" i="6"/>
  <c r="BF113" i="6"/>
  <c r="Y113" i="6"/>
  <c r="AD113" i="6"/>
  <c r="AV113" i="6"/>
  <c r="I113" i="6"/>
  <c r="BA63" i="6"/>
  <c r="A64" i="6"/>
  <c r="BF63" i="6"/>
  <c r="AR63" i="6"/>
  <c r="AE63" i="6"/>
  <c r="Q63" i="6"/>
  <c r="AQ63" i="6"/>
  <c r="P63" i="6"/>
  <c r="AP63" i="6"/>
  <c r="O63" i="6"/>
  <c r="H63" i="6"/>
  <c r="AI63" i="6"/>
  <c r="E63" i="6"/>
  <c r="D63" i="6"/>
  <c r="AC63" i="6"/>
  <c r="BD63" i="6"/>
  <c r="AB63" i="6"/>
  <c r="B63" i="6"/>
  <c r="BB63" i="6"/>
  <c r="V63" i="6"/>
  <c r="BC63" i="6"/>
  <c r="AY63" i="6"/>
  <c r="AO63" i="6"/>
  <c r="Y63" i="6"/>
  <c r="R63" i="6"/>
  <c r="L63" i="6"/>
  <c r="AX63" i="6"/>
  <c r="N63" i="6"/>
  <c r="Z63" i="6"/>
  <c r="AL63" i="6"/>
  <c r="I63" i="6"/>
  <c r="AA63" i="6"/>
  <c r="X63" i="6"/>
  <c r="C63" i="6"/>
  <c r="AS63" i="6"/>
  <c r="M63" i="6"/>
  <c r="G63" i="6"/>
  <c r="S63" i="6"/>
  <c r="AW63" i="6"/>
  <c r="U63" i="6"/>
  <c r="AG63" i="6"/>
  <c r="J63" i="6"/>
  <c r="W63" i="6"/>
  <c r="AJ63" i="6"/>
  <c r="BE63" i="6"/>
  <c r="AF63" i="6"/>
  <c r="F63" i="6"/>
  <c r="AT63" i="6"/>
  <c r="K63" i="6"/>
  <c r="T63" i="6"/>
  <c r="AK63" i="6"/>
  <c r="AV63" i="6"/>
  <c r="AZ63" i="6"/>
  <c r="AH63" i="6"/>
  <c r="AD63" i="6"/>
  <c r="AU63" i="6"/>
  <c r="AM63" i="6"/>
  <c r="AN63" i="6"/>
  <c r="C161" i="6"/>
  <c r="D162" i="6" l="1"/>
  <c r="R162" i="6"/>
  <c r="V162" i="6"/>
  <c r="AO9" i="7"/>
  <c r="C195" i="13"/>
  <c r="N114" i="6"/>
  <c r="A115" i="6"/>
  <c r="W114" i="6"/>
  <c r="BC114" i="6"/>
  <c r="AL114" i="6"/>
  <c r="AX114" i="6"/>
  <c r="AE114" i="6"/>
  <c r="Y114" i="6"/>
  <c r="AW114" i="6"/>
  <c r="S114" i="6"/>
  <c r="AU114" i="6"/>
  <c r="G114" i="6"/>
  <c r="AJ114" i="6"/>
  <c r="M114" i="6"/>
  <c r="K114" i="6"/>
  <c r="B114" i="6"/>
  <c r="BB114" i="6"/>
  <c r="BA114" i="6"/>
  <c r="AP114" i="6"/>
  <c r="Z114" i="6"/>
  <c r="J114" i="6"/>
  <c r="V114" i="6"/>
  <c r="AZ114" i="6"/>
  <c r="AD114" i="6"/>
  <c r="BF114" i="6"/>
  <c r="AB114" i="6"/>
  <c r="L114" i="6"/>
  <c r="AY114" i="6"/>
  <c r="D114" i="6"/>
  <c r="AN114" i="6"/>
  <c r="AC114" i="6"/>
  <c r="AV114" i="6"/>
  <c r="H114" i="6"/>
  <c r="I114" i="6"/>
  <c r="O114" i="6"/>
  <c r="AF114" i="6"/>
  <c r="AA114" i="6"/>
  <c r="E114" i="6"/>
  <c r="Q114" i="6"/>
  <c r="AI114" i="6"/>
  <c r="X114" i="6"/>
  <c r="T114" i="6"/>
  <c r="AO114" i="6"/>
  <c r="U114" i="6"/>
  <c r="AK114" i="6"/>
  <c r="R114" i="6"/>
  <c r="BE114" i="6"/>
  <c r="C114" i="6"/>
  <c r="P114" i="6"/>
  <c r="F114" i="6"/>
  <c r="AQ114" i="6"/>
  <c r="AG114" i="6"/>
  <c r="BD114" i="6"/>
  <c r="AH114" i="6"/>
  <c r="AS114" i="6"/>
  <c r="AT114" i="6"/>
  <c r="AM114" i="6"/>
  <c r="AR114" i="6"/>
  <c r="A163" i="6"/>
  <c r="B14" i="6"/>
  <c r="B163" i="6" s="1"/>
  <c r="AZ14" i="6"/>
  <c r="AH14" i="6"/>
  <c r="R14" i="6"/>
  <c r="AY14" i="6"/>
  <c r="AG14" i="6"/>
  <c r="O14" i="6"/>
  <c r="J163" i="6" s="1"/>
  <c r="AU14" i="6"/>
  <c r="AE14" i="6"/>
  <c r="AT14" i="6"/>
  <c r="BF14" i="6"/>
  <c r="AN14" i="6"/>
  <c r="V14" i="6"/>
  <c r="Q163" i="6" s="1"/>
  <c r="F14" i="6"/>
  <c r="A15" i="6"/>
  <c r="BE14" i="6"/>
  <c r="AP14" i="6"/>
  <c r="AM14" i="6"/>
  <c r="Y14" i="6"/>
  <c r="T163" i="6" s="1"/>
  <c r="U14" i="6"/>
  <c r="P163" i="6" s="1"/>
  <c r="G14" i="6"/>
  <c r="D14" i="6"/>
  <c r="N14" i="6"/>
  <c r="I163" i="6" s="1"/>
  <c r="Q14" i="6"/>
  <c r="AJ14" i="6"/>
  <c r="Z14" i="6"/>
  <c r="U163" i="6" s="1"/>
  <c r="AL14" i="6"/>
  <c r="AW14" i="6"/>
  <c r="AD14" i="6"/>
  <c r="BD14" i="6"/>
  <c r="C14" i="6"/>
  <c r="H14" i="6"/>
  <c r="AX14" i="6"/>
  <c r="T14" i="6"/>
  <c r="O163" i="6" s="1"/>
  <c r="P14" i="6"/>
  <c r="K163" i="6" s="1"/>
  <c r="AF14" i="6"/>
  <c r="AB14" i="6"/>
  <c r="L14" i="6"/>
  <c r="G163" i="6" s="1"/>
  <c r="I14" i="6"/>
  <c r="AO14" i="6"/>
  <c r="M14" i="6"/>
  <c r="H163" i="6" s="1"/>
  <c r="K14" i="6"/>
  <c r="F163" i="6" s="1"/>
  <c r="W14" i="6"/>
  <c r="R163" i="6" s="1"/>
  <c r="AR14" i="6"/>
  <c r="X14" i="6"/>
  <c r="S163" i="6" s="1"/>
  <c r="E14" i="6"/>
  <c r="AQ14" i="6"/>
  <c r="BA14" i="6"/>
  <c r="S14" i="6"/>
  <c r="N163" i="6" s="1"/>
  <c r="AA14" i="6"/>
  <c r="V163" i="6" s="1"/>
  <c r="AC14" i="6"/>
  <c r="AS14" i="6"/>
  <c r="AK14" i="6"/>
  <c r="J14" i="6"/>
  <c r="AV14" i="6"/>
  <c r="BC14" i="6"/>
  <c r="BB14" i="6"/>
  <c r="AI14" i="6"/>
  <c r="A65" i="6"/>
  <c r="E64" i="6"/>
  <c r="Q64" i="6"/>
  <c r="AO64" i="6"/>
  <c r="B64" i="6"/>
  <c r="BA64" i="6"/>
  <c r="AZ64" i="6"/>
  <c r="V64" i="6"/>
  <c r="S64" i="6"/>
  <c r="AW64" i="6"/>
  <c r="P64" i="6"/>
  <c r="J64" i="6"/>
  <c r="AF64" i="6"/>
  <c r="BF64" i="6"/>
  <c r="Y64" i="6"/>
  <c r="BC64" i="6"/>
  <c r="AS64" i="6"/>
  <c r="AC64" i="6"/>
  <c r="X64" i="6"/>
  <c r="L64" i="6"/>
  <c r="AL64" i="6"/>
  <c r="Z64" i="6"/>
  <c r="AX64" i="6"/>
  <c r="N64" i="6"/>
  <c r="I64" i="6"/>
  <c r="BB64" i="6"/>
  <c r="AD64" i="6"/>
  <c r="F64" i="6"/>
  <c r="AY64" i="6"/>
  <c r="AK64" i="6"/>
  <c r="AP64" i="6"/>
  <c r="C64" i="6"/>
  <c r="AJ64" i="6"/>
  <c r="U64" i="6"/>
  <c r="M64" i="6"/>
  <c r="G64" i="6"/>
  <c r="H64" i="6"/>
  <c r="AA64" i="6"/>
  <c r="BE64" i="6"/>
  <c r="R64" i="6"/>
  <c r="AB64" i="6"/>
  <c r="O64" i="6"/>
  <c r="AM64" i="6"/>
  <c r="AT64" i="6"/>
  <c r="AH64" i="6"/>
  <c r="D64" i="6"/>
  <c r="AV64" i="6"/>
  <c r="AQ64" i="6"/>
  <c r="AI64" i="6"/>
  <c r="BD64" i="6"/>
  <c r="K64" i="6"/>
  <c r="AG64" i="6"/>
  <c r="W64" i="6"/>
  <c r="AU64" i="6"/>
  <c r="AN64" i="6"/>
  <c r="T64" i="6"/>
  <c r="AE64" i="6"/>
  <c r="AR64" i="6"/>
  <c r="AN8" i="7"/>
  <c r="A194" i="13"/>
  <c r="AQ8" i="7"/>
  <c r="D194" i="13" s="1"/>
  <c r="AP7" i="7"/>
  <c r="B193" i="13" s="1"/>
  <c r="AP8" i="7" l="1"/>
  <c r="B194" i="13" s="1"/>
  <c r="E163" i="6"/>
  <c r="A164" i="6"/>
  <c r="AU15" i="6"/>
  <c r="AB15" i="6"/>
  <c r="AT15" i="6"/>
  <c r="AA15" i="6"/>
  <c r="V164" i="6" s="1"/>
  <c r="J15" i="6"/>
  <c r="E164" i="6" s="1"/>
  <c r="A16" i="6"/>
  <c r="W15" i="6"/>
  <c r="R164" i="6" s="1"/>
  <c r="BB15" i="6"/>
  <c r="B15" i="6"/>
  <c r="B164" i="6" s="1"/>
  <c r="AZ15" i="6"/>
  <c r="AI15" i="6"/>
  <c r="P15" i="6"/>
  <c r="K164" i="6" s="1"/>
  <c r="O15" i="6"/>
  <c r="J164" i="6" s="1"/>
  <c r="BA15" i="6"/>
  <c r="AY15" i="6"/>
  <c r="AJ15" i="6"/>
  <c r="AH15" i="6"/>
  <c r="T15" i="6"/>
  <c r="O164" i="6" s="1"/>
  <c r="AV15" i="6"/>
  <c r="AM15" i="6"/>
  <c r="Z15" i="6"/>
  <c r="U164" i="6" s="1"/>
  <c r="AL15" i="6"/>
  <c r="AF15" i="6"/>
  <c r="N15" i="6"/>
  <c r="I164" i="6" s="1"/>
  <c r="D15" i="6"/>
  <c r="AX15" i="6"/>
  <c r="E15" i="6"/>
  <c r="AR15" i="6"/>
  <c r="U15" i="6"/>
  <c r="P164" i="6" s="1"/>
  <c r="BD15" i="6"/>
  <c r="Q15" i="6"/>
  <c r="L164" i="6" s="1"/>
  <c r="F15" i="6"/>
  <c r="C15" i="6"/>
  <c r="C164" i="6" s="1"/>
  <c r="V15" i="6"/>
  <c r="Q164" i="6" s="1"/>
  <c r="G15" i="6"/>
  <c r="BF15" i="6"/>
  <c r="Y15" i="6"/>
  <c r="T164" i="6" s="1"/>
  <c r="BE15" i="6"/>
  <c r="AK15" i="6"/>
  <c r="AO15" i="6"/>
  <c r="S15" i="6"/>
  <c r="N164" i="6" s="1"/>
  <c r="X15" i="6"/>
  <c r="S164" i="6" s="1"/>
  <c r="R15" i="6"/>
  <c r="AD15" i="6"/>
  <c r="AN15" i="6"/>
  <c r="H15" i="6"/>
  <c r="AQ15" i="6"/>
  <c r="AS15" i="6"/>
  <c r="K15" i="6"/>
  <c r="F164" i="6" s="1"/>
  <c r="L15" i="6"/>
  <c r="G164" i="6" s="1"/>
  <c r="BC15" i="6"/>
  <c r="AE15" i="6"/>
  <c r="I15" i="6"/>
  <c r="AP15" i="6"/>
  <c r="AG15" i="6"/>
  <c r="AW15" i="6"/>
  <c r="M15" i="6"/>
  <c r="H164" i="6" s="1"/>
  <c r="AC15" i="6"/>
  <c r="AO10" i="7"/>
  <c r="C196" i="13"/>
  <c r="N115" i="6"/>
  <c r="AX115" i="6"/>
  <c r="AI115" i="6"/>
  <c r="B115" i="6"/>
  <c r="A116" i="6"/>
  <c r="AL115" i="6"/>
  <c r="K115" i="6"/>
  <c r="Z115" i="6"/>
  <c r="W115" i="6"/>
  <c r="AW115" i="6"/>
  <c r="G115" i="6"/>
  <c r="AR115" i="6"/>
  <c r="AF115" i="6"/>
  <c r="M115" i="6"/>
  <c r="H115" i="6"/>
  <c r="AS115" i="6"/>
  <c r="AU115" i="6"/>
  <c r="AE115" i="6"/>
  <c r="AT115" i="6"/>
  <c r="BF115" i="6"/>
  <c r="AH115" i="6"/>
  <c r="J115" i="6"/>
  <c r="Q115" i="6"/>
  <c r="AC115" i="6"/>
  <c r="AV115" i="6"/>
  <c r="P115" i="6"/>
  <c r="E115" i="6"/>
  <c r="F115" i="6"/>
  <c r="AB115" i="6"/>
  <c r="AA115" i="6"/>
  <c r="L115" i="6"/>
  <c r="X115" i="6"/>
  <c r="AG115" i="6"/>
  <c r="AP115" i="6"/>
  <c r="O115" i="6"/>
  <c r="AZ115" i="6"/>
  <c r="V115" i="6"/>
  <c r="BD115" i="6"/>
  <c r="BC115" i="6"/>
  <c r="AY115" i="6"/>
  <c r="D115" i="6"/>
  <c r="AQ115" i="6"/>
  <c r="C115" i="6"/>
  <c r="AJ115" i="6"/>
  <c r="BE115" i="6"/>
  <c r="AN115" i="6"/>
  <c r="R115" i="6"/>
  <c r="AM115" i="6"/>
  <c r="I115" i="6"/>
  <c r="BA115" i="6"/>
  <c r="AO115" i="6"/>
  <c r="AD115" i="6"/>
  <c r="S115" i="6"/>
  <c r="T115" i="6"/>
  <c r="U115" i="6"/>
  <c r="Y115" i="6"/>
  <c r="BB115" i="6"/>
  <c r="AK115" i="6"/>
  <c r="L163" i="6"/>
  <c r="A195" i="13"/>
  <c r="AN9" i="7"/>
  <c r="AQ9" i="7"/>
  <c r="D195" i="13" s="1"/>
  <c r="AC65" i="6"/>
  <c r="AO65" i="6"/>
  <c r="B65" i="6"/>
  <c r="A66" i="6"/>
  <c r="AT65" i="6"/>
  <c r="T65" i="6"/>
  <c r="G65" i="6"/>
  <c r="BD65" i="6"/>
  <c r="W65" i="6"/>
  <c r="BA65" i="6"/>
  <c r="S65" i="6"/>
  <c r="Q65" i="6"/>
  <c r="AR65" i="6"/>
  <c r="AQ65" i="6"/>
  <c r="J65" i="6"/>
  <c r="AN65" i="6"/>
  <c r="AJ65" i="6"/>
  <c r="E65" i="6"/>
  <c r="AE65" i="6"/>
  <c r="BF65" i="6"/>
  <c r="AF65" i="6"/>
  <c r="AD65" i="6"/>
  <c r="R65" i="6"/>
  <c r="D65" i="6"/>
  <c r="AL65" i="6"/>
  <c r="N65" i="6"/>
  <c r="Z65" i="6"/>
  <c r="AX65" i="6"/>
  <c r="Y65" i="6"/>
  <c r="BE65" i="6"/>
  <c r="AU65" i="6"/>
  <c r="H65" i="6"/>
  <c r="K65" i="6"/>
  <c r="I65" i="6"/>
  <c r="M65" i="6"/>
  <c r="AA65" i="6"/>
  <c r="O65" i="6"/>
  <c r="AS65" i="6"/>
  <c r="AY65" i="6"/>
  <c r="AW65" i="6"/>
  <c r="F65" i="6"/>
  <c r="AG65" i="6"/>
  <c r="V65" i="6"/>
  <c r="AP65" i="6"/>
  <c r="X65" i="6"/>
  <c r="AI65" i="6"/>
  <c r="AB65" i="6"/>
  <c r="P65" i="6"/>
  <c r="BB65" i="6"/>
  <c r="BC65" i="6"/>
  <c r="AZ65" i="6"/>
  <c r="AK65" i="6"/>
  <c r="L65" i="6"/>
  <c r="AH65" i="6"/>
  <c r="AV65" i="6"/>
  <c r="C65" i="6"/>
  <c r="AM65" i="6"/>
  <c r="U65" i="6"/>
  <c r="D163" i="6"/>
  <c r="C163" i="6"/>
  <c r="A67" i="6" l="1"/>
  <c r="Q66" i="6"/>
  <c r="AC66" i="6"/>
  <c r="B66" i="6"/>
  <c r="AO66" i="6"/>
  <c r="AB66" i="6"/>
  <c r="AE66" i="6"/>
  <c r="BE66" i="6"/>
  <c r="Y66" i="6"/>
  <c r="AZ66" i="6"/>
  <c r="AU66" i="6"/>
  <c r="AR66" i="6"/>
  <c r="AN66" i="6"/>
  <c r="K66" i="6"/>
  <c r="AK66" i="6"/>
  <c r="E66" i="6"/>
  <c r="BA66" i="6"/>
  <c r="AL66" i="6"/>
  <c r="AH66" i="6"/>
  <c r="X66" i="6"/>
  <c r="H66" i="6"/>
  <c r="N66" i="6"/>
  <c r="AX66" i="6"/>
  <c r="Z66" i="6"/>
  <c r="AY66" i="6"/>
  <c r="AP66" i="6"/>
  <c r="AV66" i="6"/>
  <c r="AQ66" i="6"/>
  <c r="O66" i="6"/>
  <c r="AM66" i="6"/>
  <c r="M66" i="6"/>
  <c r="P66" i="6"/>
  <c r="AF66" i="6"/>
  <c r="AD66" i="6"/>
  <c r="U66" i="6"/>
  <c r="BC66" i="6"/>
  <c r="BF66" i="6"/>
  <c r="F66" i="6"/>
  <c r="AJ66" i="6"/>
  <c r="L66" i="6"/>
  <c r="I66" i="6"/>
  <c r="AS66" i="6"/>
  <c r="AT66" i="6"/>
  <c r="D66" i="6"/>
  <c r="V66" i="6"/>
  <c r="AA66" i="6"/>
  <c r="R66" i="6"/>
  <c r="BD66" i="6"/>
  <c r="AI66" i="6"/>
  <c r="J66" i="6"/>
  <c r="W66" i="6"/>
  <c r="S66" i="6"/>
  <c r="AG66" i="6"/>
  <c r="BB66" i="6"/>
  <c r="C66" i="6"/>
  <c r="AW66" i="6"/>
  <c r="G66" i="6"/>
  <c r="T66" i="6"/>
  <c r="AQ10" i="7"/>
  <c r="D196" i="13" s="1"/>
  <c r="A165" i="6"/>
  <c r="A17" i="6"/>
  <c r="AO16" i="6"/>
  <c r="W16" i="6"/>
  <c r="R165" i="6" s="1"/>
  <c r="F16" i="6"/>
  <c r="AN16" i="6"/>
  <c r="V16" i="6"/>
  <c r="Q165" i="6" s="1"/>
  <c r="D16" i="6"/>
  <c r="S16" i="6"/>
  <c r="N165" i="6" s="1"/>
  <c r="B16" i="6"/>
  <c r="B165" i="6" s="1"/>
  <c r="AI16" i="6"/>
  <c r="AU16" i="6"/>
  <c r="AC16" i="6"/>
  <c r="K16" i="6"/>
  <c r="F165" i="6" s="1"/>
  <c r="AT16" i="6"/>
  <c r="AD16" i="6"/>
  <c r="AB16" i="6"/>
  <c r="N16" i="6"/>
  <c r="I165" i="6" s="1"/>
  <c r="J16" i="6"/>
  <c r="E165" i="6" s="1"/>
  <c r="M16" i="6"/>
  <c r="H165" i="6" s="1"/>
  <c r="BB16" i="6"/>
  <c r="AX16" i="6"/>
  <c r="AV16" i="6"/>
  <c r="P16" i="6"/>
  <c r="K165" i="6" s="1"/>
  <c r="BD16" i="6"/>
  <c r="Y16" i="6"/>
  <c r="T165" i="6" s="1"/>
  <c r="AH16" i="6"/>
  <c r="AF16" i="6"/>
  <c r="Z16" i="6"/>
  <c r="U165" i="6" s="1"/>
  <c r="E16" i="6"/>
  <c r="AR16" i="6"/>
  <c r="L16" i="6"/>
  <c r="G165" i="6" s="1"/>
  <c r="AM16" i="6"/>
  <c r="O16" i="6"/>
  <c r="J165" i="6" s="1"/>
  <c r="H16" i="6"/>
  <c r="T16" i="6"/>
  <c r="O165" i="6" s="1"/>
  <c r="AJ16" i="6"/>
  <c r="AE16" i="6"/>
  <c r="I16" i="6"/>
  <c r="AL16" i="6"/>
  <c r="X16" i="6"/>
  <c r="S165" i="6" s="1"/>
  <c r="Q16" i="6"/>
  <c r="L165" i="6" s="1"/>
  <c r="AW16" i="6"/>
  <c r="AP16" i="6"/>
  <c r="AQ16" i="6"/>
  <c r="AZ16" i="6"/>
  <c r="R16" i="6"/>
  <c r="AS16" i="6"/>
  <c r="BA16" i="6"/>
  <c r="BE16" i="6"/>
  <c r="G16" i="6"/>
  <c r="AY16" i="6"/>
  <c r="AK16" i="6"/>
  <c r="U16" i="6"/>
  <c r="P165" i="6" s="1"/>
  <c r="C16" i="6"/>
  <c r="C165" i="6" s="1"/>
  <c r="AG16" i="6"/>
  <c r="BF16" i="6"/>
  <c r="AA16" i="6"/>
  <c r="V165" i="6" s="1"/>
  <c r="BC16" i="6"/>
  <c r="AO11" i="7"/>
  <c r="AX116" i="6"/>
  <c r="C197" i="13"/>
  <c r="N116" i="6"/>
  <c r="AL116" i="6"/>
  <c r="S116" i="6"/>
  <c r="B116" i="6"/>
  <c r="BC116" i="6"/>
  <c r="AI116" i="6"/>
  <c r="AE116" i="6"/>
  <c r="A117" i="6"/>
  <c r="Z116" i="6"/>
  <c r="Y116" i="6"/>
  <c r="K116" i="6"/>
  <c r="AQ116" i="6"/>
  <c r="AU116" i="6"/>
  <c r="U116" i="6"/>
  <c r="T116" i="6"/>
  <c r="M116" i="6"/>
  <c r="F116" i="6"/>
  <c r="AW116" i="6"/>
  <c r="AN116" i="6"/>
  <c r="AF116" i="6"/>
  <c r="D116" i="6"/>
  <c r="J116" i="6"/>
  <c r="V116" i="6"/>
  <c r="BF116" i="6"/>
  <c r="AT116" i="6"/>
  <c r="E116" i="6"/>
  <c r="Q116" i="6"/>
  <c r="AC116" i="6"/>
  <c r="AM116" i="6"/>
  <c r="AB116" i="6"/>
  <c r="X116" i="6"/>
  <c r="AJ116" i="6"/>
  <c r="C116" i="6"/>
  <c r="I116" i="6"/>
  <c r="P116" i="6"/>
  <c r="H116" i="6"/>
  <c r="AA116" i="6"/>
  <c r="L116" i="6"/>
  <c r="AP116" i="6"/>
  <c r="BB116" i="6"/>
  <c r="BD116" i="6"/>
  <c r="BE116" i="6"/>
  <c r="O116" i="6"/>
  <c r="AD116" i="6"/>
  <c r="G116" i="6"/>
  <c r="R116" i="6"/>
  <c r="W116" i="6"/>
  <c r="AH116" i="6"/>
  <c r="AR116" i="6"/>
  <c r="BA116" i="6"/>
  <c r="AS116" i="6"/>
  <c r="AZ116" i="6"/>
  <c r="AV116" i="6"/>
  <c r="AK116" i="6"/>
  <c r="AG116" i="6"/>
  <c r="AY116" i="6"/>
  <c r="AO116" i="6"/>
  <c r="AP9" i="7"/>
  <c r="B195" i="13" s="1"/>
  <c r="D164" i="6"/>
  <c r="AP10" i="7" s="1"/>
  <c r="B196" i="13" s="1"/>
  <c r="AN10" i="7"/>
  <c r="A196" i="13"/>
  <c r="AQ11" i="7" l="1"/>
  <c r="D197" i="13" s="1"/>
  <c r="AN11" i="7"/>
  <c r="A197" i="13"/>
  <c r="AO12" i="7"/>
  <c r="C198" i="13"/>
  <c r="B117" i="6"/>
  <c r="A118" i="6"/>
  <c r="K117" i="6"/>
  <c r="AI117" i="6"/>
  <c r="G117" i="6"/>
  <c r="AK117" i="6"/>
  <c r="AU117" i="6"/>
  <c r="BD117" i="6"/>
  <c r="Y117" i="6"/>
  <c r="W117" i="6"/>
  <c r="I117" i="6"/>
  <c r="AP117" i="6"/>
  <c r="AN117" i="6"/>
  <c r="H117" i="6"/>
  <c r="AH117" i="6"/>
  <c r="J117" i="6"/>
  <c r="AT117" i="6"/>
  <c r="L117" i="6"/>
  <c r="U117" i="6"/>
  <c r="V117" i="6"/>
  <c r="BF117" i="6"/>
  <c r="C117" i="6"/>
  <c r="P117" i="6"/>
  <c r="BB117" i="6"/>
  <c r="AM117" i="6"/>
  <c r="AO117" i="6"/>
  <c r="O117" i="6"/>
  <c r="AA117" i="6"/>
  <c r="AB117" i="6"/>
  <c r="AC117" i="6"/>
  <c r="BA117" i="6"/>
  <c r="T117" i="6"/>
  <c r="F117" i="6"/>
  <c r="E117" i="6"/>
  <c r="BE117" i="6"/>
  <c r="N117" i="6"/>
  <c r="AE117" i="6"/>
  <c r="AX117" i="6"/>
  <c r="AF117" i="6"/>
  <c r="AR117" i="6"/>
  <c r="AQ117" i="6"/>
  <c r="D117" i="6"/>
  <c r="AD117" i="6"/>
  <c r="AW117" i="6"/>
  <c r="X117" i="6"/>
  <c r="BC117" i="6"/>
  <c r="AY117" i="6"/>
  <c r="AZ117" i="6"/>
  <c r="R117" i="6"/>
  <c r="AG117" i="6"/>
  <c r="AS117" i="6"/>
  <c r="AV117" i="6"/>
  <c r="S117" i="6"/>
  <c r="AJ117" i="6"/>
  <c r="Q117" i="6"/>
  <c r="M117" i="6"/>
  <c r="Z117" i="6"/>
  <c r="AL117" i="6"/>
  <c r="D165" i="6"/>
  <c r="AP11" i="7" s="1"/>
  <c r="B197" i="13" s="1"/>
  <c r="A166" i="6"/>
  <c r="A18" i="6"/>
  <c r="B17" i="6"/>
  <c r="B166" i="6" s="1"/>
  <c r="BA17" i="6"/>
  <c r="Q17" i="6"/>
  <c r="L166" i="6" s="1"/>
  <c r="AY17" i="6"/>
  <c r="AH17" i="6"/>
  <c r="P17" i="6"/>
  <c r="K166" i="6" s="1"/>
  <c r="AQ17" i="6"/>
  <c r="AO17" i="6"/>
  <c r="E17" i="6"/>
  <c r="D17" i="6"/>
  <c r="V17" i="6"/>
  <c r="Q166" i="6" s="1"/>
  <c r="Y17" i="6"/>
  <c r="T166" i="6" s="1"/>
  <c r="AP17" i="6"/>
  <c r="AN17" i="6"/>
  <c r="H17" i="6"/>
  <c r="T17" i="6"/>
  <c r="O166" i="6" s="1"/>
  <c r="F17" i="6"/>
  <c r="N17" i="6"/>
  <c r="I166" i="6" s="1"/>
  <c r="AL17" i="6"/>
  <c r="AD17" i="6"/>
  <c r="AV17" i="6"/>
  <c r="AW17" i="6"/>
  <c r="Z17" i="6"/>
  <c r="U166" i="6" s="1"/>
  <c r="AM17" i="6"/>
  <c r="J17" i="6"/>
  <c r="E166" i="6" s="1"/>
  <c r="L17" i="6"/>
  <c r="G166" i="6" s="1"/>
  <c r="AX17" i="6"/>
  <c r="X17" i="6"/>
  <c r="S166" i="6" s="1"/>
  <c r="AF17" i="6"/>
  <c r="AR17" i="6"/>
  <c r="AB17" i="6"/>
  <c r="AS17" i="6"/>
  <c r="BD17" i="6"/>
  <c r="AZ17" i="6"/>
  <c r="BE17" i="6"/>
  <c r="AJ17" i="6"/>
  <c r="M17" i="6"/>
  <c r="H166" i="6" s="1"/>
  <c r="AC17" i="6"/>
  <c r="S17" i="6"/>
  <c r="N166" i="6" s="1"/>
  <c r="O17" i="6"/>
  <c r="J166" i="6" s="1"/>
  <c r="I17" i="6"/>
  <c r="AE17" i="6"/>
  <c r="BF17" i="6"/>
  <c r="W17" i="6"/>
  <c r="R166" i="6" s="1"/>
  <c r="AU17" i="6"/>
  <c r="R17" i="6"/>
  <c r="K17" i="6"/>
  <c r="F166" i="6" s="1"/>
  <c r="BC17" i="6"/>
  <c r="AK17" i="6"/>
  <c r="AT17" i="6"/>
  <c r="BB17" i="6"/>
  <c r="AI17" i="6"/>
  <c r="G17" i="6"/>
  <c r="C17" i="6"/>
  <c r="C166" i="6" s="1"/>
  <c r="AG17" i="6"/>
  <c r="U17" i="6"/>
  <c r="P166" i="6" s="1"/>
  <c r="AA17" i="6"/>
  <c r="V166" i="6" s="1"/>
  <c r="AI67" i="6"/>
  <c r="V67" i="6"/>
  <c r="AH67" i="6"/>
  <c r="B67" i="6"/>
  <c r="AF67" i="6"/>
  <c r="BF67" i="6"/>
  <c r="BC67" i="6"/>
  <c r="T67" i="6"/>
  <c r="AU67" i="6"/>
  <c r="S67" i="6"/>
  <c r="AT67" i="6"/>
  <c r="AP67" i="6"/>
  <c r="H67" i="6"/>
  <c r="G67" i="6"/>
  <c r="A68" i="6"/>
  <c r="AS67" i="6"/>
  <c r="AL67" i="6"/>
  <c r="AB67" i="6"/>
  <c r="L67" i="6"/>
  <c r="N67" i="6"/>
  <c r="AX67" i="6"/>
  <c r="Y67" i="6"/>
  <c r="Z67" i="6"/>
  <c r="C67" i="6"/>
  <c r="AK67" i="6"/>
  <c r="O67" i="6"/>
  <c r="AM67" i="6"/>
  <c r="R67" i="6"/>
  <c r="BB67" i="6"/>
  <c r="AV67" i="6"/>
  <c r="AW67" i="6"/>
  <c r="F67" i="6"/>
  <c r="K67" i="6"/>
  <c r="AA67" i="6"/>
  <c r="AY67" i="6"/>
  <c r="AJ67" i="6"/>
  <c r="J67" i="6"/>
  <c r="AZ67" i="6"/>
  <c r="I67" i="6"/>
  <c r="AD67" i="6"/>
  <c r="BE67" i="6"/>
  <c r="M67" i="6"/>
  <c r="AN67" i="6"/>
  <c r="X67" i="6"/>
  <c r="U67" i="6"/>
  <c r="P67" i="6"/>
  <c r="AQ67" i="6"/>
  <c r="D67" i="6"/>
  <c r="E67" i="6"/>
  <c r="BD67" i="6"/>
  <c r="AE67" i="6"/>
  <c r="Q67" i="6"/>
  <c r="W67" i="6"/>
  <c r="BA67" i="6"/>
  <c r="AC67" i="6"/>
  <c r="AO67" i="6"/>
  <c r="AR67" i="6"/>
  <c r="AG67" i="6"/>
  <c r="A167" i="6" l="1"/>
  <c r="B18" i="6"/>
  <c r="B167" i="6" s="1"/>
  <c r="A19" i="6"/>
  <c r="AU18" i="6"/>
  <c r="AD18" i="6"/>
  <c r="K18" i="6"/>
  <c r="F167" i="6" s="1"/>
  <c r="AS18" i="6"/>
  <c r="AC18" i="6"/>
  <c r="J18" i="6"/>
  <c r="E167" i="6" s="1"/>
  <c r="AQ18" i="6"/>
  <c r="D18" i="6"/>
  <c r="BC18" i="6"/>
  <c r="S18" i="6"/>
  <c r="N167" i="6" s="1"/>
  <c r="AZ18" i="6"/>
  <c r="AI18" i="6"/>
  <c r="R18" i="6"/>
  <c r="AY18" i="6"/>
  <c r="AH18" i="6"/>
  <c r="Q18" i="6"/>
  <c r="L167" i="6" s="1"/>
  <c r="C18" i="6"/>
  <c r="C167" i="6" s="1"/>
  <c r="X18" i="6"/>
  <c r="S167" i="6" s="1"/>
  <c r="BA18" i="6"/>
  <c r="F18" i="6"/>
  <c r="N18" i="6"/>
  <c r="I167" i="6" s="1"/>
  <c r="Z18" i="6"/>
  <c r="U167" i="6" s="1"/>
  <c r="AL18" i="6"/>
  <c r="W18" i="6"/>
  <c r="R167" i="6" s="1"/>
  <c r="AP18" i="6"/>
  <c r="O18" i="6"/>
  <c r="J167" i="6" s="1"/>
  <c r="BF18" i="6"/>
  <c r="E18" i="6"/>
  <c r="M18" i="6"/>
  <c r="H167" i="6" s="1"/>
  <c r="V18" i="6"/>
  <c r="Q167" i="6" s="1"/>
  <c r="Y18" i="6"/>
  <c r="T167" i="6" s="1"/>
  <c r="AW18" i="6"/>
  <c r="AM18" i="6"/>
  <c r="H18" i="6"/>
  <c r="T18" i="6"/>
  <c r="O167" i="6" s="1"/>
  <c r="BD18" i="6"/>
  <c r="AF18" i="6"/>
  <c r="U18" i="6"/>
  <c r="P167" i="6" s="1"/>
  <c r="BB18" i="6"/>
  <c r="AX18" i="6"/>
  <c r="AE18" i="6"/>
  <c r="P18" i="6"/>
  <c r="K167" i="6" s="1"/>
  <c r="AN18" i="6"/>
  <c r="BE18" i="6"/>
  <c r="AT18" i="6"/>
  <c r="AA18" i="6"/>
  <c r="V167" i="6" s="1"/>
  <c r="AB18" i="6"/>
  <c r="AV18" i="6"/>
  <c r="G18" i="6"/>
  <c r="L18" i="6"/>
  <c r="G167" i="6" s="1"/>
  <c r="AK18" i="6"/>
  <c r="AO18" i="6"/>
  <c r="AJ18" i="6"/>
  <c r="AR18" i="6"/>
  <c r="I18" i="6"/>
  <c r="AG18" i="6"/>
  <c r="AO13" i="7"/>
  <c r="C199" i="13"/>
  <c r="AL118" i="6"/>
  <c r="Z118" i="6"/>
  <c r="K118" i="6"/>
  <c r="AU118" i="6"/>
  <c r="AX118" i="6"/>
  <c r="N118" i="6"/>
  <c r="AE118" i="6"/>
  <c r="AQ118" i="6"/>
  <c r="W118" i="6"/>
  <c r="A119" i="6"/>
  <c r="AI118" i="6"/>
  <c r="T118" i="6"/>
  <c r="S118" i="6"/>
  <c r="BE118" i="6"/>
  <c r="B118" i="6"/>
  <c r="AT118" i="6"/>
  <c r="BF118" i="6"/>
  <c r="J118" i="6"/>
  <c r="AA118" i="6"/>
  <c r="AB118" i="6"/>
  <c r="AJ118" i="6"/>
  <c r="AM118" i="6"/>
  <c r="BA118" i="6"/>
  <c r="X118" i="6"/>
  <c r="C118" i="6"/>
  <c r="AO118" i="6"/>
  <c r="BB118" i="6"/>
  <c r="AH118" i="6"/>
  <c r="O118" i="6"/>
  <c r="E118" i="6"/>
  <c r="AY118" i="6"/>
  <c r="I118" i="6"/>
  <c r="M118" i="6"/>
  <c r="AG118" i="6"/>
  <c r="R118" i="6"/>
  <c r="Y118" i="6"/>
  <c r="V118" i="6"/>
  <c r="D118" i="6"/>
  <c r="AN118" i="6"/>
  <c r="AK118" i="6"/>
  <c r="BD118" i="6"/>
  <c r="AW118" i="6"/>
  <c r="U118" i="6"/>
  <c r="AP118" i="6"/>
  <c r="H118" i="6"/>
  <c r="BC118" i="6"/>
  <c r="AV118" i="6"/>
  <c r="AS118" i="6"/>
  <c r="AF118" i="6"/>
  <c r="AC118" i="6"/>
  <c r="P118" i="6"/>
  <c r="Q118" i="6"/>
  <c r="L118" i="6"/>
  <c r="AR118" i="6"/>
  <c r="AD118" i="6"/>
  <c r="G118" i="6"/>
  <c r="AZ118" i="6"/>
  <c r="F118" i="6"/>
  <c r="A198" i="13"/>
  <c r="AN12" i="7"/>
  <c r="E68" i="6"/>
  <c r="Q68" i="6"/>
  <c r="BD68" i="6"/>
  <c r="AC68" i="6"/>
  <c r="AN68" i="6"/>
  <c r="J68" i="6"/>
  <c r="AJ68" i="6"/>
  <c r="B68" i="6"/>
  <c r="AB68" i="6"/>
  <c r="A69" i="6"/>
  <c r="BA68" i="6"/>
  <c r="W68" i="6"/>
  <c r="AZ68" i="6"/>
  <c r="T68" i="6"/>
  <c r="AT68" i="6"/>
  <c r="AW68" i="6"/>
  <c r="AO68" i="6"/>
  <c r="AG68" i="6"/>
  <c r="O68" i="6"/>
  <c r="M68" i="6"/>
  <c r="AX68" i="6"/>
  <c r="AL68" i="6"/>
  <c r="Z68" i="6"/>
  <c r="N68" i="6"/>
  <c r="C68" i="6"/>
  <c r="BB68" i="6"/>
  <c r="AV68" i="6"/>
  <c r="R68" i="6"/>
  <c r="F68" i="6"/>
  <c r="Y68" i="6"/>
  <c r="AM68" i="6"/>
  <c r="P68" i="6"/>
  <c r="AI68" i="6"/>
  <c r="AP68" i="6"/>
  <c r="H68" i="6"/>
  <c r="AF68" i="6"/>
  <c r="L68" i="6"/>
  <c r="BF68" i="6"/>
  <c r="G68" i="6"/>
  <c r="AE68" i="6"/>
  <c r="AK68" i="6"/>
  <c r="AS68" i="6"/>
  <c r="S68" i="6"/>
  <c r="BE68" i="6"/>
  <c r="V68" i="6"/>
  <c r="AD68" i="6"/>
  <c r="AA68" i="6"/>
  <c r="I68" i="6"/>
  <c r="X68" i="6"/>
  <c r="AY68" i="6"/>
  <c r="D68" i="6"/>
  <c r="AQ68" i="6"/>
  <c r="AH68" i="6"/>
  <c r="AR68" i="6"/>
  <c r="AU68" i="6"/>
  <c r="K68" i="6"/>
  <c r="U68" i="6"/>
  <c r="BC68" i="6"/>
  <c r="D166" i="6"/>
  <c r="AP12" i="7" s="1"/>
  <c r="B198" i="13" s="1"/>
  <c r="AQ12" i="7"/>
  <c r="D198" i="13" s="1"/>
  <c r="A70" i="6" l="1"/>
  <c r="E69" i="6"/>
  <c r="AC69" i="6"/>
  <c r="AO69" i="6"/>
  <c r="B69" i="6"/>
  <c r="AU69" i="6"/>
  <c r="AQ69" i="6"/>
  <c r="J69" i="6"/>
  <c r="AN69" i="6"/>
  <c r="H69" i="6"/>
  <c r="AI69" i="6"/>
  <c r="D69" i="6"/>
  <c r="AH69" i="6"/>
  <c r="BD69" i="6"/>
  <c r="W69" i="6"/>
  <c r="AW69" i="6"/>
  <c r="T69" i="6"/>
  <c r="Q69" i="6"/>
  <c r="G69" i="6"/>
  <c r="BA69" i="6"/>
  <c r="AV69" i="6"/>
  <c r="AJ69" i="6"/>
  <c r="V69" i="6"/>
  <c r="Z69" i="6"/>
  <c r="AX69" i="6"/>
  <c r="AL69" i="6"/>
  <c r="N69" i="6"/>
  <c r="R69" i="6"/>
  <c r="AA69" i="6"/>
  <c r="Y69" i="6"/>
  <c r="C69" i="6"/>
  <c r="F69" i="6"/>
  <c r="I69" i="6"/>
  <c r="AS69" i="6"/>
  <c r="AM69" i="6"/>
  <c r="M69" i="6"/>
  <c r="BB69" i="6"/>
  <c r="L69" i="6"/>
  <c r="K69" i="6"/>
  <c r="AD69" i="6"/>
  <c r="BC69" i="6"/>
  <c r="BF69" i="6"/>
  <c r="AG69" i="6"/>
  <c r="AY69" i="6"/>
  <c r="BE69" i="6"/>
  <c r="AK69" i="6"/>
  <c r="U69" i="6"/>
  <c r="AP69" i="6"/>
  <c r="P69" i="6"/>
  <c r="AZ69" i="6"/>
  <c r="X69" i="6"/>
  <c r="AB69" i="6"/>
  <c r="AR69" i="6"/>
  <c r="AF69" i="6"/>
  <c r="AT69" i="6"/>
  <c r="O69" i="6"/>
  <c r="AE69" i="6"/>
  <c r="S69" i="6"/>
  <c r="AO14" i="7"/>
  <c r="C200" i="13"/>
  <c r="A120" i="6"/>
  <c r="K119" i="6"/>
  <c r="AX119" i="6"/>
  <c r="N119" i="6"/>
  <c r="AE119" i="6"/>
  <c r="AU119" i="6"/>
  <c r="B119" i="6"/>
  <c r="AL119" i="6"/>
  <c r="S119" i="6"/>
  <c r="Z119" i="6"/>
  <c r="W119" i="6"/>
  <c r="BD119" i="6"/>
  <c r="BC119" i="6"/>
  <c r="AK119" i="6"/>
  <c r="AI119" i="6"/>
  <c r="Q119" i="6"/>
  <c r="P119" i="6"/>
  <c r="AH119" i="6"/>
  <c r="AT119" i="6"/>
  <c r="J119" i="6"/>
  <c r="C119" i="6"/>
  <c r="F119" i="6"/>
  <c r="BF119" i="6"/>
  <c r="AY119" i="6"/>
  <c r="E119" i="6"/>
  <c r="V119" i="6"/>
  <c r="AO119" i="6"/>
  <c r="M119" i="6"/>
  <c r="AD119" i="6"/>
  <c r="T119" i="6"/>
  <c r="L119" i="6"/>
  <c r="AJ119" i="6"/>
  <c r="BA119" i="6"/>
  <c r="X119" i="6"/>
  <c r="AR119" i="6"/>
  <c r="AC119" i="6"/>
  <c r="AV119" i="6"/>
  <c r="H119" i="6"/>
  <c r="AP119" i="6"/>
  <c r="Y119" i="6"/>
  <c r="D119" i="6"/>
  <c r="G119" i="6"/>
  <c r="AA119" i="6"/>
  <c r="I119" i="6"/>
  <c r="AB119" i="6"/>
  <c r="AN119" i="6"/>
  <c r="R119" i="6"/>
  <c r="AS119" i="6"/>
  <c r="U119" i="6"/>
  <c r="AG119" i="6"/>
  <c r="BE119" i="6"/>
  <c r="BB119" i="6"/>
  <c r="O119" i="6"/>
  <c r="AW119" i="6"/>
  <c r="AZ119" i="6"/>
  <c r="AF119" i="6"/>
  <c r="AQ119" i="6"/>
  <c r="AM119" i="6"/>
  <c r="D167" i="6"/>
  <c r="AP13" i="7" s="1"/>
  <c r="B199" i="13" s="1"/>
  <c r="A168" i="6"/>
  <c r="A20" i="6"/>
  <c r="BF19" i="6"/>
  <c r="AP19" i="6"/>
  <c r="F19" i="6"/>
  <c r="BE19" i="6"/>
  <c r="AN19" i="6"/>
  <c r="W19" i="6"/>
  <c r="R168" i="6" s="1"/>
  <c r="E19" i="6"/>
  <c r="B19" i="6"/>
  <c r="B168" i="6" s="1"/>
  <c r="P19" i="6"/>
  <c r="K168" i="6" s="1"/>
  <c r="AW19" i="6"/>
  <c r="AE19" i="6"/>
  <c r="M19" i="6"/>
  <c r="H168" i="6" s="1"/>
  <c r="AT19" i="6"/>
  <c r="AD19" i="6"/>
  <c r="AC19" i="6"/>
  <c r="K19" i="6"/>
  <c r="F168" i="6" s="1"/>
  <c r="AS19" i="6"/>
  <c r="BC19" i="6"/>
  <c r="N19" i="6"/>
  <c r="I168" i="6" s="1"/>
  <c r="O19" i="6"/>
  <c r="J168" i="6" s="1"/>
  <c r="L19" i="6"/>
  <c r="G168" i="6" s="1"/>
  <c r="AM19" i="6"/>
  <c r="AY19" i="6"/>
  <c r="AF19" i="6"/>
  <c r="AA19" i="6"/>
  <c r="V168" i="6" s="1"/>
  <c r="BD19" i="6"/>
  <c r="C19" i="6"/>
  <c r="C168" i="6" s="1"/>
  <c r="S19" i="6"/>
  <c r="N168" i="6" s="1"/>
  <c r="X19" i="6"/>
  <c r="S168" i="6" s="1"/>
  <c r="AJ19" i="6"/>
  <c r="AV19" i="6"/>
  <c r="AX19" i="6"/>
  <c r="BA19" i="6"/>
  <c r="H19" i="6"/>
  <c r="AR19" i="6"/>
  <c r="AL19" i="6"/>
  <c r="T19" i="6"/>
  <c r="O168" i="6" s="1"/>
  <c r="Q19" i="6"/>
  <c r="L168" i="6" s="1"/>
  <c r="AK19" i="6"/>
  <c r="AG19" i="6"/>
  <c r="AZ19" i="6"/>
  <c r="V19" i="6"/>
  <c r="Q168" i="6" s="1"/>
  <c r="AB19" i="6"/>
  <c r="R19" i="6"/>
  <c r="D19" i="6"/>
  <c r="U19" i="6"/>
  <c r="P168" i="6" s="1"/>
  <c r="BB19" i="6"/>
  <c r="Z19" i="6"/>
  <c r="U168" i="6" s="1"/>
  <c r="G19" i="6"/>
  <c r="AU19" i="6"/>
  <c r="J19" i="6"/>
  <c r="E168" i="6" s="1"/>
  <c r="I19" i="6"/>
  <c r="Y19" i="6"/>
  <c r="T168" i="6" s="1"/>
  <c r="AO19" i="6"/>
  <c r="AQ19" i="6"/>
  <c r="AH19" i="6"/>
  <c r="AI19" i="6"/>
  <c r="AQ13" i="7"/>
  <c r="D199" i="13" s="1"/>
  <c r="AN13" i="7"/>
  <c r="A199" i="13"/>
  <c r="D168" i="6" l="1"/>
  <c r="AP14" i="7" s="1"/>
  <c r="B200" i="13" s="1"/>
  <c r="AQ14" i="7"/>
  <c r="D200" i="13" s="1"/>
  <c r="A169" i="6"/>
  <c r="B20" i="6"/>
  <c r="B169" i="6" s="1"/>
  <c r="AZ20" i="6"/>
  <c r="S20" i="6"/>
  <c r="N169" i="6" s="1"/>
  <c r="AY20" i="6"/>
  <c r="AH20" i="6"/>
  <c r="R20" i="6"/>
  <c r="J20" i="6"/>
  <c r="E169" i="6" s="1"/>
  <c r="Y20" i="6"/>
  <c r="T169" i="6" s="1"/>
  <c r="A21" i="6"/>
  <c r="AN20" i="6"/>
  <c r="G20" i="6"/>
  <c r="BF20" i="6"/>
  <c r="AM20" i="6"/>
  <c r="W20" i="6"/>
  <c r="R169" i="6" s="1"/>
  <c r="F20" i="6"/>
  <c r="AL20" i="6"/>
  <c r="AS20" i="6"/>
  <c r="K20" i="6"/>
  <c r="F169" i="6" s="1"/>
  <c r="AD20" i="6"/>
  <c r="BD20" i="6"/>
  <c r="Z20" i="6"/>
  <c r="U169" i="6" s="1"/>
  <c r="AA20" i="6"/>
  <c r="V169" i="6" s="1"/>
  <c r="AT20" i="6"/>
  <c r="AR20" i="6"/>
  <c r="AV20" i="6"/>
  <c r="L20" i="6"/>
  <c r="G169" i="6" s="1"/>
  <c r="AX20" i="6"/>
  <c r="M20" i="6"/>
  <c r="H169" i="6" s="1"/>
  <c r="H20" i="6"/>
  <c r="T20" i="6"/>
  <c r="O169" i="6" s="1"/>
  <c r="X20" i="6"/>
  <c r="S169" i="6" s="1"/>
  <c r="P20" i="6"/>
  <c r="K169" i="6" s="1"/>
  <c r="AO20" i="6"/>
  <c r="AU20" i="6"/>
  <c r="AW20" i="6"/>
  <c r="AJ20" i="6"/>
  <c r="BA20" i="6"/>
  <c r="Q20" i="6"/>
  <c r="L169" i="6" s="1"/>
  <c r="E20" i="6"/>
  <c r="AQ20" i="6"/>
  <c r="AG20" i="6"/>
  <c r="V20" i="6"/>
  <c r="Q169" i="6" s="1"/>
  <c r="AE20" i="6"/>
  <c r="AP20" i="6"/>
  <c r="O20" i="6"/>
  <c r="J169" i="6" s="1"/>
  <c r="C20" i="6"/>
  <c r="C169" i="6" s="1"/>
  <c r="AB20" i="6"/>
  <c r="AF20" i="6"/>
  <c r="AC20" i="6"/>
  <c r="AK20" i="6"/>
  <c r="N20" i="6"/>
  <c r="I169" i="6" s="1"/>
  <c r="U20" i="6"/>
  <c r="P169" i="6" s="1"/>
  <c r="AI20" i="6"/>
  <c r="D20" i="6"/>
  <c r="BE20" i="6"/>
  <c r="BC20" i="6"/>
  <c r="BB20" i="6"/>
  <c r="I20" i="6"/>
  <c r="A200" i="13"/>
  <c r="AN14" i="7"/>
  <c r="AO15" i="7"/>
  <c r="C201" i="13"/>
  <c r="N120" i="6"/>
  <c r="AL120" i="6"/>
  <c r="AU120" i="6"/>
  <c r="K120" i="6"/>
  <c r="G120" i="6"/>
  <c r="Z120" i="6"/>
  <c r="S120" i="6"/>
  <c r="B120" i="6"/>
  <c r="BC120" i="6"/>
  <c r="AX120" i="6"/>
  <c r="AQ120" i="6"/>
  <c r="W120" i="6"/>
  <c r="AG120" i="6"/>
  <c r="U120" i="6"/>
  <c r="A121" i="6"/>
  <c r="BB120" i="6"/>
  <c r="AI120" i="6"/>
  <c r="Q120" i="6"/>
  <c r="AT120" i="6"/>
  <c r="AH120" i="6"/>
  <c r="J120" i="6"/>
  <c r="V120" i="6"/>
  <c r="X120" i="6"/>
  <c r="AA120" i="6"/>
  <c r="BA120" i="6"/>
  <c r="AJ120" i="6"/>
  <c r="P120" i="6"/>
  <c r="AB120" i="6"/>
  <c r="AN120" i="6"/>
  <c r="F120" i="6"/>
  <c r="AF120" i="6"/>
  <c r="Y120" i="6"/>
  <c r="AE120" i="6"/>
  <c r="C120" i="6"/>
  <c r="E120" i="6"/>
  <c r="AC120" i="6"/>
  <c r="BE120" i="6"/>
  <c r="T120" i="6"/>
  <c r="AZ120" i="6"/>
  <c r="M120" i="6"/>
  <c r="AK120" i="6"/>
  <c r="AW120" i="6"/>
  <c r="AY120" i="6"/>
  <c r="AV120" i="6"/>
  <c r="H120" i="6"/>
  <c r="D120" i="6"/>
  <c r="R120" i="6"/>
  <c r="AD120" i="6"/>
  <c r="AP120" i="6"/>
  <c r="AS120" i="6"/>
  <c r="AM120" i="6"/>
  <c r="BD120" i="6"/>
  <c r="I120" i="6"/>
  <c r="BF120" i="6"/>
  <c r="O120" i="6"/>
  <c r="AO120" i="6"/>
  <c r="AR120" i="6"/>
  <c r="L120" i="6"/>
  <c r="A71" i="6"/>
  <c r="BA70" i="6"/>
  <c r="E70" i="6"/>
  <c r="Q70" i="6"/>
  <c r="P70" i="6"/>
  <c r="AQ70" i="6"/>
  <c r="AO70" i="6"/>
  <c r="H70" i="6"/>
  <c r="D70" i="6"/>
  <c r="AH70" i="6"/>
  <c r="B70" i="6"/>
  <c r="AC70" i="6"/>
  <c r="BC70" i="6"/>
  <c r="Y70" i="6"/>
  <c r="BD70" i="6"/>
  <c r="BB70" i="6"/>
  <c r="AP70" i="6"/>
  <c r="AB70" i="6"/>
  <c r="U70" i="6"/>
  <c r="L70" i="6"/>
  <c r="Z70" i="6"/>
  <c r="N70" i="6"/>
  <c r="AL70" i="6"/>
  <c r="AX70" i="6"/>
  <c r="AS70" i="6"/>
  <c r="BE70" i="6"/>
  <c r="AA70" i="6"/>
  <c r="O70" i="6"/>
  <c r="AV70" i="6"/>
  <c r="AG70" i="6"/>
  <c r="M70" i="6"/>
  <c r="AY70" i="6"/>
  <c r="AE70" i="6"/>
  <c r="AI70" i="6"/>
  <c r="AN70" i="6"/>
  <c r="R70" i="6"/>
  <c r="C70" i="6"/>
  <c r="AJ70" i="6"/>
  <c r="AW70" i="6"/>
  <c r="S70" i="6"/>
  <c r="AT70" i="6"/>
  <c r="AF70" i="6"/>
  <c r="BF70" i="6"/>
  <c r="J70" i="6"/>
  <c r="F70" i="6"/>
  <c r="G70" i="6"/>
  <c r="K70" i="6"/>
  <c r="AK70" i="6"/>
  <c r="T70" i="6"/>
  <c r="AR70" i="6"/>
  <c r="I70" i="6"/>
  <c r="AD70" i="6"/>
  <c r="V70" i="6"/>
  <c r="X70" i="6"/>
  <c r="AZ70" i="6"/>
  <c r="AM70" i="6"/>
  <c r="W70" i="6"/>
  <c r="AU70" i="6"/>
  <c r="D169" i="6" l="1"/>
  <c r="AP15" i="7" s="1"/>
  <c r="B201" i="13" s="1"/>
  <c r="AO16" i="7"/>
  <c r="C202" i="13"/>
  <c r="AL121" i="6"/>
  <c r="N121" i="6"/>
  <c r="AU121" i="6"/>
  <c r="K121" i="6"/>
  <c r="G121" i="6"/>
  <c r="AQ121" i="6"/>
  <c r="Z121" i="6"/>
  <c r="BC121" i="6"/>
  <c r="A122" i="6"/>
  <c r="W121" i="6"/>
  <c r="B121" i="6"/>
  <c r="AW121" i="6"/>
  <c r="M121" i="6"/>
  <c r="BA121" i="6"/>
  <c r="AE121" i="6"/>
  <c r="AX121" i="6"/>
  <c r="AF121" i="6"/>
  <c r="BF121" i="6"/>
  <c r="AH121" i="6"/>
  <c r="D121" i="6"/>
  <c r="J121" i="6"/>
  <c r="V121" i="6"/>
  <c r="AB121" i="6"/>
  <c r="AN121" i="6"/>
  <c r="AA121" i="6"/>
  <c r="E121" i="6"/>
  <c r="AV121" i="6"/>
  <c r="T121" i="6"/>
  <c r="Q121" i="6"/>
  <c r="AT121" i="6"/>
  <c r="AZ121" i="6"/>
  <c r="AP121" i="6"/>
  <c r="S121" i="6"/>
  <c r="AD121" i="6"/>
  <c r="R121" i="6"/>
  <c r="BD121" i="6"/>
  <c r="AY121" i="6"/>
  <c r="I121" i="6"/>
  <c r="AK121" i="6"/>
  <c r="P121" i="6"/>
  <c r="AS121" i="6"/>
  <c r="AI121" i="6"/>
  <c r="BB121" i="6"/>
  <c r="L121" i="6"/>
  <c r="AR121" i="6"/>
  <c r="AJ121" i="6"/>
  <c r="BE121" i="6"/>
  <c r="Y121" i="6"/>
  <c r="AO121" i="6"/>
  <c r="C121" i="6"/>
  <c r="AM121" i="6"/>
  <c r="AC121" i="6"/>
  <c r="X121" i="6"/>
  <c r="H121" i="6"/>
  <c r="O121" i="6"/>
  <c r="U121" i="6"/>
  <c r="F121" i="6"/>
  <c r="AG121" i="6"/>
  <c r="A72" i="6"/>
  <c r="E71" i="6"/>
  <c r="Q71" i="6"/>
  <c r="AO71" i="6"/>
  <c r="B71" i="6"/>
  <c r="BA71" i="6"/>
  <c r="BC71" i="6"/>
  <c r="W71" i="6"/>
  <c r="V71" i="6"/>
  <c r="S71" i="6"/>
  <c r="K71" i="6"/>
  <c r="J71" i="6"/>
  <c r="AI71" i="6"/>
  <c r="AC71" i="6"/>
  <c r="X71" i="6"/>
  <c r="P71" i="6"/>
  <c r="BF71" i="6"/>
  <c r="AV71" i="6"/>
  <c r="AF71" i="6"/>
  <c r="AL71" i="6"/>
  <c r="N71" i="6"/>
  <c r="AX71" i="6"/>
  <c r="AZ71" i="6"/>
  <c r="Z71" i="6"/>
  <c r="AY71" i="6"/>
  <c r="C71" i="6"/>
  <c r="AP71" i="6"/>
  <c r="M71" i="6"/>
  <c r="AW71" i="6"/>
  <c r="U71" i="6"/>
  <c r="AA71" i="6"/>
  <c r="BE71" i="6"/>
  <c r="AS71" i="6"/>
  <c r="AM71" i="6"/>
  <c r="L71" i="6"/>
  <c r="O71" i="6"/>
  <c r="AJ71" i="6"/>
  <c r="AQ71" i="6"/>
  <c r="T71" i="6"/>
  <c r="BD71" i="6"/>
  <c r="AT71" i="6"/>
  <c r="AU71" i="6"/>
  <c r="R71" i="6"/>
  <c r="AN71" i="6"/>
  <c r="AD71" i="6"/>
  <c r="BB71" i="6"/>
  <c r="AE71" i="6"/>
  <c r="AG71" i="6"/>
  <c r="Y71" i="6"/>
  <c r="AR71" i="6"/>
  <c r="AK71" i="6"/>
  <c r="H71" i="6"/>
  <c r="AH71" i="6"/>
  <c r="F71" i="6"/>
  <c r="D71" i="6"/>
  <c r="I71" i="6"/>
  <c r="AB71" i="6"/>
  <c r="G71" i="6"/>
  <c r="AQ15" i="7"/>
  <c r="D201" i="13" s="1"/>
  <c r="AN15" i="7"/>
  <c r="A201" i="13"/>
  <c r="A170" i="6"/>
  <c r="AU21" i="6"/>
  <c r="AD21" i="6"/>
  <c r="AT21" i="6"/>
  <c r="AB21" i="6"/>
  <c r="A22" i="6"/>
  <c r="BF21" i="6"/>
  <c r="D21" i="6"/>
  <c r="BB21" i="6"/>
  <c r="B21" i="6"/>
  <c r="B170" i="6" s="1"/>
  <c r="BA21" i="6"/>
  <c r="AI21" i="6"/>
  <c r="R21" i="6"/>
  <c r="AZ21" i="6"/>
  <c r="AH21" i="6"/>
  <c r="Q21" i="6"/>
  <c r="L170" i="6" s="1"/>
  <c r="L21" i="6"/>
  <c r="G170" i="6" s="1"/>
  <c r="AJ21" i="6"/>
  <c r="AW21" i="6"/>
  <c r="U21" i="6"/>
  <c r="P170" i="6" s="1"/>
  <c r="F21" i="6"/>
  <c r="BD21" i="6"/>
  <c r="C21" i="6"/>
  <c r="C170" i="6" s="1"/>
  <c r="AM21" i="6"/>
  <c r="AR21" i="6"/>
  <c r="AF21" i="6"/>
  <c r="AX21" i="6"/>
  <c r="E21" i="6"/>
  <c r="N21" i="6"/>
  <c r="I170" i="6" s="1"/>
  <c r="AN21" i="6"/>
  <c r="Z21" i="6"/>
  <c r="U170" i="6" s="1"/>
  <c r="X21" i="6"/>
  <c r="S170" i="6" s="1"/>
  <c r="AL21" i="6"/>
  <c r="H21" i="6"/>
  <c r="T21" i="6"/>
  <c r="O170" i="6" s="1"/>
  <c r="AV21" i="6"/>
  <c r="AO21" i="6"/>
  <c r="M21" i="6"/>
  <c r="H170" i="6" s="1"/>
  <c r="P21" i="6"/>
  <c r="K170" i="6" s="1"/>
  <c r="S21" i="6"/>
  <c r="N170" i="6" s="1"/>
  <c r="I21" i="6"/>
  <c r="AC21" i="6"/>
  <c r="AA21" i="6"/>
  <c r="V170" i="6" s="1"/>
  <c r="AS21" i="6"/>
  <c r="V21" i="6"/>
  <c r="Q170" i="6" s="1"/>
  <c r="BC21" i="6"/>
  <c r="AK21" i="6"/>
  <c r="AP21" i="6"/>
  <c r="AE21" i="6"/>
  <c r="BE21" i="6"/>
  <c r="Y21" i="6"/>
  <c r="T170" i="6" s="1"/>
  <c r="G21" i="6"/>
  <c r="AQ21" i="6"/>
  <c r="J21" i="6"/>
  <c r="E170" i="6" s="1"/>
  <c r="K21" i="6"/>
  <c r="F170" i="6" s="1"/>
  <c r="O21" i="6"/>
  <c r="J170" i="6" s="1"/>
  <c r="AG21" i="6"/>
  <c r="W21" i="6"/>
  <c r="R170" i="6" s="1"/>
  <c r="AY21" i="6"/>
  <c r="AO17" i="7" l="1"/>
  <c r="C203" i="13"/>
  <c r="B122" i="6"/>
  <c r="G122" i="6"/>
  <c r="Z122" i="6"/>
  <c r="AQ122" i="6"/>
  <c r="W122" i="6"/>
  <c r="A123" i="6"/>
  <c r="N122" i="6"/>
  <c r="AL122" i="6"/>
  <c r="AI122" i="6"/>
  <c r="S122" i="6"/>
  <c r="BB122" i="6"/>
  <c r="AE122" i="6"/>
  <c r="AD122" i="6"/>
  <c r="M122" i="6"/>
  <c r="AX122" i="6"/>
  <c r="AU122" i="6"/>
  <c r="K122" i="6"/>
  <c r="J122" i="6"/>
  <c r="AH122" i="6"/>
  <c r="D122" i="6"/>
  <c r="P122" i="6"/>
  <c r="BF122" i="6"/>
  <c r="V122" i="6"/>
  <c r="C122" i="6"/>
  <c r="AB122" i="6"/>
  <c r="AZ122" i="6"/>
  <c r="AC122" i="6"/>
  <c r="X122" i="6"/>
  <c r="AT122" i="6"/>
  <c r="AJ122" i="6"/>
  <c r="AP122" i="6"/>
  <c r="Q122" i="6"/>
  <c r="L122" i="6"/>
  <c r="AM122" i="6"/>
  <c r="AW122" i="6"/>
  <c r="AY122" i="6"/>
  <c r="AO122" i="6"/>
  <c r="AR122" i="6"/>
  <c r="U122" i="6"/>
  <c r="AG122" i="6"/>
  <c r="AS122" i="6"/>
  <c r="BC122" i="6"/>
  <c r="AN122" i="6"/>
  <c r="BD122" i="6"/>
  <c r="I122" i="6"/>
  <c r="O122" i="6"/>
  <c r="AA122" i="6"/>
  <c r="AF122" i="6"/>
  <c r="AV122" i="6"/>
  <c r="T122" i="6"/>
  <c r="BA122" i="6"/>
  <c r="BE122" i="6"/>
  <c r="F122" i="6"/>
  <c r="Y122" i="6"/>
  <c r="E122" i="6"/>
  <c r="H122" i="6"/>
  <c r="R122" i="6"/>
  <c r="AK122" i="6"/>
  <c r="A171" i="6"/>
  <c r="AB22" i="6"/>
  <c r="AU22" i="6"/>
  <c r="AA22" i="6"/>
  <c r="V171" i="6" s="1"/>
  <c r="G22" i="6"/>
  <c r="B22" i="6"/>
  <c r="B171" i="6" s="1"/>
  <c r="A23" i="6"/>
  <c r="S22" i="6"/>
  <c r="N171" i="6" s="1"/>
  <c r="BC22" i="6"/>
  <c r="P22" i="6"/>
  <c r="K171" i="6" s="1"/>
  <c r="BB22" i="6"/>
  <c r="AI22" i="6"/>
  <c r="BA22" i="6"/>
  <c r="AH22" i="6"/>
  <c r="L22" i="6"/>
  <c r="G171" i="6" s="1"/>
  <c r="Z22" i="6"/>
  <c r="U171" i="6" s="1"/>
  <c r="T22" i="6"/>
  <c r="O171" i="6" s="1"/>
  <c r="D22" i="6"/>
  <c r="AX22" i="6"/>
  <c r="AM22" i="6"/>
  <c r="H22" i="6"/>
  <c r="AV22" i="6"/>
  <c r="AR22" i="6"/>
  <c r="AY22" i="6"/>
  <c r="BD22" i="6"/>
  <c r="N22" i="6"/>
  <c r="I171" i="6" s="1"/>
  <c r="AN22" i="6"/>
  <c r="Q22" i="6"/>
  <c r="L171" i="6" s="1"/>
  <c r="R22" i="6"/>
  <c r="AD22" i="6"/>
  <c r="X22" i="6"/>
  <c r="S171" i="6" s="1"/>
  <c r="V22" i="6"/>
  <c r="Q171" i="6" s="1"/>
  <c r="AK22" i="6"/>
  <c r="AO22" i="6"/>
  <c r="I22" i="6"/>
  <c r="Y22" i="6"/>
  <c r="T171" i="6" s="1"/>
  <c r="E22" i="6"/>
  <c r="C22" i="6"/>
  <c r="C171" i="6" s="1"/>
  <c r="AF22" i="6"/>
  <c r="W22" i="6"/>
  <c r="R171" i="6" s="1"/>
  <c r="O22" i="6"/>
  <c r="J171" i="6" s="1"/>
  <c r="AP22" i="6"/>
  <c r="AW22" i="6"/>
  <c r="M22" i="6"/>
  <c r="H171" i="6" s="1"/>
  <c r="AJ22" i="6"/>
  <c r="AQ22" i="6"/>
  <c r="F22" i="6"/>
  <c r="BE22" i="6"/>
  <c r="AT22" i="6"/>
  <c r="K22" i="6"/>
  <c r="F171" i="6" s="1"/>
  <c r="AG22" i="6"/>
  <c r="AS22" i="6"/>
  <c r="AE22" i="6"/>
  <c r="J22" i="6"/>
  <c r="E171" i="6" s="1"/>
  <c r="AC22" i="6"/>
  <c r="AL22" i="6"/>
  <c r="U22" i="6"/>
  <c r="P171" i="6" s="1"/>
  <c r="BF22" i="6"/>
  <c r="AZ22" i="6"/>
  <c r="D170" i="6"/>
  <c r="AP16" i="7" s="1"/>
  <c r="B202" i="13" s="1"/>
  <c r="AQ16" i="7"/>
  <c r="D202" i="13" s="1"/>
  <c r="AC72" i="6"/>
  <c r="B72" i="6"/>
  <c r="AO72" i="6"/>
  <c r="A73" i="6"/>
  <c r="AT72" i="6"/>
  <c r="BF72" i="6"/>
  <c r="BD72" i="6"/>
  <c r="W72" i="6"/>
  <c r="Q72" i="6"/>
  <c r="AR72" i="6"/>
  <c r="AQ72" i="6"/>
  <c r="J72" i="6"/>
  <c r="AN72" i="6"/>
  <c r="AF72" i="6"/>
  <c r="D72" i="6"/>
  <c r="BA72" i="6"/>
  <c r="AJ72" i="6"/>
  <c r="AE72" i="6"/>
  <c r="S72" i="6"/>
  <c r="E72" i="6"/>
  <c r="AL72" i="6"/>
  <c r="M72" i="6"/>
  <c r="AW72" i="6"/>
  <c r="Z72" i="6"/>
  <c r="N72" i="6"/>
  <c r="F72" i="6"/>
  <c r="AS72" i="6"/>
  <c r="AM72" i="6"/>
  <c r="AY72" i="6"/>
  <c r="AP72" i="6"/>
  <c r="AH72" i="6"/>
  <c r="O72" i="6"/>
  <c r="I72" i="6"/>
  <c r="H72" i="6"/>
  <c r="K72" i="6"/>
  <c r="AX72" i="6"/>
  <c r="BE72" i="6"/>
  <c r="AK72" i="6"/>
  <c r="X72" i="6"/>
  <c r="Y72" i="6"/>
  <c r="AD72" i="6"/>
  <c r="R72" i="6"/>
  <c r="C72" i="6"/>
  <c r="BB72" i="6"/>
  <c r="L72" i="6"/>
  <c r="AG72" i="6"/>
  <c r="AA72" i="6"/>
  <c r="AB72" i="6"/>
  <c r="P72" i="6"/>
  <c r="AU72" i="6"/>
  <c r="BC72" i="6"/>
  <c r="AI72" i="6"/>
  <c r="AV72" i="6"/>
  <c r="G72" i="6"/>
  <c r="T72" i="6"/>
  <c r="V72" i="6"/>
  <c r="U72" i="6"/>
  <c r="AZ72" i="6"/>
  <c r="AN16" i="7"/>
  <c r="A202" i="13"/>
  <c r="A24" i="6" l="1"/>
  <c r="A172" i="6"/>
  <c r="AC23" i="6"/>
  <c r="AB23" i="6"/>
  <c r="B23" i="6"/>
  <c r="B172" i="6" s="1"/>
  <c r="AN23" i="6"/>
  <c r="AK23" i="6"/>
  <c r="Q23" i="6"/>
  <c r="L172" i="6" s="1"/>
  <c r="BC23" i="6"/>
  <c r="P23" i="6"/>
  <c r="K172" i="6" s="1"/>
  <c r="O23" i="6"/>
  <c r="J172" i="6" s="1"/>
  <c r="BB23" i="6"/>
  <c r="AH23" i="6"/>
  <c r="AJ23" i="6"/>
  <c r="V23" i="6"/>
  <c r="Q172" i="6" s="1"/>
  <c r="Y23" i="6"/>
  <c r="T172" i="6" s="1"/>
  <c r="AF23" i="6"/>
  <c r="N23" i="6"/>
  <c r="I172" i="6" s="1"/>
  <c r="Z23" i="6"/>
  <c r="U172" i="6" s="1"/>
  <c r="E23" i="6"/>
  <c r="AR23" i="6"/>
  <c r="L23" i="6"/>
  <c r="G172" i="6" s="1"/>
  <c r="AZ23" i="6"/>
  <c r="R23" i="6"/>
  <c r="AP23" i="6"/>
  <c r="T23" i="6"/>
  <c r="O172" i="6" s="1"/>
  <c r="AT23" i="6"/>
  <c r="AM23" i="6"/>
  <c r="H23" i="6"/>
  <c r="AV23" i="6"/>
  <c r="AY23" i="6"/>
  <c r="U23" i="6"/>
  <c r="P172" i="6" s="1"/>
  <c r="F23" i="6"/>
  <c r="BF23" i="6"/>
  <c r="BD23" i="6"/>
  <c r="AE23" i="6"/>
  <c r="I23" i="6"/>
  <c r="AX23" i="6"/>
  <c r="M23" i="6"/>
  <c r="H172" i="6" s="1"/>
  <c r="C23" i="6"/>
  <c r="C172" i="6" s="1"/>
  <c r="AW23" i="6"/>
  <c r="AL23" i="6"/>
  <c r="AQ23" i="6"/>
  <c r="AO23" i="6"/>
  <c r="D23" i="6"/>
  <c r="AD23" i="6"/>
  <c r="K23" i="6"/>
  <c r="F172" i="6" s="1"/>
  <c r="AI23" i="6"/>
  <c r="X23" i="6"/>
  <c r="S172" i="6" s="1"/>
  <c r="S23" i="6"/>
  <c r="N172" i="6" s="1"/>
  <c r="AS23" i="6"/>
  <c r="W23" i="6"/>
  <c r="R172" i="6" s="1"/>
  <c r="BE23" i="6"/>
  <c r="G23" i="6"/>
  <c r="BA23" i="6"/>
  <c r="J23" i="6"/>
  <c r="E172" i="6" s="1"/>
  <c r="AU23" i="6"/>
  <c r="AA23" i="6"/>
  <c r="V172" i="6" s="1"/>
  <c r="AG23" i="6"/>
  <c r="A74" i="6"/>
  <c r="B73" i="6"/>
  <c r="AH73" i="6"/>
  <c r="AE73" i="6"/>
  <c r="AZ73" i="6"/>
  <c r="AU73" i="6"/>
  <c r="AR73" i="6"/>
  <c r="L73" i="6"/>
  <c r="H73" i="6"/>
  <c r="AK73" i="6"/>
  <c r="Y73" i="6"/>
  <c r="K73" i="6"/>
  <c r="D73" i="6"/>
  <c r="BE73" i="6"/>
  <c r="AM73" i="6"/>
  <c r="AL73" i="6"/>
  <c r="AI73" i="6"/>
  <c r="Z73" i="6"/>
  <c r="N73" i="6"/>
  <c r="AT73" i="6"/>
  <c r="U73" i="6"/>
  <c r="O73" i="6"/>
  <c r="P73" i="6"/>
  <c r="AY73" i="6"/>
  <c r="AX73" i="6"/>
  <c r="AD73" i="6"/>
  <c r="AB73" i="6"/>
  <c r="BD73" i="6"/>
  <c r="AF73" i="6"/>
  <c r="C73" i="6"/>
  <c r="F73" i="6"/>
  <c r="AJ73" i="6"/>
  <c r="BC73" i="6"/>
  <c r="BF73" i="6"/>
  <c r="I73" i="6"/>
  <c r="AN73" i="6"/>
  <c r="M73" i="6"/>
  <c r="AA73" i="6"/>
  <c r="S73" i="6"/>
  <c r="V73" i="6"/>
  <c r="J73" i="6"/>
  <c r="W73" i="6"/>
  <c r="AP73" i="6"/>
  <c r="X73" i="6"/>
  <c r="AV73" i="6"/>
  <c r="R73" i="6"/>
  <c r="AW73" i="6"/>
  <c r="T73" i="6"/>
  <c r="G73" i="6"/>
  <c r="BA73" i="6"/>
  <c r="AG73" i="6"/>
  <c r="BB73" i="6"/>
  <c r="AS73" i="6"/>
  <c r="E73" i="6"/>
  <c r="Q73" i="6"/>
  <c r="AQ73" i="6"/>
  <c r="AC73" i="6"/>
  <c r="AO73" i="6"/>
  <c r="D171" i="6"/>
  <c r="AP17" i="7" s="1"/>
  <c r="B203" i="13" s="1"/>
  <c r="C204" i="13"/>
  <c r="AO18" i="7"/>
  <c r="B123" i="6"/>
  <c r="AI123" i="6"/>
  <c r="A124" i="6"/>
  <c r="AQ123" i="6"/>
  <c r="S123" i="6"/>
  <c r="BC123" i="6"/>
  <c r="AK123" i="6"/>
  <c r="H123" i="6"/>
  <c r="AU123" i="6"/>
  <c r="AE123" i="6"/>
  <c r="K123" i="6"/>
  <c r="AD123" i="6"/>
  <c r="I123" i="6"/>
  <c r="BF123" i="6"/>
  <c r="AZ123" i="6"/>
  <c r="V123" i="6"/>
  <c r="AM123" i="6"/>
  <c r="AH123" i="6"/>
  <c r="J123" i="6"/>
  <c r="D123" i="6"/>
  <c r="L123" i="6"/>
  <c r="M123" i="6"/>
  <c r="AP123" i="6"/>
  <c r="BB123" i="6"/>
  <c r="BE123" i="6"/>
  <c r="T123" i="6"/>
  <c r="E123" i="6"/>
  <c r="F123" i="6"/>
  <c r="X123" i="6"/>
  <c r="R123" i="6"/>
  <c r="Y123" i="6"/>
  <c r="AT123" i="6"/>
  <c r="AV123" i="6"/>
  <c r="AY123" i="6"/>
  <c r="AW123" i="6"/>
  <c r="U123" i="6"/>
  <c r="N123" i="6"/>
  <c r="BD123" i="6"/>
  <c r="AS123" i="6"/>
  <c r="Z123" i="6"/>
  <c r="Q123" i="6"/>
  <c r="AL123" i="6"/>
  <c r="O123" i="6"/>
  <c r="AA123" i="6"/>
  <c r="AO123" i="6"/>
  <c r="AJ123" i="6"/>
  <c r="AF123" i="6"/>
  <c r="G123" i="6"/>
  <c r="W123" i="6"/>
  <c r="AX123" i="6"/>
  <c r="P123" i="6"/>
  <c r="AR123" i="6"/>
  <c r="C123" i="6"/>
  <c r="AB123" i="6"/>
  <c r="AN123" i="6"/>
  <c r="AC123" i="6"/>
  <c r="BA123" i="6"/>
  <c r="AG123" i="6"/>
  <c r="AQ17" i="7"/>
  <c r="D203" i="13" s="1"/>
  <c r="AN17" i="7"/>
  <c r="A203" i="13"/>
  <c r="Q74" i="6" l="1"/>
  <c r="AC74" i="6"/>
  <c r="BA74" i="6"/>
  <c r="AH74" i="6"/>
  <c r="E74" i="6"/>
  <c r="AG74" i="6"/>
  <c r="B74" i="6"/>
  <c r="A75" i="6"/>
  <c r="AB74" i="6"/>
  <c r="BF74" i="6"/>
  <c r="T74" i="6"/>
  <c r="AU74" i="6"/>
  <c r="AS74" i="6"/>
  <c r="L74" i="6"/>
  <c r="AT74" i="6"/>
  <c r="AO74" i="6"/>
  <c r="AF74" i="6"/>
  <c r="O74" i="6"/>
  <c r="H74" i="6"/>
  <c r="N74" i="6"/>
  <c r="AX74" i="6"/>
  <c r="AL74" i="6"/>
  <c r="Z74" i="6"/>
  <c r="C74" i="6"/>
  <c r="AA74" i="6"/>
  <c r="AM74" i="6"/>
  <c r="Y74" i="6"/>
  <c r="AV74" i="6"/>
  <c r="AW74" i="6"/>
  <c r="AP74" i="6"/>
  <c r="AJ74" i="6"/>
  <c r="K74" i="6"/>
  <c r="G74" i="6"/>
  <c r="AE74" i="6"/>
  <c r="I74" i="6"/>
  <c r="J74" i="6"/>
  <c r="AZ74" i="6"/>
  <c r="R74" i="6"/>
  <c r="U74" i="6"/>
  <c r="AD74" i="6"/>
  <c r="V74" i="6"/>
  <c r="S74" i="6"/>
  <c r="AY74" i="6"/>
  <c r="AI74" i="6"/>
  <c r="X74" i="6"/>
  <c r="W74" i="6"/>
  <c r="P74" i="6"/>
  <c r="BD74" i="6"/>
  <c r="D74" i="6"/>
  <c r="AK74" i="6"/>
  <c r="F74" i="6"/>
  <c r="AQ74" i="6"/>
  <c r="AN74" i="6"/>
  <c r="AR74" i="6"/>
  <c r="M74" i="6"/>
  <c r="BC74" i="6"/>
  <c r="BB74" i="6"/>
  <c r="BE74" i="6"/>
  <c r="D172" i="6"/>
  <c r="AP18" i="7" s="1"/>
  <c r="B204" i="13" s="1"/>
  <c r="AQ18" i="7"/>
  <c r="D204" i="13" s="1"/>
  <c r="AO19" i="7"/>
  <c r="C205" i="13"/>
  <c r="AI124" i="6"/>
  <c r="Z124" i="6"/>
  <c r="K124" i="6"/>
  <c r="W124" i="6"/>
  <c r="A125" i="6"/>
  <c r="B124" i="6"/>
  <c r="AX124" i="6"/>
  <c r="AQ124" i="6"/>
  <c r="S124" i="6"/>
  <c r="AL124" i="6"/>
  <c r="BC124" i="6"/>
  <c r="AU124" i="6"/>
  <c r="Y124" i="6"/>
  <c r="T124" i="6"/>
  <c r="AK124" i="6"/>
  <c r="BD124" i="6"/>
  <c r="AJ124" i="6"/>
  <c r="N124" i="6"/>
  <c r="M124" i="6"/>
  <c r="V124" i="6"/>
  <c r="AM124" i="6"/>
  <c r="D124" i="6"/>
  <c r="AA124" i="6"/>
  <c r="AY124" i="6"/>
  <c r="J124" i="6"/>
  <c r="AH124" i="6"/>
  <c r="AT124" i="6"/>
  <c r="R124" i="6"/>
  <c r="AS124" i="6"/>
  <c r="BF124" i="6"/>
  <c r="C124" i="6"/>
  <c r="BA124" i="6"/>
  <c r="L124" i="6"/>
  <c r="E124" i="6"/>
  <c r="AV124" i="6"/>
  <c r="AO124" i="6"/>
  <c r="F124" i="6"/>
  <c r="U124" i="6"/>
  <c r="AC124" i="6"/>
  <c r="AR124" i="6"/>
  <c r="AW124" i="6"/>
  <c r="G124" i="6"/>
  <c r="H124" i="6"/>
  <c r="Q124" i="6"/>
  <c r="O124" i="6"/>
  <c r="P124" i="6"/>
  <c r="AB124" i="6"/>
  <c r="AP124" i="6"/>
  <c r="X124" i="6"/>
  <c r="AD124" i="6"/>
  <c r="AN124" i="6"/>
  <c r="AF124" i="6"/>
  <c r="AG124" i="6"/>
  <c r="AZ124" i="6"/>
  <c r="BB124" i="6"/>
  <c r="I124" i="6"/>
  <c r="BE124" i="6"/>
  <c r="AE124" i="6"/>
  <c r="AN18" i="7"/>
  <c r="A204" i="13"/>
  <c r="A173" i="6"/>
  <c r="A25" i="6"/>
  <c r="AD24" i="6"/>
  <c r="J24" i="6"/>
  <c r="E173" i="6" s="1"/>
  <c r="AC24" i="6"/>
  <c r="B24" i="6"/>
  <c r="B173" i="6" s="1"/>
  <c r="BE24" i="6"/>
  <c r="R24" i="6"/>
  <c r="Q24" i="6"/>
  <c r="L173" i="6" s="1"/>
  <c r="BC24" i="6"/>
  <c r="AI24" i="6"/>
  <c r="P24" i="6"/>
  <c r="K173" i="6" s="1"/>
  <c r="E24" i="6"/>
  <c r="BD24" i="6"/>
  <c r="AX24" i="6"/>
  <c r="D24" i="6"/>
  <c r="AR24" i="6"/>
  <c r="Z24" i="6"/>
  <c r="U173" i="6" s="1"/>
  <c r="AM24" i="6"/>
  <c r="W24" i="6"/>
  <c r="R173" i="6" s="1"/>
  <c r="L24" i="6"/>
  <c r="G173" i="6" s="1"/>
  <c r="AK24" i="6"/>
  <c r="AZ24" i="6"/>
  <c r="AQ24" i="6"/>
  <c r="M24" i="6"/>
  <c r="H173" i="6" s="1"/>
  <c r="AO24" i="6"/>
  <c r="AV24" i="6"/>
  <c r="AF24" i="6"/>
  <c r="AL24" i="6"/>
  <c r="Y24" i="6"/>
  <c r="T173" i="6" s="1"/>
  <c r="AW24" i="6"/>
  <c r="AN24" i="6"/>
  <c r="BA24" i="6"/>
  <c r="N24" i="6"/>
  <c r="I173" i="6" s="1"/>
  <c r="X24" i="6"/>
  <c r="S173" i="6" s="1"/>
  <c r="T24" i="6"/>
  <c r="O173" i="6" s="1"/>
  <c r="AJ24" i="6"/>
  <c r="U24" i="6"/>
  <c r="P173" i="6" s="1"/>
  <c r="AS24" i="6"/>
  <c r="AE24" i="6"/>
  <c r="I24" i="6"/>
  <c r="AA24" i="6"/>
  <c r="V173" i="6" s="1"/>
  <c r="C24" i="6"/>
  <c r="C173" i="6" s="1"/>
  <c r="F24" i="6"/>
  <c r="AU24" i="6"/>
  <c r="V24" i="6"/>
  <c r="Q173" i="6" s="1"/>
  <c r="AP24" i="6"/>
  <c r="AG24" i="6"/>
  <c r="H24" i="6"/>
  <c r="AB24" i="6"/>
  <c r="BB24" i="6"/>
  <c r="S24" i="6"/>
  <c r="N173" i="6" s="1"/>
  <c r="AT24" i="6"/>
  <c r="BF24" i="6"/>
  <c r="K24" i="6"/>
  <c r="F173" i="6" s="1"/>
  <c r="AY24" i="6"/>
  <c r="G24" i="6"/>
  <c r="AH24" i="6"/>
  <c r="O24" i="6"/>
  <c r="J173" i="6" s="1"/>
  <c r="AQ19" i="7" l="1"/>
  <c r="D205" i="13" s="1"/>
  <c r="AO20" i="7"/>
  <c r="C206" i="13"/>
  <c r="AL125" i="6"/>
  <c r="B125" i="6"/>
  <c r="S125" i="6"/>
  <c r="AQ125" i="6"/>
  <c r="N125" i="6"/>
  <c r="A126" i="6"/>
  <c r="AI125" i="6"/>
  <c r="AX125" i="6"/>
  <c r="K125" i="6"/>
  <c r="BC125" i="6"/>
  <c r="Z125" i="6"/>
  <c r="W125" i="6"/>
  <c r="I125" i="6"/>
  <c r="AS125" i="6"/>
  <c r="AU125" i="6"/>
  <c r="BF125" i="6"/>
  <c r="D125" i="6"/>
  <c r="E125" i="6"/>
  <c r="AD125" i="6"/>
  <c r="AT125" i="6"/>
  <c r="X125" i="6"/>
  <c r="J125" i="6"/>
  <c r="C125" i="6"/>
  <c r="P125" i="6"/>
  <c r="AH125" i="6"/>
  <c r="AN125" i="6"/>
  <c r="BB125" i="6"/>
  <c r="AY125" i="6"/>
  <c r="AC125" i="6"/>
  <c r="AO125" i="6"/>
  <c r="T125" i="6"/>
  <c r="Y125" i="6"/>
  <c r="AZ125" i="6"/>
  <c r="AV125" i="6"/>
  <c r="AA125" i="6"/>
  <c r="AM125" i="6"/>
  <c r="AB125" i="6"/>
  <c r="M125" i="6"/>
  <c r="AE125" i="6"/>
  <c r="AJ125" i="6"/>
  <c r="AW125" i="6"/>
  <c r="BA125" i="6"/>
  <c r="AP125" i="6"/>
  <c r="AK125" i="6"/>
  <c r="O125" i="6"/>
  <c r="AR125" i="6"/>
  <c r="R125" i="6"/>
  <c r="AG125" i="6"/>
  <c r="L125" i="6"/>
  <c r="H125" i="6"/>
  <c r="AF125" i="6"/>
  <c r="BD125" i="6"/>
  <c r="U125" i="6"/>
  <c r="Q125" i="6"/>
  <c r="BE125" i="6"/>
  <c r="V125" i="6"/>
  <c r="F125" i="6"/>
  <c r="G125" i="6"/>
  <c r="E75" i="6"/>
  <c r="Q75" i="6"/>
  <c r="AC75" i="6"/>
  <c r="AO75" i="6"/>
  <c r="AN75" i="6"/>
  <c r="J75" i="6"/>
  <c r="F75" i="6"/>
  <c r="AF75" i="6"/>
  <c r="AB75" i="6"/>
  <c r="A76" i="6"/>
  <c r="BA75" i="6"/>
  <c r="W75" i="6"/>
  <c r="AW75" i="6"/>
  <c r="AT75" i="6"/>
  <c r="AJ75" i="6"/>
  <c r="S75" i="6"/>
  <c r="N75" i="6"/>
  <c r="B75" i="6"/>
  <c r="AZ75" i="6"/>
  <c r="AX75" i="6"/>
  <c r="Z75" i="6"/>
  <c r="V75" i="6"/>
  <c r="AL75" i="6"/>
  <c r="AY75" i="6"/>
  <c r="U75" i="6"/>
  <c r="AM75" i="6"/>
  <c r="P75" i="6"/>
  <c r="AS75" i="6"/>
  <c r="O75" i="6"/>
  <c r="AP75" i="6"/>
  <c r="L75" i="6"/>
  <c r="AG75" i="6"/>
  <c r="AV75" i="6"/>
  <c r="AE75" i="6"/>
  <c r="X75" i="6"/>
  <c r="BD75" i="6"/>
  <c r="BF75" i="6"/>
  <c r="AI75" i="6"/>
  <c r="Y75" i="6"/>
  <c r="C75" i="6"/>
  <c r="BB75" i="6"/>
  <c r="BC75" i="6"/>
  <c r="G75" i="6"/>
  <c r="AD75" i="6"/>
  <c r="BE75" i="6"/>
  <c r="AK75" i="6"/>
  <c r="T75" i="6"/>
  <c r="R75" i="6"/>
  <c r="D75" i="6"/>
  <c r="AH75" i="6"/>
  <c r="AQ75" i="6"/>
  <c r="AU75" i="6"/>
  <c r="K75" i="6"/>
  <c r="I75" i="6"/>
  <c r="H75" i="6"/>
  <c r="M75" i="6"/>
  <c r="AA75" i="6"/>
  <c r="AR75" i="6"/>
  <c r="D173" i="6"/>
  <c r="A174" i="6"/>
  <c r="A26" i="6"/>
  <c r="AE25" i="6"/>
  <c r="K25" i="6"/>
  <c r="F174" i="6" s="1"/>
  <c r="BC25" i="6"/>
  <c r="AD25" i="6"/>
  <c r="J25" i="6"/>
  <c r="E174" i="6" s="1"/>
  <c r="AQ25" i="6"/>
  <c r="V25" i="6"/>
  <c r="Q174" i="6" s="1"/>
  <c r="B25" i="6"/>
  <c r="B174" i="6" s="1"/>
  <c r="AP25" i="6"/>
  <c r="S25" i="6"/>
  <c r="N174" i="6" s="1"/>
  <c r="R25" i="6"/>
  <c r="AK25" i="6"/>
  <c r="Q25" i="6"/>
  <c r="L174" i="6" s="1"/>
  <c r="N25" i="6"/>
  <c r="I174" i="6" s="1"/>
  <c r="AM25" i="6"/>
  <c r="AY25" i="6"/>
  <c r="D25" i="6"/>
  <c r="AV25" i="6"/>
  <c r="AA25" i="6"/>
  <c r="V174" i="6" s="1"/>
  <c r="W25" i="6"/>
  <c r="R174" i="6" s="1"/>
  <c r="F25" i="6"/>
  <c r="C25" i="6"/>
  <c r="C174" i="6" s="1"/>
  <c r="Y25" i="6"/>
  <c r="T174" i="6" s="1"/>
  <c r="X25" i="6"/>
  <c r="S174" i="6" s="1"/>
  <c r="H25" i="6"/>
  <c r="AI25" i="6"/>
  <c r="AJ25" i="6"/>
  <c r="M25" i="6"/>
  <c r="H174" i="6" s="1"/>
  <c r="AW25" i="6"/>
  <c r="AR25" i="6"/>
  <c r="L25" i="6"/>
  <c r="G174" i="6" s="1"/>
  <c r="AF25" i="6"/>
  <c r="Z25" i="6"/>
  <c r="U174" i="6" s="1"/>
  <c r="T25" i="6"/>
  <c r="O174" i="6" s="1"/>
  <c r="AN25" i="6"/>
  <c r="AT25" i="6"/>
  <c r="O25" i="6"/>
  <c r="J174" i="6" s="1"/>
  <c r="AB25" i="6"/>
  <c r="E25" i="6"/>
  <c r="AL25" i="6"/>
  <c r="AX25" i="6"/>
  <c r="G25" i="6"/>
  <c r="AO25" i="6"/>
  <c r="BA25" i="6"/>
  <c r="AU25" i="6"/>
  <c r="I25" i="6"/>
  <c r="AS25" i="6"/>
  <c r="BD25" i="6"/>
  <c r="BB25" i="6"/>
  <c r="U25" i="6"/>
  <c r="P174" i="6" s="1"/>
  <c r="BF25" i="6"/>
  <c r="AZ25" i="6"/>
  <c r="P25" i="6"/>
  <c r="K174" i="6" s="1"/>
  <c r="BE25" i="6"/>
  <c r="AG25" i="6"/>
  <c r="AH25" i="6"/>
  <c r="AC25" i="6"/>
  <c r="AP19" i="7"/>
  <c r="B205" i="13" s="1"/>
  <c r="AN19" i="7"/>
  <c r="A205" i="13"/>
  <c r="A77" i="6" l="1"/>
  <c r="E76" i="6"/>
  <c r="AC76" i="6"/>
  <c r="AO76" i="6"/>
  <c r="B76" i="6"/>
  <c r="Q76" i="6"/>
  <c r="AT76" i="6"/>
  <c r="AQ76" i="6"/>
  <c r="I76" i="6"/>
  <c r="G76" i="6"/>
  <c r="AH76" i="6"/>
  <c r="D76" i="6"/>
  <c r="BA76" i="6"/>
  <c r="BD76" i="6"/>
  <c r="AW76" i="6"/>
  <c r="AN76" i="6"/>
  <c r="V76" i="6"/>
  <c r="T76" i="6"/>
  <c r="H76" i="6"/>
  <c r="Z76" i="6"/>
  <c r="N76" i="6"/>
  <c r="AX76" i="6"/>
  <c r="AJ76" i="6"/>
  <c r="AL76" i="6"/>
  <c r="O76" i="6"/>
  <c r="C76" i="6"/>
  <c r="AD76" i="6"/>
  <c r="J76" i="6"/>
  <c r="AM76" i="6"/>
  <c r="AA76" i="6"/>
  <c r="M76" i="6"/>
  <c r="U76" i="6"/>
  <c r="BB76" i="6"/>
  <c r="BE76" i="6"/>
  <c r="L76" i="6"/>
  <c r="P76" i="6"/>
  <c r="R76" i="6"/>
  <c r="AS76" i="6"/>
  <c r="BF76" i="6"/>
  <c r="Y76" i="6"/>
  <c r="AG76" i="6"/>
  <c r="AZ76" i="6"/>
  <c r="BC76" i="6"/>
  <c r="F76" i="6"/>
  <c r="AP76" i="6"/>
  <c r="AI76" i="6"/>
  <c r="K76" i="6"/>
  <c r="X76" i="6"/>
  <c r="AY76" i="6"/>
  <c r="W76" i="6"/>
  <c r="AU76" i="6"/>
  <c r="AF76" i="6"/>
  <c r="S76" i="6"/>
  <c r="AV76" i="6"/>
  <c r="AK76" i="6"/>
  <c r="AB76" i="6"/>
  <c r="AE76" i="6"/>
  <c r="AR76" i="6"/>
  <c r="A127" i="6"/>
  <c r="Z126" i="6"/>
  <c r="K126" i="6"/>
  <c r="BC126" i="6"/>
  <c r="AL126" i="6"/>
  <c r="AX126" i="6"/>
  <c r="G126" i="6"/>
  <c r="AU126" i="6"/>
  <c r="B126" i="6"/>
  <c r="N126" i="6"/>
  <c r="AI126" i="6"/>
  <c r="W126" i="6"/>
  <c r="AQ126" i="6"/>
  <c r="I126" i="6"/>
  <c r="AE126" i="6"/>
  <c r="L126" i="6"/>
  <c r="AD126" i="6"/>
  <c r="C126" i="6"/>
  <c r="J126" i="6"/>
  <c r="AY126" i="6"/>
  <c r="AC126" i="6"/>
  <c r="AB126" i="6"/>
  <c r="AH126" i="6"/>
  <c r="AA126" i="6"/>
  <c r="AM126" i="6"/>
  <c r="O126" i="6"/>
  <c r="AN126" i="6"/>
  <c r="AJ126" i="6"/>
  <c r="H126" i="6"/>
  <c r="D126" i="6"/>
  <c r="Q126" i="6"/>
  <c r="BA126" i="6"/>
  <c r="V126" i="6"/>
  <c r="AV126" i="6"/>
  <c r="AK126" i="6"/>
  <c r="S126" i="6"/>
  <c r="AO126" i="6"/>
  <c r="BD126" i="6"/>
  <c r="M126" i="6"/>
  <c r="Y126" i="6"/>
  <c r="P126" i="6"/>
  <c r="AP126" i="6"/>
  <c r="X126" i="6"/>
  <c r="F126" i="6"/>
  <c r="U126" i="6"/>
  <c r="AG126" i="6"/>
  <c r="AS126" i="6"/>
  <c r="BE126" i="6"/>
  <c r="E126" i="6"/>
  <c r="BB126" i="6"/>
  <c r="R126" i="6"/>
  <c r="BF126" i="6"/>
  <c r="AZ126" i="6"/>
  <c r="AF126" i="6"/>
  <c r="AR126" i="6"/>
  <c r="AT126" i="6"/>
  <c r="AW126" i="6"/>
  <c r="T126" i="6"/>
  <c r="D174" i="6"/>
  <c r="AP20" i="7" s="1"/>
  <c r="B206" i="13" s="1"/>
  <c r="A175" i="6"/>
  <c r="B26" i="6"/>
  <c r="B175" i="6" s="1"/>
  <c r="A27" i="6"/>
  <c r="BF26" i="6"/>
  <c r="AY26" i="6"/>
  <c r="W26" i="6"/>
  <c r="R175" i="6" s="1"/>
  <c r="K26" i="6"/>
  <c r="F175" i="6" s="1"/>
  <c r="AK26" i="6"/>
  <c r="J26" i="6"/>
  <c r="E175" i="6" s="1"/>
  <c r="G26" i="6"/>
  <c r="AG26" i="6"/>
  <c r="F26" i="6"/>
  <c r="S26" i="6"/>
  <c r="N175" i="6" s="1"/>
  <c r="AL26" i="6"/>
  <c r="AP26" i="6"/>
  <c r="M26" i="6"/>
  <c r="H175" i="6" s="1"/>
  <c r="AS26" i="6"/>
  <c r="X26" i="6"/>
  <c r="S175" i="6" s="1"/>
  <c r="AV26" i="6"/>
  <c r="O26" i="6"/>
  <c r="J175" i="6" s="1"/>
  <c r="AW26" i="6"/>
  <c r="AX26" i="6"/>
  <c r="H26" i="6"/>
  <c r="AO26" i="6"/>
  <c r="P26" i="6"/>
  <c r="K175" i="6" s="1"/>
  <c r="Z26" i="6"/>
  <c r="U175" i="6" s="1"/>
  <c r="D26" i="6"/>
  <c r="BA26" i="6"/>
  <c r="AT26" i="6"/>
  <c r="T26" i="6"/>
  <c r="O175" i="6" s="1"/>
  <c r="AA26" i="6"/>
  <c r="V175" i="6" s="1"/>
  <c r="AM26" i="6"/>
  <c r="BD26" i="6"/>
  <c r="L26" i="6"/>
  <c r="G175" i="6" s="1"/>
  <c r="AJ26" i="6"/>
  <c r="E26" i="6"/>
  <c r="AU26" i="6"/>
  <c r="AZ26" i="6"/>
  <c r="AF26" i="6"/>
  <c r="R26" i="6"/>
  <c r="N26" i="6"/>
  <c r="I175" i="6" s="1"/>
  <c r="AN26" i="6"/>
  <c r="BB26" i="6"/>
  <c r="AB26" i="6"/>
  <c r="AQ26" i="6"/>
  <c r="U26" i="6"/>
  <c r="P175" i="6" s="1"/>
  <c r="BC26" i="6"/>
  <c r="V26" i="6"/>
  <c r="Q175" i="6" s="1"/>
  <c r="AE26" i="6"/>
  <c r="C26" i="6"/>
  <c r="C175" i="6" s="1"/>
  <c r="Q26" i="6"/>
  <c r="L175" i="6" s="1"/>
  <c r="AD26" i="6"/>
  <c r="BE26" i="6"/>
  <c r="Y26" i="6"/>
  <c r="T175" i="6" s="1"/>
  <c r="AC26" i="6"/>
  <c r="I26" i="6"/>
  <c r="AH26" i="6"/>
  <c r="AR26" i="6"/>
  <c r="AI26" i="6"/>
  <c r="AQ20" i="7"/>
  <c r="D206" i="13" s="1"/>
  <c r="AN20" i="7"/>
  <c r="A206" i="13"/>
  <c r="B10" i="8" s="1"/>
  <c r="C10" i="8" s="1"/>
  <c r="B6" i="12" s="1"/>
  <c r="N127" i="6" l="1"/>
  <c r="AU127" i="6"/>
  <c r="AI127" i="6"/>
  <c r="AL127" i="6"/>
  <c r="A128" i="6"/>
  <c r="K127" i="6"/>
  <c r="AE127" i="6"/>
  <c r="W127" i="6"/>
  <c r="B127" i="6"/>
  <c r="S127" i="6"/>
  <c r="G127" i="6"/>
  <c r="AX127" i="6"/>
  <c r="AW127" i="6"/>
  <c r="Z127" i="6"/>
  <c r="AQ127" i="6"/>
  <c r="AP127" i="6"/>
  <c r="U127" i="6"/>
  <c r="T127" i="6"/>
  <c r="AH127" i="6"/>
  <c r="BF127" i="6"/>
  <c r="J127" i="6"/>
  <c r="P127" i="6"/>
  <c r="AB127" i="6"/>
  <c r="C127" i="6"/>
  <c r="O127" i="6"/>
  <c r="AM127" i="6"/>
  <c r="Q127" i="6"/>
  <c r="AJ127" i="6"/>
  <c r="AT127" i="6"/>
  <c r="AA127" i="6"/>
  <c r="BA127" i="6"/>
  <c r="AV127" i="6"/>
  <c r="D127" i="6"/>
  <c r="AZ127" i="6"/>
  <c r="V127" i="6"/>
  <c r="AY127" i="6"/>
  <c r="AN127" i="6"/>
  <c r="R127" i="6"/>
  <c r="F127" i="6"/>
  <c r="E127" i="6"/>
  <c r="BB127" i="6"/>
  <c r="X127" i="6"/>
  <c r="AD127" i="6"/>
  <c r="H127" i="6"/>
  <c r="BD127" i="6"/>
  <c r="L127" i="6"/>
  <c r="AF127" i="6"/>
  <c r="I127" i="6"/>
  <c r="BE127" i="6"/>
  <c r="Y127" i="6"/>
  <c r="BC127" i="6"/>
  <c r="AR127" i="6"/>
  <c r="AC127" i="6"/>
  <c r="AS127" i="6"/>
  <c r="AG127" i="6"/>
  <c r="M127" i="6"/>
  <c r="AO127" i="6"/>
  <c r="AK127" i="6"/>
  <c r="D175" i="6"/>
  <c r="A176" i="6"/>
  <c r="B27" i="6"/>
  <c r="B176" i="6" s="1"/>
  <c r="A28" i="6"/>
  <c r="AD27" i="6"/>
  <c r="BF27" i="6"/>
  <c r="AA27" i="6"/>
  <c r="V176" i="6" s="1"/>
  <c r="M27" i="6"/>
  <c r="H176" i="6" s="1"/>
  <c r="AN27" i="6"/>
  <c r="F27" i="6"/>
  <c r="AM27" i="6"/>
  <c r="E27" i="6"/>
  <c r="T27" i="6"/>
  <c r="O176" i="6" s="1"/>
  <c r="BE27" i="6"/>
  <c r="BD27" i="6"/>
  <c r="BB27" i="6"/>
  <c r="AR27" i="6"/>
  <c r="AV27" i="6"/>
  <c r="AF27" i="6"/>
  <c r="AP27" i="6"/>
  <c r="X27" i="6"/>
  <c r="S176" i="6" s="1"/>
  <c r="AL27" i="6"/>
  <c r="Q27" i="6"/>
  <c r="L176" i="6" s="1"/>
  <c r="AB27" i="6"/>
  <c r="AT27" i="6"/>
  <c r="AC27" i="6"/>
  <c r="AO27" i="6"/>
  <c r="N27" i="6"/>
  <c r="I176" i="6" s="1"/>
  <c r="Y27" i="6"/>
  <c r="T176" i="6" s="1"/>
  <c r="P27" i="6"/>
  <c r="K176" i="6" s="1"/>
  <c r="AK27" i="6"/>
  <c r="AS27" i="6"/>
  <c r="H27" i="6"/>
  <c r="L27" i="6"/>
  <c r="G176" i="6" s="1"/>
  <c r="C27" i="6"/>
  <c r="C176" i="6" s="1"/>
  <c r="AJ27" i="6"/>
  <c r="S27" i="6"/>
  <c r="N176" i="6" s="1"/>
  <c r="J27" i="6"/>
  <c r="E176" i="6" s="1"/>
  <c r="AY27" i="6"/>
  <c r="O27" i="6"/>
  <c r="J176" i="6" s="1"/>
  <c r="R27" i="6"/>
  <c r="AZ27" i="6"/>
  <c r="BA27" i="6"/>
  <c r="AE27" i="6"/>
  <c r="V27" i="6"/>
  <c r="Q176" i="6" s="1"/>
  <c r="W27" i="6"/>
  <c r="R176" i="6" s="1"/>
  <c r="I27" i="6"/>
  <c r="G27" i="6"/>
  <c r="BC27" i="6"/>
  <c r="AI27" i="6"/>
  <c r="D27" i="6"/>
  <c r="AG27" i="6"/>
  <c r="AW27" i="6"/>
  <c r="U27" i="6"/>
  <c r="P176" i="6" s="1"/>
  <c r="Z27" i="6"/>
  <c r="U176" i="6" s="1"/>
  <c r="K27" i="6"/>
  <c r="F176" i="6" s="1"/>
  <c r="AQ27" i="6"/>
  <c r="AX27" i="6"/>
  <c r="AU27" i="6"/>
  <c r="AH27" i="6"/>
  <c r="A78" i="6"/>
  <c r="BA77" i="6"/>
  <c r="E77" i="6"/>
  <c r="BC77" i="6"/>
  <c r="AC77" i="6"/>
  <c r="P77" i="6"/>
  <c r="AB77" i="6"/>
  <c r="U77" i="6"/>
  <c r="K77" i="6"/>
  <c r="AU77" i="6"/>
  <c r="H77" i="6"/>
  <c r="AQ77" i="6"/>
  <c r="D77" i="6"/>
  <c r="AO77" i="6"/>
  <c r="B77" i="6"/>
  <c r="AH77" i="6"/>
  <c r="BD77" i="6"/>
  <c r="AL77" i="6"/>
  <c r="AD77" i="6"/>
  <c r="Q77" i="6"/>
  <c r="Z77" i="6"/>
  <c r="AX77" i="6"/>
  <c r="J77" i="6"/>
  <c r="N77" i="6"/>
  <c r="AJ77" i="6"/>
  <c r="AS77" i="6"/>
  <c r="AW77" i="6"/>
  <c r="AE77" i="6"/>
  <c r="G77" i="6"/>
  <c r="AY77" i="6"/>
  <c r="AG77" i="6"/>
  <c r="AR77" i="6"/>
  <c r="R77" i="6"/>
  <c r="AP77" i="6"/>
  <c r="X77" i="6"/>
  <c r="W77" i="6"/>
  <c r="AZ77" i="6"/>
  <c r="AM77" i="6"/>
  <c r="F77" i="6"/>
  <c r="BB77" i="6"/>
  <c r="T77" i="6"/>
  <c r="M77" i="6"/>
  <c r="AT77" i="6"/>
  <c r="C77" i="6"/>
  <c r="BE77" i="6"/>
  <c r="Y77" i="6"/>
  <c r="I77" i="6"/>
  <c r="AA77" i="6"/>
  <c r="AV77" i="6"/>
  <c r="BF77" i="6"/>
  <c r="AI77" i="6"/>
  <c r="O77" i="6"/>
  <c r="AK77" i="6"/>
  <c r="L77" i="6"/>
  <c r="AN77" i="6"/>
  <c r="S77" i="6"/>
  <c r="AF77" i="6"/>
  <c r="V77" i="6"/>
  <c r="AC78" i="6" l="1"/>
  <c r="AO78" i="6"/>
  <c r="E78" i="6"/>
  <c r="BA78" i="6"/>
  <c r="B78" i="6"/>
  <c r="Q78" i="6"/>
  <c r="AE78" i="6"/>
  <c r="K78" i="6"/>
  <c r="A79" i="6"/>
  <c r="G78" i="6"/>
  <c r="BD78" i="6"/>
  <c r="D78" i="6"/>
  <c r="AT78" i="6"/>
  <c r="AQ78" i="6"/>
  <c r="AF78" i="6"/>
  <c r="T78" i="6"/>
  <c r="M78" i="6"/>
  <c r="AW78" i="6"/>
  <c r="X78" i="6"/>
  <c r="Z78" i="6"/>
  <c r="AL78" i="6"/>
  <c r="AX78" i="6"/>
  <c r="N78" i="6"/>
  <c r="BF78" i="6"/>
  <c r="O78" i="6"/>
  <c r="AK78" i="6"/>
  <c r="AI78" i="6"/>
  <c r="V78" i="6"/>
  <c r="AM78" i="6"/>
  <c r="AJ78" i="6"/>
  <c r="F78" i="6"/>
  <c r="R78" i="6"/>
  <c r="AV78" i="6"/>
  <c r="I78" i="6"/>
  <c r="AS78" i="6"/>
  <c r="Y78" i="6"/>
  <c r="P78" i="6"/>
  <c r="BC78" i="6"/>
  <c r="AH78" i="6"/>
  <c r="AA78" i="6"/>
  <c r="U78" i="6"/>
  <c r="AG78" i="6"/>
  <c r="BB78" i="6"/>
  <c r="BE78" i="6"/>
  <c r="W78" i="6"/>
  <c r="AY78" i="6"/>
  <c r="L78" i="6"/>
  <c r="S78" i="6"/>
  <c r="AN78" i="6"/>
  <c r="AR78" i="6"/>
  <c r="H78" i="6"/>
  <c r="AU78" i="6"/>
  <c r="AD78" i="6"/>
  <c r="J78" i="6"/>
  <c r="AB78" i="6"/>
  <c r="C78" i="6"/>
  <c r="AP78" i="6"/>
  <c r="AZ78" i="6"/>
  <c r="A129" i="6"/>
  <c r="AI128" i="6"/>
  <c r="N128" i="6"/>
  <c r="B128" i="6"/>
  <c r="W128" i="6"/>
  <c r="BC128" i="6"/>
  <c r="AW128" i="6"/>
  <c r="AL128" i="6"/>
  <c r="BE128" i="6"/>
  <c r="Z128" i="6"/>
  <c r="K128" i="6"/>
  <c r="G128" i="6"/>
  <c r="BB128" i="6"/>
  <c r="AX128" i="6"/>
  <c r="F128" i="6"/>
  <c r="AT128" i="6"/>
  <c r="AM128" i="6"/>
  <c r="AB128" i="6"/>
  <c r="V128" i="6"/>
  <c r="AA128" i="6"/>
  <c r="AN128" i="6"/>
  <c r="E128" i="6"/>
  <c r="J128" i="6"/>
  <c r="AH128" i="6"/>
  <c r="P128" i="6"/>
  <c r="AZ128" i="6"/>
  <c r="BF128" i="6"/>
  <c r="AD128" i="6"/>
  <c r="L128" i="6"/>
  <c r="BD128" i="6"/>
  <c r="AE128" i="6"/>
  <c r="D128" i="6"/>
  <c r="Q128" i="6"/>
  <c r="S128" i="6"/>
  <c r="AY128" i="6"/>
  <c r="AJ128" i="6"/>
  <c r="AP128" i="6"/>
  <c r="C128" i="6"/>
  <c r="R128" i="6"/>
  <c r="AC128" i="6"/>
  <c r="M128" i="6"/>
  <c r="T128" i="6"/>
  <c r="AG128" i="6"/>
  <c r="Y128" i="6"/>
  <c r="O128" i="6"/>
  <c r="AO128" i="6"/>
  <c r="BA128" i="6"/>
  <c r="AS128" i="6"/>
  <c r="AK128" i="6"/>
  <c r="AQ128" i="6"/>
  <c r="AV128" i="6"/>
  <c r="I128" i="6"/>
  <c r="AU128" i="6"/>
  <c r="X128" i="6"/>
  <c r="H128" i="6"/>
  <c r="AF128" i="6"/>
  <c r="U128" i="6"/>
  <c r="AR128" i="6"/>
  <c r="A177" i="6"/>
  <c r="A29" i="6"/>
  <c r="B28" i="6"/>
  <c r="B177" i="6" s="1"/>
  <c r="AI28" i="6"/>
  <c r="AH28" i="6"/>
  <c r="AU28" i="6"/>
  <c r="AN28" i="6"/>
  <c r="AJ28" i="6"/>
  <c r="AW28" i="6"/>
  <c r="M28" i="6"/>
  <c r="H177" i="6" s="1"/>
  <c r="BD28" i="6"/>
  <c r="C28" i="6"/>
  <c r="C177" i="6" s="1"/>
  <c r="Q28" i="6"/>
  <c r="L177" i="6" s="1"/>
  <c r="AO28" i="6"/>
  <c r="AD28" i="6"/>
  <c r="AX28" i="6"/>
  <c r="AB28" i="6"/>
  <c r="BB28" i="6"/>
  <c r="AL28" i="6"/>
  <c r="P28" i="6"/>
  <c r="K177" i="6" s="1"/>
  <c r="F28" i="6"/>
  <c r="AP28" i="6"/>
  <c r="AV28" i="6"/>
  <c r="T28" i="6"/>
  <c r="O177" i="6" s="1"/>
  <c r="Z28" i="6"/>
  <c r="U177" i="6" s="1"/>
  <c r="AZ28" i="6"/>
  <c r="X28" i="6"/>
  <c r="S177" i="6" s="1"/>
  <c r="N28" i="6"/>
  <c r="I177" i="6" s="1"/>
  <c r="O28" i="6"/>
  <c r="J177" i="6" s="1"/>
  <c r="AY28" i="6"/>
  <c r="V28" i="6"/>
  <c r="Q177" i="6" s="1"/>
  <c r="S28" i="6"/>
  <c r="N177" i="6" s="1"/>
  <c r="AQ28" i="6"/>
  <c r="AA28" i="6"/>
  <c r="V177" i="6" s="1"/>
  <c r="I28" i="6"/>
  <c r="AC28" i="6"/>
  <c r="BC28" i="6"/>
  <c r="AG28" i="6"/>
  <c r="AS28" i="6"/>
  <c r="BE28" i="6"/>
  <c r="AF28" i="6"/>
  <c r="E28" i="6"/>
  <c r="H28" i="6"/>
  <c r="D28" i="6"/>
  <c r="Y28" i="6"/>
  <c r="T177" i="6" s="1"/>
  <c r="AR28" i="6"/>
  <c r="AK28" i="6"/>
  <c r="R28" i="6"/>
  <c r="AT28" i="6"/>
  <c r="L28" i="6"/>
  <c r="G177" i="6" s="1"/>
  <c r="J28" i="6"/>
  <c r="E177" i="6" s="1"/>
  <c r="BA28" i="6"/>
  <c r="AE28" i="6"/>
  <c r="W28" i="6"/>
  <c r="R177" i="6" s="1"/>
  <c r="K28" i="6"/>
  <c r="F177" i="6" s="1"/>
  <c r="G28" i="6"/>
  <c r="BF28" i="6"/>
  <c r="AM28" i="6"/>
  <c r="U28" i="6"/>
  <c r="P177" i="6" s="1"/>
  <c r="D176" i="6"/>
  <c r="B129" i="6" l="1"/>
  <c r="A130" i="6"/>
  <c r="W129" i="6"/>
  <c r="K129" i="6"/>
  <c r="AI129" i="6"/>
  <c r="G129" i="6"/>
  <c r="AQ129" i="6"/>
  <c r="Y129" i="6"/>
  <c r="AU129" i="6"/>
  <c r="M129" i="6"/>
  <c r="AR129" i="6"/>
  <c r="S129" i="6"/>
  <c r="AK129" i="6"/>
  <c r="O129" i="6"/>
  <c r="J129" i="6"/>
  <c r="AT129" i="6"/>
  <c r="V129" i="6"/>
  <c r="AA129" i="6"/>
  <c r="C129" i="6"/>
  <c r="BA129" i="6"/>
  <c r="P129" i="6"/>
  <c r="AO129" i="6"/>
  <c r="BB129" i="6"/>
  <c r="F129" i="6"/>
  <c r="H129" i="6"/>
  <c r="AY129" i="6"/>
  <c r="AB129" i="6"/>
  <c r="AN129" i="6"/>
  <c r="Q129" i="6"/>
  <c r="X129" i="6"/>
  <c r="AJ129" i="6"/>
  <c r="N129" i="6"/>
  <c r="AH129" i="6"/>
  <c r="AF129" i="6"/>
  <c r="AS129" i="6"/>
  <c r="Z129" i="6"/>
  <c r="AZ129" i="6"/>
  <c r="I129" i="6"/>
  <c r="AW129" i="6"/>
  <c r="AM129" i="6"/>
  <c r="AV129" i="6"/>
  <c r="BC129" i="6"/>
  <c r="E129" i="6"/>
  <c r="U129" i="6"/>
  <c r="AE129" i="6"/>
  <c r="AD129" i="6"/>
  <c r="AP129" i="6"/>
  <c r="T129" i="6"/>
  <c r="AL129" i="6"/>
  <c r="D129" i="6"/>
  <c r="AC129" i="6"/>
  <c r="AX129" i="6"/>
  <c r="BD129" i="6"/>
  <c r="L129" i="6"/>
  <c r="BF129" i="6"/>
  <c r="R129" i="6"/>
  <c r="AG129" i="6"/>
  <c r="BE129" i="6"/>
  <c r="A178" i="6"/>
  <c r="A30" i="6"/>
  <c r="AO29" i="6"/>
  <c r="G29" i="6"/>
  <c r="AH29" i="6"/>
  <c r="F29" i="6"/>
  <c r="B29" i="6"/>
  <c r="B178" i="6" s="1"/>
  <c r="BC29" i="6"/>
  <c r="BB29" i="6"/>
  <c r="S29" i="6"/>
  <c r="N178" i="6" s="1"/>
  <c r="AT29" i="6"/>
  <c r="P29" i="6"/>
  <c r="K178" i="6" s="1"/>
  <c r="H29" i="6"/>
  <c r="AW29" i="6"/>
  <c r="D29" i="6"/>
  <c r="AJ29" i="6"/>
  <c r="AX29" i="6"/>
  <c r="AA29" i="6"/>
  <c r="V178" i="6" s="1"/>
  <c r="AN29" i="6"/>
  <c r="E29" i="6"/>
  <c r="BA29" i="6"/>
  <c r="AR29" i="6"/>
  <c r="N29" i="6"/>
  <c r="I178" i="6" s="1"/>
  <c r="BD29" i="6"/>
  <c r="Q29" i="6"/>
  <c r="L178" i="6" s="1"/>
  <c r="R29" i="6"/>
  <c r="AD29" i="6"/>
  <c r="X29" i="6"/>
  <c r="S178" i="6" s="1"/>
  <c r="AV29" i="6"/>
  <c r="AB29" i="6"/>
  <c r="AL29" i="6"/>
  <c r="M29" i="6"/>
  <c r="H178" i="6" s="1"/>
  <c r="Y29" i="6"/>
  <c r="T178" i="6" s="1"/>
  <c r="BF29" i="6"/>
  <c r="AK29" i="6"/>
  <c r="AI29" i="6"/>
  <c r="U29" i="6"/>
  <c r="P178" i="6" s="1"/>
  <c r="AZ29" i="6"/>
  <c r="C29" i="6"/>
  <c r="C178" i="6" s="1"/>
  <c r="AY29" i="6"/>
  <c r="AG29" i="6"/>
  <c r="AM29" i="6"/>
  <c r="T29" i="6"/>
  <c r="O178" i="6" s="1"/>
  <c r="L29" i="6"/>
  <c r="G178" i="6" s="1"/>
  <c r="AE29" i="6"/>
  <c r="AQ29" i="6"/>
  <c r="Z29" i="6"/>
  <c r="U178" i="6" s="1"/>
  <c r="AC29" i="6"/>
  <c r="O29" i="6"/>
  <c r="J178" i="6" s="1"/>
  <c r="AF29" i="6"/>
  <c r="V29" i="6"/>
  <c r="Q178" i="6" s="1"/>
  <c r="I29" i="6"/>
  <c r="J29" i="6"/>
  <c r="E178" i="6" s="1"/>
  <c r="W29" i="6"/>
  <c r="R178" i="6" s="1"/>
  <c r="BE29" i="6"/>
  <c r="AP29" i="6"/>
  <c r="AS29" i="6"/>
  <c r="AU29" i="6"/>
  <c r="K29" i="6"/>
  <c r="F178" i="6" s="1"/>
  <c r="B79" i="6"/>
  <c r="AQ79" i="6"/>
  <c r="G79" i="6"/>
  <c r="A80" i="6"/>
  <c r="BC79" i="6"/>
  <c r="AN79" i="6"/>
  <c r="AF79" i="6"/>
  <c r="AR79" i="6"/>
  <c r="S79" i="6"/>
  <c r="H79" i="6"/>
  <c r="Z79" i="6"/>
  <c r="AX79" i="6"/>
  <c r="AK79" i="6"/>
  <c r="AH79" i="6"/>
  <c r="AL79" i="6"/>
  <c r="N79" i="6"/>
  <c r="O79" i="6"/>
  <c r="I79" i="6"/>
  <c r="AG79" i="6"/>
  <c r="M79" i="6"/>
  <c r="BE79" i="6"/>
  <c r="L79" i="6"/>
  <c r="Y79" i="6"/>
  <c r="X79" i="6"/>
  <c r="U79" i="6"/>
  <c r="AS79" i="6"/>
  <c r="AT79" i="6"/>
  <c r="AZ79" i="6"/>
  <c r="BD79" i="6"/>
  <c r="AY79" i="6"/>
  <c r="AW79" i="6"/>
  <c r="K79" i="6"/>
  <c r="AM79" i="6"/>
  <c r="AP79" i="6"/>
  <c r="AE79" i="6"/>
  <c r="AD79" i="6"/>
  <c r="C79" i="6"/>
  <c r="AA79" i="6"/>
  <c r="AV79" i="6"/>
  <c r="F79" i="6"/>
  <c r="AJ79" i="6"/>
  <c r="R79" i="6"/>
  <c r="BF79" i="6"/>
  <c r="V79" i="6"/>
  <c r="BB79" i="6"/>
  <c r="AU79" i="6"/>
  <c r="AB79" i="6"/>
  <c r="AI79" i="6"/>
  <c r="AC79" i="6"/>
  <c r="AO79" i="6"/>
  <c r="E79" i="6"/>
  <c r="Q79" i="6"/>
  <c r="BA79" i="6"/>
  <c r="J79" i="6"/>
  <c r="W79" i="6"/>
  <c r="D79" i="6"/>
  <c r="P79" i="6"/>
  <c r="T79" i="6"/>
  <c r="D177" i="6"/>
  <c r="D178" i="6" l="1"/>
  <c r="A179" i="6"/>
  <c r="A31" i="6"/>
  <c r="AP30" i="6"/>
  <c r="AO30" i="6"/>
  <c r="J30" i="6"/>
  <c r="E179" i="6" s="1"/>
  <c r="B30" i="6"/>
  <c r="B179" i="6" s="1"/>
  <c r="BC30" i="6"/>
  <c r="AA30" i="6"/>
  <c r="V179" i="6" s="1"/>
  <c r="BB30" i="6"/>
  <c r="W30" i="6"/>
  <c r="R179" i="6" s="1"/>
  <c r="BA30" i="6"/>
  <c r="V30" i="6"/>
  <c r="Q179" i="6" s="1"/>
  <c r="D30" i="6"/>
  <c r="AI30" i="6"/>
  <c r="L30" i="6"/>
  <c r="G179" i="6" s="1"/>
  <c r="AF30" i="6"/>
  <c r="Z30" i="6"/>
  <c r="U179" i="6" s="1"/>
  <c r="E30" i="6"/>
  <c r="AR30" i="6"/>
  <c r="AK30" i="6"/>
  <c r="AZ30" i="6"/>
  <c r="R30" i="6"/>
  <c r="T30" i="6"/>
  <c r="O179" i="6" s="1"/>
  <c r="BD30" i="6"/>
  <c r="Y30" i="6"/>
  <c r="T179" i="6" s="1"/>
  <c r="AW30" i="6"/>
  <c r="AM30" i="6"/>
  <c r="AD30" i="6"/>
  <c r="C30" i="6"/>
  <c r="C179" i="6" s="1"/>
  <c r="AY30" i="6"/>
  <c r="H30" i="6"/>
  <c r="X30" i="6"/>
  <c r="S179" i="6" s="1"/>
  <c r="AX30" i="6"/>
  <c r="AC30" i="6"/>
  <c r="G30" i="6"/>
  <c r="AE30" i="6"/>
  <c r="U30" i="6"/>
  <c r="P179" i="6" s="1"/>
  <c r="AG30" i="6"/>
  <c r="AH30" i="6"/>
  <c r="AB30" i="6"/>
  <c r="S30" i="6"/>
  <c r="N179" i="6" s="1"/>
  <c r="AL30" i="6"/>
  <c r="AV30" i="6"/>
  <c r="Q30" i="6"/>
  <c r="L179" i="6" s="1"/>
  <c r="N30" i="6"/>
  <c r="I179" i="6" s="1"/>
  <c r="O30" i="6"/>
  <c r="J179" i="6" s="1"/>
  <c r="K30" i="6"/>
  <c r="F179" i="6" s="1"/>
  <c r="BE30" i="6"/>
  <c r="M30" i="6"/>
  <c r="H179" i="6" s="1"/>
  <c r="AQ30" i="6"/>
  <c r="BF30" i="6"/>
  <c r="F30" i="6"/>
  <c r="AN30" i="6"/>
  <c r="I30" i="6"/>
  <c r="AJ30" i="6"/>
  <c r="AU30" i="6"/>
  <c r="AT30" i="6"/>
  <c r="P30" i="6"/>
  <c r="K179" i="6" s="1"/>
  <c r="AS30" i="6"/>
  <c r="A131" i="6"/>
  <c r="AE130" i="6"/>
  <c r="K130" i="6"/>
  <c r="AU130" i="6"/>
  <c r="S130" i="6"/>
  <c r="AL130" i="6"/>
  <c r="G130" i="6"/>
  <c r="Z130" i="6"/>
  <c r="N130" i="6"/>
  <c r="BC130" i="6"/>
  <c r="AI130" i="6"/>
  <c r="AS130" i="6"/>
  <c r="AG130" i="6"/>
  <c r="B130" i="6"/>
  <c r="AX130" i="6"/>
  <c r="X130" i="6"/>
  <c r="Y130" i="6"/>
  <c r="BF130" i="6"/>
  <c r="AB130" i="6"/>
  <c r="C130" i="6"/>
  <c r="AZ130" i="6"/>
  <c r="AC130" i="6"/>
  <c r="V130" i="6"/>
  <c r="AH130" i="6"/>
  <c r="AM130" i="6"/>
  <c r="AY130" i="6"/>
  <c r="J130" i="6"/>
  <c r="Q130" i="6"/>
  <c r="AO130" i="6"/>
  <c r="L130" i="6"/>
  <c r="AV130" i="6"/>
  <c r="O130" i="6"/>
  <c r="E130" i="6"/>
  <c r="F130" i="6"/>
  <c r="P130" i="6"/>
  <c r="R130" i="6"/>
  <c r="AF130" i="6"/>
  <c r="AJ130" i="6"/>
  <c r="BB130" i="6"/>
  <c r="AQ130" i="6"/>
  <c r="AA130" i="6"/>
  <c r="BA130" i="6"/>
  <c r="H130" i="6"/>
  <c r="AT130" i="6"/>
  <c r="AR130" i="6"/>
  <c r="U130" i="6"/>
  <c r="AK130" i="6"/>
  <c r="BE130" i="6"/>
  <c r="W130" i="6"/>
  <c r="D130" i="6"/>
  <c r="AN130" i="6"/>
  <c r="M130" i="6"/>
  <c r="I130" i="6"/>
  <c r="BD130" i="6"/>
  <c r="T130" i="6"/>
  <c r="AD130" i="6"/>
  <c r="AP130" i="6"/>
  <c r="AW130" i="6"/>
  <c r="E80" i="6"/>
  <c r="Q80" i="6"/>
  <c r="BA80" i="6"/>
  <c r="AO80" i="6"/>
  <c r="A81" i="6"/>
  <c r="AC80" i="6"/>
  <c r="AU80" i="6"/>
  <c r="B80" i="6"/>
  <c r="BB80" i="6"/>
  <c r="AV80" i="6"/>
  <c r="AH80" i="6"/>
  <c r="L80" i="6"/>
  <c r="P80" i="6"/>
  <c r="C80" i="6"/>
  <c r="Z80" i="6"/>
  <c r="AX80" i="6"/>
  <c r="N80" i="6"/>
  <c r="AL80" i="6"/>
  <c r="R80" i="6"/>
  <c r="M80" i="6"/>
  <c r="Y80" i="6"/>
  <c r="K80" i="6"/>
  <c r="U80" i="6"/>
  <c r="AG80" i="6"/>
  <c r="BE80" i="6"/>
  <c r="G80" i="6"/>
  <c r="AE80" i="6"/>
  <c r="X80" i="6"/>
  <c r="AD80" i="6"/>
  <c r="AM80" i="6"/>
  <c r="I80" i="6"/>
  <c r="AW80" i="6"/>
  <c r="J80" i="6"/>
  <c r="AI80" i="6"/>
  <c r="AB80" i="6"/>
  <c r="BC80" i="6"/>
  <c r="O80" i="6"/>
  <c r="AS80" i="6"/>
  <c r="AA80" i="6"/>
  <c r="AN80" i="6"/>
  <c r="F80" i="6"/>
  <c r="D80" i="6"/>
  <c r="H80" i="6"/>
  <c r="AR80" i="6"/>
  <c r="BD80" i="6"/>
  <c r="AK80" i="6"/>
  <c r="V80" i="6"/>
  <c r="BF80" i="6"/>
  <c r="AJ80" i="6"/>
  <c r="AF80" i="6"/>
  <c r="AT80" i="6"/>
  <c r="AZ80" i="6"/>
  <c r="T80" i="6"/>
  <c r="AP80" i="6"/>
  <c r="AY80" i="6"/>
  <c r="AQ80" i="6"/>
  <c r="W80" i="6"/>
  <c r="S80" i="6"/>
  <c r="N131" i="6" l="1"/>
  <c r="AU131" i="6"/>
  <c r="Z131" i="6"/>
  <c r="G131" i="6"/>
  <c r="AX131" i="6"/>
  <c r="W131" i="6"/>
  <c r="B131" i="6"/>
  <c r="AL131" i="6"/>
  <c r="S131" i="6"/>
  <c r="K131" i="6"/>
  <c r="AI131" i="6"/>
  <c r="T131" i="6"/>
  <c r="M131" i="6"/>
  <c r="A132" i="6"/>
  <c r="BC131" i="6"/>
  <c r="L131" i="6"/>
  <c r="V131" i="6"/>
  <c r="AH131" i="6"/>
  <c r="AY131" i="6"/>
  <c r="AA131" i="6"/>
  <c r="AM131" i="6"/>
  <c r="Q131" i="6"/>
  <c r="BF131" i="6"/>
  <c r="AT131" i="6"/>
  <c r="AB131" i="6"/>
  <c r="AN131" i="6"/>
  <c r="D131" i="6"/>
  <c r="AD131" i="6"/>
  <c r="BB131" i="6"/>
  <c r="P131" i="6"/>
  <c r="J131" i="6"/>
  <c r="AZ131" i="6"/>
  <c r="AC131" i="6"/>
  <c r="AO131" i="6"/>
  <c r="AW131" i="6"/>
  <c r="F131" i="6"/>
  <c r="AR131" i="6"/>
  <c r="BD131" i="6"/>
  <c r="I131" i="6"/>
  <c r="AG131" i="6"/>
  <c r="AJ131" i="6"/>
  <c r="C131" i="6"/>
  <c r="O131" i="6"/>
  <c r="AS131" i="6"/>
  <c r="AF131" i="6"/>
  <c r="AK131" i="6"/>
  <c r="AP131" i="6"/>
  <c r="H131" i="6"/>
  <c r="Y131" i="6"/>
  <c r="X131" i="6"/>
  <c r="R131" i="6"/>
  <c r="E131" i="6"/>
  <c r="AQ131" i="6"/>
  <c r="AV131" i="6"/>
  <c r="BE131" i="6"/>
  <c r="BA131" i="6"/>
  <c r="U131" i="6"/>
  <c r="AE131" i="6"/>
  <c r="A82" i="6"/>
  <c r="E81" i="6"/>
  <c r="AO81" i="6"/>
  <c r="G81" i="6"/>
  <c r="B81" i="6"/>
  <c r="BA81" i="6"/>
  <c r="AR81" i="6"/>
  <c r="AE81" i="6"/>
  <c r="AC81" i="6"/>
  <c r="Q81" i="6"/>
  <c r="V81" i="6"/>
  <c r="H81" i="6"/>
  <c r="W81" i="6"/>
  <c r="Z81" i="6"/>
  <c r="N81" i="6"/>
  <c r="AX81" i="6"/>
  <c r="AL81" i="6"/>
  <c r="AV81" i="6"/>
  <c r="O81" i="6"/>
  <c r="AM81" i="6"/>
  <c r="AJ81" i="6"/>
  <c r="AQ81" i="6"/>
  <c r="AK81" i="6"/>
  <c r="BD81" i="6"/>
  <c r="AG81" i="6"/>
  <c r="Y81" i="6"/>
  <c r="C81" i="6"/>
  <c r="AF81" i="6"/>
  <c r="AZ81" i="6"/>
  <c r="AI81" i="6"/>
  <c r="S81" i="6"/>
  <c r="K81" i="6"/>
  <c r="BB81" i="6"/>
  <c r="L81" i="6"/>
  <c r="M81" i="6"/>
  <c r="AB81" i="6"/>
  <c r="F81" i="6"/>
  <c r="D81" i="6"/>
  <c r="J81" i="6"/>
  <c r="AH81" i="6"/>
  <c r="AT81" i="6"/>
  <c r="AU81" i="6"/>
  <c r="BE81" i="6"/>
  <c r="AS81" i="6"/>
  <c r="T81" i="6"/>
  <c r="AY81" i="6"/>
  <c r="P81" i="6"/>
  <c r="R81" i="6"/>
  <c r="I81" i="6"/>
  <c r="BF81" i="6"/>
  <c r="AA81" i="6"/>
  <c r="X81" i="6"/>
  <c r="AD81" i="6"/>
  <c r="U81" i="6"/>
  <c r="AW81" i="6"/>
  <c r="AP81" i="6"/>
  <c r="BC81" i="6"/>
  <c r="AN81" i="6"/>
  <c r="A180" i="6"/>
  <c r="A32" i="6"/>
  <c r="B31" i="6"/>
  <c r="B180" i="6" s="1"/>
  <c r="R31" i="6"/>
  <c r="AU31" i="6"/>
  <c r="Q31" i="6"/>
  <c r="L180" i="6" s="1"/>
  <c r="AH31" i="6"/>
  <c r="AE31" i="6"/>
  <c r="AD31" i="6"/>
  <c r="BE31" i="6"/>
  <c r="W31" i="6"/>
  <c r="R180" i="6" s="1"/>
  <c r="AA31" i="6"/>
  <c r="V180" i="6" s="1"/>
  <c r="H31" i="6"/>
  <c r="Z31" i="6"/>
  <c r="U180" i="6" s="1"/>
  <c r="AK31" i="6"/>
  <c r="C31" i="6"/>
  <c r="C180" i="6" s="1"/>
  <c r="L31" i="6"/>
  <c r="G180" i="6" s="1"/>
  <c r="E31" i="6"/>
  <c r="AZ31" i="6"/>
  <c r="AJ31" i="6"/>
  <c r="AV31" i="6"/>
  <c r="AF31" i="6"/>
  <c r="AN31" i="6"/>
  <c r="AC31" i="6"/>
  <c r="AO31" i="6"/>
  <c r="BA31" i="6"/>
  <c r="N31" i="6"/>
  <c r="I180" i="6" s="1"/>
  <c r="AB31" i="6"/>
  <c r="I31" i="6"/>
  <c r="BD31" i="6"/>
  <c r="AX31" i="6"/>
  <c r="AQ31" i="6"/>
  <c r="T31" i="6"/>
  <c r="O180" i="6" s="1"/>
  <c r="AR31" i="6"/>
  <c r="X31" i="6"/>
  <c r="S180" i="6" s="1"/>
  <c r="O31" i="6"/>
  <c r="J180" i="6" s="1"/>
  <c r="AI31" i="6"/>
  <c r="D31" i="6"/>
  <c r="BB31" i="6"/>
  <c r="Y31" i="6"/>
  <c r="T180" i="6" s="1"/>
  <c r="M31" i="6"/>
  <c r="H180" i="6" s="1"/>
  <c r="AP31" i="6"/>
  <c r="G31" i="6"/>
  <c r="AY31" i="6"/>
  <c r="AW31" i="6"/>
  <c r="AL31" i="6"/>
  <c r="AG31" i="6"/>
  <c r="P31" i="6"/>
  <c r="K180" i="6" s="1"/>
  <c r="F31" i="6"/>
  <c r="S31" i="6"/>
  <c r="N180" i="6" s="1"/>
  <c r="AS31" i="6"/>
  <c r="AT31" i="6"/>
  <c r="BF31" i="6"/>
  <c r="J31" i="6"/>
  <c r="E180" i="6" s="1"/>
  <c r="U31" i="6"/>
  <c r="P180" i="6" s="1"/>
  <c r="AM31" i="6"/>
  <c r="BC31" i="6"/>
  <c r="K31" i="6"/>
  <c r="F180" i="6" s="1"/>
  <c r="V31" i="6"/>
  <c r="Q180" i="6" s="1"/>
  <c r="D179" i="6"/>
  <c r="A83" i="6" l="1"/>
  <c r="AC82" i="6"/>
  <c r="BA82" i="6"/>
  <c r="AO82" i="6"/>
  <c r="Q82" i="6"/>
  <c r="E82" i="6"/>
  <c r="B82" i="6"/>
  <c r="BD82" i="6"/>
  <c r="AZ82" i="6"/>
  <c r="AQ82" i="6"/>
  <c r="V82" i="6"/>
  <c r="AA82" i="6"/>
  <c r="N82" i="6"/>
  <c r="Z82" i="6"/>
  <c r="AX82" i="6"/>
  <c r="AL82" i="6"/>
  <c r="AM82" i="6"/>
  <c r="AP82" i="6"/>
  <c r="U82" i="6"/>
  <c r="O82" i="6"/>
  <c r="AS82" i="6"/>
  <c r="R82" i="6"/>
  <c r="AG82" i="6"/>
  <c r="C82" i="6"/>
  <c r="AY82" i="6"/>
  <c r="F82" i="6"/>
  <c r="I82" i="6"/>
  <c r="AW82" i="6"/>
  <c r="P82" i="6"/>
  <c r="G82" i="6"/>
  <c r="AE82" i="6"/>
  <c r="AJ82" i="6"/>
  <c r="BB82" i="6"/>
  <c r="AT82" i="6"/>
  <c r="AD82" i="6"/>
  <c r="X82" i="6"/>
  <c r="AK82" i="6"/>
  <c r="AR82" i="6"/>
  <c r="L82" i="6"/>
  <c r="M82" i="6"/>
  <c r="Y82" i="6"/>
  <c r="AI82" i="6"/>
  <c r="AV82" i="6"/>
  <c r="AN82" i="6"/>
  <c r="AB82" i="6"/>
  <c r="K82" i="6"/>
  <c r="J82" i="6"/>
  <c r="AH82" i="6"/>
  <c r="BC82" i="6"/>
  <c r="BE82" i="6"/>
  <c r="S82" i="6"/>
  <c r="D82" i="6"/>
  <c r="BF82" i="6"/>
  <c r="AF82" i="6"/>
  <c r="T82" i="6"/>
  <c r="W82" i="6"/>
  <c r="AU82" i="6"/>
  <c r="H82" i="6"/>
  <c r="D180" i="6"/>
  <c r="A181" i="6"/>
  <c r="A33" i="6"/>
  <c r="BC32" i="6"/>
  <c r="AY32" i="6"/>
  <c r="R32" i="6"/>
  <c r="AK32" i="6"/>
  <c r="C32" i="6"/>
  <c r="C181" i="6" s="1"/>
  <c r="AE32" i="6"/>
  <c r="B32" i="6"/>
  <c r="B181" i="6" s="1"/>
  <c r="AD32" i="6"/>
  <c r="AR32" i="6"/>
  <c r="AQ32" i="6"/>
  <c r="F32" i="6"/>
  <c r="X32" i="6"/>
  <c r="S181" i="6" s="1"/>
  <c r="H32" i="6"/>
  <c r="AX32" i="6"/>
  <c r="L32" i="6"/>
  <c r="G181" i="6" s="1"/>
  <c r="AJ32" i="6"/>
  <c r="BA32" i="6"/>
  <c r="AF32" i="6"/>
  <c r="Z32" i="6"/>
  <c r="U181" i="6" s="1"/>
  <c r="AZ32" i="6"/>
  <c r="BB32" i="6"/>
  <c r="AA32" i="6"/>
  <c r="V181" i="6" s="1"/>
  <c r="AN32" i="6"/>
  <c r="BD32" i="6"/>
  <c r="AV32" i="6"/>
  <c r="T32" i="6"/>
  <c r="O181" i="6" s="1"/>
  <c r="AT32" i="6"/>
  <c r="AI32" i="6"/>
  <c r="AM32" i="6"/>
  <c r="N32" i="6"/>
  <c r="I181" i="6" s="1"/>
  <c r="AL32" i="6"/>
  <c r="K32" i="6"/>
  <c r="F181" i="6" s="1"/>
  <c r="I32" i="6"/>
  <c r="M32" i="6"/>
  <c r="H181" i="6" s="1"/>
  <c r="AP32" i="6"/>
  <c r="AO32" i="6"/>
  <c r="D32" i="6"/>
  <c r="S32" i="6"/>
  <c r="N181" i="6" s="1"/>
  <c r="AC32" i="6"/>
  <c r="AS32" i="6"/>
  <c r="AW32" i="6"/>
  <c r="Q32" i="6"/>
  <c r="L181" i="6" s="1"/>
  <c r="E32" i="6"/>
  <c r="O32" i="6"/>
  <c r="J181" i="6" s="1"/>
  <c r="AG32" i="6"/>
  <c r="AU32" i="6"/>
  <c r="W32" i="6"/>
  <c r="R181" i="6" s="1"/>
  <c r="U32" i="6"/>
  <c r="P181" i="6" s="1"/>
  <c r="J32" i="6"/>
  <c r="E181" i="6" s="1"/>
  <c r="P32" i="6"/>
  <c r="K181" i="6" s="1"/>
  <c r="Y32" i="6"/>
  <c r="T181" i="6" s="1"/>
  <c r="BE32" i="6"/>
  <c r="G32" i="6"/>
  <c r="BF32" i="6"/>
  <c r="V32" i="6"/>
  <c r="Q181" i="6" s="1"/>
  <c r="AH32" i="6"/>
  <c r="AB32" i="6"/>
  <c r="AL132" i="6"/>
  <c r="N132" i="6"/>
  <c r="Z132" i="6"/>
  <c r="G132" i="6"/>
  <c r="AQ132" i="6"/>
  <c r="A133" i="6"/>
  <c r="AI132" i="6"/>
  <c r="BC132" i="6"/>
  <c r="K132" i="6"/>
  <c r="W132" i="6"/>
  <c r="B132" i="6"/>
  <c r="AE132" i="6"/>
  <c r="R132" i="6"/>
  <c r="AX132" i="6"/>
  <c r="AU132" i="6"/>
  <c r="AO132" i="6"/>
  <c r="S132" i="6"/>
  <c r="C132" i="6"/>
  <c r="AT132" i="6"/>
  <c r="AA132" i="6"/>
  <c r="AM132" i="6"/>
  <c r="AY132" i="6"/>
  <c r="J132" i="6"/>
  <c r="V132" i="6"/>
  <c r="P132" i="6"/>
  <c r="AB132" i="6"/>
  <c r="D132" i="6"/>
  <c r="AC132" i="6"/>
  <c r="AV132" i="6"/>
  <c r="BA132" i="6"/>
  <c r="X132" i="6"/>
  <c r="M132" i="6"/>
  <c r="AP132" i="6"/>
  <c r="BD132" i="6"/>
  <c r="AS132" i="6"/>
  <c r="BF132" i="6"/>
  <c r="Q132" i="6"/>
  <c r="U132" i="6"/>
  <c r="O132" i="6"/>
  <c r="I132" i="6"/>
  <c r="AG132" i="6"/>
  <c r="AK132" i="6"/>
  <c r="BE132" i="6"/>
  <c r="AZ132" i="6"/>
  <c r="E132" i="6"/>
  <c r="H132" i="6"/>
  <c r="AD132" i="6"/>
  <c r="BB132" i="6"/>
  <c r="AW132" i="6"/>
  <c r="Y132" i="6"/>
  <c r="AH132" i="6"/>
  <c r="AN132" i="6"/>
  <c r="L132" i="6"/>
  <c r="AJ132" i="6"/>
  <c r="F132" i="6"/>
  <c r="AF132" i="6"/>
  <c r="AR132" i="6"/>
  <c r="T132" i="6"/>
  <c r="A134" i="6" l="1"/>
  <c r="AX133" i="6"/>
  <c r="AI133" i="6"/>
  <c r="AQ133" i="6"/>
  <c r="W133" i="6"/>
  <c r="B133" i="6"/>
  <c r="Z133" i="6"/>
  <c r="AU133" i="6"/>
  <c r="N133" i="6"/>
  <c r="AL133" i="6"/>
  <c r="AK133" i="6"/>
  <c r="K133" i="6"/>
  <c r="H133" i="6"/>
  <c r="G133" i="6"/>
  <c r="AZ133" i="6"/>
  <c r="AE133" i="6"/>
  <c r="AD133" i="6"/>
  <c r="J133" i="6"/>
  <c r="AH133" i="6"/>
  <c r="O133" i="6"/>
  <c r="M133" i="6"/>
  <c r="D133" i="6"/>
  <c r="BA133" i="6"/>
  <c r="E133" i="6"/>
  <c r="AO133" i="6"/>
  <c r="L133" i="6"/>
  <c r="V133" i="6"/>
  <c r="C133" i="6"/>
  <c r="X133" i="6"/>
  <c r="AJ133" i="6"/>
  <c r="AT133" i="6"/>
  <c r="AA133" i="6"/>
  <c r="AW133" i="6"/>
  <c r="Q133" i="6"/>
  <c r="U133" i="6"/>
  <c r="P133" i="6"/>
  <c r="AN133" i="6"/>
  <c r="R133" i="6"/>
  <c r="BE133" i="6"/>
  <c r="BC133" i="6"/>
  <c r="AF133" i="6"/>
  <c r="T133" i="6"/>
  <c r="AV133" i="6"/>
  <c r="AR133" i="6"/>
  <c r="BD133" i="6"/>
  <c r="AS133" i="6"/>
  <c r="AB133" i="6"/>
  <c r="AC133" i="6"/>
  <c r="F133" i="6"/>
  <c r="BB133" i="6"/>
  <c r="I133" i="6"/>
  <c r="BF133" i="6"/>
  <c r="AY133" i="6"/>
  <c r="S133" i="6"/>
  <c r="AM133" i="6"/>
  <c r="Y133" i="6"/>
  <c r="AP133" i="6"/>
  <c r="AG133" i="6"/>
  <c r="D181" i="6"/>
  <c r="A182" i="6"/>
  <c r="B33" i="6"/>
  <c r="B182" i="6" s="1"/>
  <c r="A34" i="6"/>
  <c r="BF33" i="6"/>
  <c r="K33" i="6"/>
  <c r="F182" i="6" s="1"/>
  <c r="J33" i="6"/>
  <c r="E182" i="6" s="1"/>
  <c r="E33" i="6"/>
  <c r="M33" i="6"/>
  <c r="H182" i="6" s="1"/>
  <c r="AS33" i="6"/>
  <c r="P33" i="6"/>
  <c r="K182" i="6" s="1"/>
  <c r="AT33" i="6"/>
  <c r="AF33" i="6"/>
  <c r="F33" i="6"/>
  <c r="AV33" i="6"/>
  <c r="AK33" i="6"/>
  <c r="O33" i="6"/>
  <c r="J182" i="6" s="1"/>
  <c r="AW33" i="6"/>
  <c r="R33" i="6"/>
  <c r="W33" i="6"/>
  <c r="R182" i="6" s="1"/>
  <c r="AJ33" i="6"/>
  <c r="H33" i="6"/>
  <c r="Z33" i="6"/>
  <c r="U182" i="6" s="1"/>
  <c r="AL33" i="6"/>
  <c r="D33" i="6"/>
  <c r="AA33" i="6"/>
  <c r="V182" i="6" s="1"/>
  <c r="AM33" i="6"/>
  <c r="AR33" i="6"/>
  <c r="X33" i="6"/>
  <c r="S182" i="6" s="1"/>
  <c r="AZ33" i="6"/>
  <c r="AC33" i="6"/>
  <c r="AO33" i="6"/>
  <c r="BD33" i="6"/>
  <c r="L33" i="6"/>
  <c r="G182" i="6" s="1"/>
  <c r="BE33" i="6"/>
  <c r="T33" i="6"/>
  <c r="O182" i="6" s="1"/>
  <c r="AX33" i="6"/>
  <c r="Q33" i="6"/>
  <c r="L182" i="6" s="1"/>
  <c r="BB33" i="6"/>
  <c r="N33" i="6"/>
  <c r="I182" i="6" s="1"/>
  <c r="AN33" i="6"/>
  <c r="AQ33" i="6"/>
  <c r="AD33" i="6"/>
  <c r="C33" i="6"/>
  <c r="C182" i="6" s="1"/>
  <c r="BA33" i="6"/>
  <c r="AP33" i="6"/>
  <c r="AE33" i="6"/>
  <c r="U33" i="6"/>
  <c r="P182" i="6" s="1"/>
  <c r="AH33" i="6"/>
  <c r="G33" i="6"/>
  <c r="AY33" i="6"/>
  <c r="V33" i="6"/>
  <c r="Q182" i="6" s="1"/>
  <c r="AB33" i="6"/>
  <c r="Y33" i="6"/>
  <c r="T182" i="6" s="1"/>
  <c r="AI33" i="6"/>
  <c r="S33" i="6"/>
  <c r="N182" i="6" s="1"/>
  <c r="AU33" i="6"/>
  <c r="BC33" i="6"/>
  <c r="I33" i="6"/>
  <c r="AG33" i="6"/>
  <c r="AO83" i="6"/>
  <c r="B83" i="6"/>
  <c r="BA83" i="6"/>
  <c r="AC83" i="6"/>
  <c r="E83" i="6"/>
  <c r="A84" i="6"/>
  <c r="W83" i="6"/>
  <c r="Q83" i="6"/>
  <c r="J83" i="6"/>
  <c r="C83" i="6"/>
  <c r="AZ83" i="6"/>
  <c r="AR83" i="6"/>
  <c r="AX83" i="6"/>
  <c r="AL83" i="6"/>
  <c r="N83" i="6"/>
  <c r="O83" i="6"/>
  <c r="F83" i="6"/>
  <c r="AN83" i="6"/>
  <c r="X83" i="6"/>
  <c r="AW83" i="6"/>
  <c r="AB83" i="6"/>
  <c r="AA83" i="6"/>
  <c r="BB83" i="6"/>
  <c r="AS83" i="6"/>
  <c r="AJ83" i="6"/>
  <c r="R83" i="6"/>
  <c r="Z83" i="6"/>
  <c r="AM83" i="6"/>
  <c r="AG83" i="6"/>
  <c r="AF83" i="6"/>
  <c r="AK83" i="6"/>
  <c r="G83" i="6"/>
  <c r="AP83" i="6"/>
  <c r="BE83" i="6"/>
  <c r="AD83" i="6"/>
  <c r="Y83" i="6"/>
  <c r="M83" i="6"/>
  <c r="H83" i="6"/>
  <c r="AH83" i="6"/>
  <c r="T83" i="6"/>
  <c r="L83" i="6"/>
  <c r="AE83" i="6"/>
  <c r="V83" i="6"/>
  <c r="BC83" i="6"/>
  <c r="K83" i="6"/>
  <c r="U83" i="6"/>
  <c r="D83" i="6"/>
  <c r="AT83" i="6"/>
  <c r="S83" i="6"/>
  <c r="P83" i="6"/>
  <c r="BF83" i="6"/>
  <c r="AU83" i="6"/>
  <c r="BD83" i="6"/>
  <c r="AQ83" i="6"/>
  <c r="AY83" i="6"/>
  <c r="I83" i="6"/>
  <c r="AV83" i="6"/>
  <c r="AI83" i="6"/>
  <c r="D182" i="6" l="1"/>
  <c r="Q84" i="6"/>
  <c r="E84" i="6"/>
  <c r="BA84" i="6"/>
  <c r="AO84" i="6"/>
  <c r="AC84" i="6"/>
  <c r="B84" i="6"/>
  <c r="A85" i="6"/>
  <c r="BC84" i="6"/>
  <c r="AR84" i="6"/>
  <c r="G84" i="6"/>
  <c r="BF84" i="6"/>
  <c r="L84" i="6"/>
  <c r="X84" i="6"/>
  <c r="N84" i="6"/>
  <c r="Z84" i="6"/>
  <c r="AL84" i="6"/>
  <c r="AX84" i="6"/>
  <c r="AB84" i="6"/>
  <c r="AA84" i="6"/>
  <c r="AJ84" i="6"/>
  <c r="AM84" i="6"/>
  <c r="P84" i="6"/>
  <c r="AV84" i="6"/>
  <c r="M84" i="6"/>
  <c r="AG84" i="6"/>
  <c r="AQ84" i="6"/>
  <c r="BE84" i="6"/>
  <c r="AK84" i="6"/>
  <c r="AW84" i="6"/>
  <c r="H84" i="6"/>
  <c r="AP84" i="6"/>
  <c r="AS84" i="6"/>
  <c r="AD84" i="6"/>
  <c r="AZ84" i="6"/>
  <c r="I84" i="6"/>
  <c r="AN84" i="6"/>
  <c r="J84" i="6"/>
  <c r="AY84" i="6"/>
  <c r="BB84" i="6"/>
  <c r="AI84" i="6"/>
  <c r="F84" i="6"/>
  <c r="U84" i="6"/>
  <c r="O84" i="6"/>
  <c r="AE84" i="6"/>
  <c r="S84" i="6"/>
  <c r="C84" i="6"/>
  <c r="AU84" i="6"/>
  <c r="D84" i="6"/>
  <c r="AH84" i="6"/>
  <c r="R84" i="6"/>
  <c r="BD84" i="6"/>
  <c r="W84" i="6"/>
  <c r="K84" i="6"/>
  <c r="V84" i="6"/>
  <c r="T84" i="6"/>
  <c r="AF84" i="6"/>
  <c r="AT84" i="6"/>
  <c r="Y84" i="6"/>
  <c r="A183" i="6"/>
  <c r="B34" i="6"/>
  <c r="B183" i="6" s="1"/>
  <c r="AE34" i="6"/>
  <c r="A35" i="6"/>
  <c r="AD34" i="6"/>
  <c r="AT34" i="6"/>
  <c r="AQ34" i="6"/>
  <c r="AN34" i="6"/>
  <c r="F34" i="6"/>
  <c r="AF34" i="6"/>
  <c r="BB34" i="6"/>
  <c r="AR34" i="6"/>
  <c r="AV34" i="6"/>
  <c r="Q34" i="6"/>
  <c r="L183" i="6" s="1"/>
  <c r="R34" i="6"/>
  <c r="AP34" i="6"/>
  <c r="X34" i="6"/>
  <c r="S183" i="6" s="1"/>
  <c r="AL34" i="6"/>
  <c r="AB34" i="6"/>
  <c r="AZ34" i="6"/>
  <c r="AC34" i="6"/>
  <c r="AO34" i="6"/>
  <c r="T34" i="6"/>
  <c r="O183" i="6" s="1"/>
  <c r="M34" i="6"/>
  <c r="H183" i="6" s="1"/>
  <c r="S34" i="6"/>
  <c r="N183" i="6" s="1"/>
  <c r="BD34" i="6"/>
  <c r="Z34" i="6"/>
  <c r="U183" i="6" s="1"/>
  <c r="AK34" i="6"/>
  <c r="H34" i="6"/>
  <c r="L34" i="6"/>
  <c r="G183" i="6" s="1"/>
  <c r="N34" i="6"/>
  <c r="I183" i="6" s="1"/>
  <c r="C34" i="6"/>
  <c r="C183" i="6" s="1"/>
  <c r="AX34" i="6"/>
  <c r="AW34" i="6"/>
  <c r="O34" i="6"/>
  <c r="J183" i="6" s="1"/>
  <c r="AY34" i="6"/>
  <c r="Y34" i="6"/>
  <c r="T183" i="6" s="1"/>
  <c r="AG34" i="6"/>
  <c r="AS34" i="6"/>
  <c r="BE34" i="6"/>
  <c r="BC34" i="6"/>
  <c r="U34" i="6"/>
  <c r="P183" i="6" s="1"/>
  <c r="AJ34" i="6"/>
  <c r="P34" i="6"/>
  <c r="K183" i="6" s="1"/>
  <c r="G34" i="6"/>
  <c r="AA34" i="6"/>
  <c r="V183" i="6" s="1"/>
  <c r="BA34" i="6"/>
  <c r="BF34" i="6"/>
  <c r="I34" i="6"/>
  <c r="AM34" i="6"/>
  <c r="V34" i="6"/>
  <c r="Q183" i="6" s="1"/>
  <c r="AI34" i="6"/>
  <c r="J34" i="6"/>
  <c r="E183" i="6" s="1"/>
  <c r="D34" i="6"/>
  <c r="K34" i="6"/>
  <c r="F183" i="6" s="1"/>
  <c r="E34" i="6"/>
  <c r="AU34" i="6"/>
  <c r="W34" i="6"/>
  <c r="R183" i="6" s="1"/>
  <c r="AH34" i="6"/>
  <c r="N134" i="6"/>
  <c r="Z134" i="6"/>
  <c r="K134" i="6"/>
  <c r="AL134" i="6"/>
  <c r="A135" i="6"/>
  <c r="AE134" i="6"/>
  <c r="W134" i="6"/>
  <c r="S134" i="6"/>
  <c r="AX134" i="6"/>
  <c r="AW134" i="6"/>
  <c r="AU134" i="6"/>
  <c r="B134" i="6"/>
  <c r="AQ134" i="6"/>
  <c r="AK134" i="6"/>
  <c r="AI134" i="6"/>
  <c r="Y134" i="6"/>
  <c r="R134" i="6"/>
  <c r="Q134" i="6"/>
  <c r="BF134" i="6"/>
  <c r="J134" i="6"/>
  <c r="AT134" i="6"/>
  <c r="O134" i="6"/>
  <c r="AA134" i="6"/>
  <c r="AZ134" i="6"/>
  <c r="X134" i="6"/>
  <c r="M134" i="6"/>
  <c r="AP134" i="6"/>
  <c r="AH134" i="6"/>
  <c r="AB134" i="6"/>
  <c r="AO134" i="6"/>
  <c r="BA134" i="6"/>
  <c r="AN134" i="6"/>
  <c r="L134" i="6"/>
  <c r="C134" i="6"/>
  <c r="AG134" i="6"/>
  <c r="AC134" i="6"/>
  <c r="AD134" i="6"/>
  <c r="AS134" i="6"/>
  <c r="V134" i="6"/>
  <c r="E134" i="6"/>
  <c r="AJ134" i="6"/>
  <c r="AF134" i="6"/>
  <c r="I134" i="6"/>
  <c r="D134" i="6"/>
  <c r="AR134" i="6"/>
  <c r="BC134" i="6"/>
  <c r="AM134" i="6"/>
  <c r="P134" i="6"/>
  <c r="AV134" i="6"/>
  <c r="BB134" i="6"/>
  <c r="AY134" i="6"/>
  <c r="G134" i="6"/>
  <c r="H134" i="6"/>
  <c r="BD134" i="6"/>
  <c r="F134" i="6"/>
  <c r="U134" i="6"/>
  <c r="T134" i="6"/>
  <c r="BE134" i="6"/>
  <c r="B85" i="6" l="1"/>
  <c r="BF85" i="6"/>
  <c r="A86" i="6"/>
  <c r="AF85" i="6"/>
  <c r="V85" i="6"/>
  <c r="G85" i="6"/>
  <c r="S85" i="6"/>
  <c r="AL85" i="6"/>
  <c r="AX85" i="6"/>
  <c r="Z85" i="6"/>
  <c r="N85" i="6"/>
  <c r="F85" i="6"/>
  <c r="BB85" i="6"/>
  <c r="I85" i="6"/>
  <c r="AS85" i="6"/>
  <c r="BE85" i="6"/>
  <c r="AM85" i="6"/>
  <c r="AD85" i="6"/>
  <c r="U85" i="6"/>
  <c r="BC85" i="6"/>
  <c r="AY85" i="6"/>
  <c r="C85" i="6"/>
  <c r="AE85" i="6"/>
  <c r="AP85" i="6"/>
  <c r="AV85" i="6"/>
  <c r="AB85" i="6"/>
  <c r="AA85" i="6"/>
  <c r="AW85" i="6"/>
  <c r="W85" i="6"/>
  <c r="AG85" i="6"/>
  <c r="M85" i="6"/>
  <c r="D85" i="6"/>
  <c r="AQ85" i="6"/>
  <c r="Y85" i="6"/>
  <c r="AK85" i="6"/>
  <c r="AH85" i="6"/>
  <c r="AI85" i="6"/>
  <c r="H85" i="6"/>
  <c r="BD85" i="6"/>
  <c r="AU85" i="6"/>
  <c r="AT85" i="6"/>
  <c r="X85" i="6"/>
  <c r="AJ85" i="6"/>
  <c r="P85" i="6"/>
  <c r="T85" i="6"/>
  <c r="AN85" i="6"/>
  <c r="J85" i="6"/>
  <c r="K85" i="6"/>
  <c r="Q85" i="6"/>
  <c r="AR85" i="6"/>
  <c r="O85" i="6"/>
  <c r="L85" i="6"/>
  <c r="E85" i="6"/>
  <c r="AC85" i="6"/>
  <c r="AO85" i="6"/>
  <c r="BA85" i="6"/>
  <c r="R85" i="6"/>
  <c r="AZ85" i="6"/>
  <c r="D183" i="6"/>
  <c r="B135" i="6"/>
  <c r="K135" i="6"/>
  <c r="S135" i="6"/>
  <c r="W135" i="6"/>
  <c r="AE135" i="6"/>
  <c r="G135" i="6"/>
  <c r="AI135" i="6"/>
  <c r="A136" i="6"/>
  <c r="X135" i="6"/>
  <c r="BC135" i="6"/>
  <c r="E135" i="6"/>
  <c r="AA135" i="6"/>
  <c r="AV135" i="6"/>
  <c r="F135" i="6"/>
  <c r="V135" i="6"/>
  <c r="M135" i="6"/>
  <c r="AH135" i="6"/>
  <c r="AZ135" i="6"/>
  <c r="AC135" i="6"/>
  <c r="J135" i="6"/>
  <c r="AT135" i="6"/>
  <c r="C135" i="6"/>
  <c r="BF135" i="6"/>
  <c r="AD135" i="6"/>
  <c r="AP135" i="6"/>
  <c r="P135" i="6"/>
  <c r="AB135" i="6"/>
  <c r="AM135" i="6"/>
  <c r="L135" i="6"/>
  <c r="AF135" i="6"/>
  <c r="AG135" i="6"/>
  <c r="O135" i="6"/>
  <c r="D135" i="6"/>
  <c r="AO135" i="6"/>
  <c r="AJ135" i="6"/>
  <c r="BA135" i="6"/>
  <c r="BD135" i="6"/>
  <c r="N135" i="6"/>
  <c r="BB135" i="6"/>
  <c r="AS135" i="6"/>
  <c r="AN135" i="6"/>
  <c r="Q135" i="6"/>
  <c r="AW135" i="6"/>
  <c r="I135" i="6"/>
  <c r="AQ135" i="6"/>
  <c r="H135" i="6"/>
  <c r="T135" i="6"/>
  <c r="Y135" i="6"/>
  <c r="AU135" i="6"/>
  <c r="Z135" i="6"/>
  <c r="AY135" i="6"/>
  <c r="U135" i="6"/>
  <c r="BE135" i="6"/>
  <c r="AK135" i="6"/>
  <c r="AL135" i="6"/>
  <c r="R135" i="6"/>
  <c r="AX135" i="6"/>
  <c r="AR135" i="6"/>
  <c r="A184" i="6"/>
  <c r="A36" i="6"/>
  <c r="B35" i="6"/>
  <c r="B184" i="6" s="1"/>
  <c r="G35" i="6"/>
  <c r="AH35" i="6"/>
  <c r="AY35" i="6"/>
  <c r="M35" i="6"/>
  <c r="H184" i="6" s="1"/>
  <c r="AT35" i="6"/>
  <c r="BD35" i="6"/>
  <c r="C35" i="6"/>
  <c r="C184" i="6" s="1"/>
  <c r="Q35" i="6"/>
  <c r="L184" i="6" s="1"/>
  <c r="AO35" i="6"/>
  <c r="AD35" i="6"/>
  <c r="AX35" i="6"/>
  <c r="AB35" i="6"/>
  <c r="BB35" i="6"/>
  <c r="U35" i="6"/>
  <c r="P184" i="6" s="1"/>
  <c r="P35" i="6"/>
  <c r="K184" i="6" s="1"/>
  <c r="F35" i="6"/>
  <c r="AP35" i="6"/>
  <c r="AZ35" i="6"/>
  <c r="Y35" i="6"/>
  <c r="T184" i="6" s="1"/>
  <c r="X35" i="6"/>
  <c r="S184" i="6" s="1"/>
  <c r="AV35" i="6"/>
  <c r="AL35" i="6"/>
  <c r="L35" i="6"/>
  <c r="G184" i="6" s="1"/>
  <c r="O35" i="6"/>
  <c r="J184" i="6" s="1"/>
  <c r="T35" i="6"/>
  <c r="O184" i="6" s="1"/>
  <c r="AR35" i="6"/>
  <c r="AG35" i="6"/>
  <c r="AF35" i="6"/>
  <c r="AA35" i="6"/>
  <c r="V184" i="6" s="1"/>
  <c r="N35" i="6"/>
  <c r="I184" i="6" s="1"/>
  <c r="Z35" i="6"/>
  <c r="U184" i="6" s="1"/>
  <c r="AC35" i="6"/>
  <c r="BC35" i="6"/>
  <c r="AJ35" i="6"/>
  <c r="V35" i="6"/>
  <c r="Q184" i="6" s="1"/>
  <c r="E35" i="6"/>
  <c r="D35" i="6"/>
  <c r="BA35" i="6"/>
  <c r="H35" i="6"/>
  <c r="AW35" i="6"/>
  <c r="BF35" i="6"/>
  <c r="AE35" i="6"/>
  <c r="I35" i="6"/>
  <c r="BE35" i="6"/>
  <c r="J35" i="6"/>
  <c r="E184" i="6" s="1"/>
  <c r="AQ35" i="6"/>
  <c r="AN35" i="6"/>
  <c r="W35" i="6"/>
  <c r="R184" i="6" s="1"/>
  <c r="AK35" i="6"/>
  <c r="AI35" i="6"/>
  <c r="S35" i="6"/>
  <c r="N184" i="6" s="1"/>
  <c r="AS35" i="6"/>
  <c r="AM35" i="6"/>
  <c r="R35" i="6"/>
  <c r="AU35" i="6"/>
  <c r="K35" i="6"/>
  <c r="F184" i="6" s="1"/>
  <c r="A185" i="6" l="1"/>
  <c r="AP36" i="6"/>
  <c r="AO36" i="6"/>
  <c r="G36" i="6"/>
  <c r="B36" i="6"/>
  <c r="B185" i="6" s="1"/>
  <c r="A37" i="6"/>
  <c r="BF36" i="6"/>
  <c r="BC36" i="6"/>
  <c r="AU36" i="6"/>
  <c r="S36" i="6"/>
  <c r="N185" i="6" s="1"/>
  <c r="AJ36" i="6"/>
  <c r="U36" i="6"/>
  <c r="P185" i="6" s="1"/>
  <c r="D36" i="6"/>
  <c r="AX36" i="6"/>
  <c r="AK36" i="6"/>
  <c r="AA36" i="6"/>
  <c r="V185" i="6" s="1"/>
  <c r="AN36" i="6"/>
  <c r="E36" i="6"/>
  <c r="BA36" i="6"/>
  <c r="H36" i="6"/>
  <c r="AR36" i="6"/>
  <c r="N36" i="6"/>
  <c r="I185" i="6" s="1"/>
  <c r="M36" i="6"/>
  <c r="H185" i="6" s="1"/>
  <c r="AY36" i="6"/>
  <c r="BD36" i="6"/>
  <c r="AC36" i="6"/>
  <c r="X36" i="6"/>
  <c r="S185" i="6" s="1"/>
  <c r="AL36" i="6"/>
  <c r="AB36" i="6"/>
  <c r="AV36" i="6"/>
  <c r="L36" i="6"/>
  <c r="G185" i="6" s="1"/>
  <c r="AZ36" i="6"/>
  <c r="Q36" i="6"/>
  <c r="L185" i="6" s="1"/>
  <c r="C36" i="6"/>
  <c r="C185" i="6" s="1"/>
  <c r="O36" i="6"/>
  <c r="J185" i="6" s="1"/>
  <c r="AG36" i="6"/>
  <c r="AM36" i="6"/>
  <c r="J36" i="6"/>
  <c r="E185" i="6" s="1"/>
  <c r="R36" i="6"/>
  <c r="AD36" i="6"/>
  <c r="AW36" i="6"/>
  <c r="AE36" i="6"/>
  <c r="AQ36" i="6"/>
  <c r="Z36" i="6"/>
  <c r="U185" i="6" s="1"/>
  <c r="T36" i="6"/>
  <c r="O185" i="6" s="1"/>
  <c r="Y36" i="6"/>
  <c r="T185" i="6" s="1"/>
  <c r="W36" i="6"/>
  <c r="R185" i="6" s="1"/>
  <c r="I36" i="6"/>
  <c r="BB36" i="6"/>
  <c r="F36" i="6"/>
  <c r="V36" i="6"/>
  <c r="Q185" i="6" s="1"/>
  <c r="AH36" i="6"/>
  <c r="AF36" i="6"/>
  <c r="AS36" i="6"/>
  <c r="BE36" i="6"/>
  <c r="P36" i="6"/>
  <c r="K185" i="6" s="1"/>
  <c r="AT36" i="6"/>
  <c r="AI36" i="6"/>
  <c r="K36" i="6"/>
  <c r="F185" i="6" s="1"/>
  <c r="B136" i="6"/>
  <c r="AL136" i="6"/>
  <c r="AU136" i="6"/>
  <c r="S136" i="6"/>
  <c r="AI136" i="6"/>
  <c r="AE136" i="6"/>
  <c r="AX136" i="6"/>
  <c r="Z136" i="6"/>
  <c r="AQ136" i="6"/>
  <c r="N136" i="6"/>
  <c r="Y136" i="6"/>
  <c r="W136" i="6"/>
  <c r="AR136" i="6"/>
  <c r="M136" i="6"/>
  <c r="K136" i="6"/>
  <c r="A137" i="6"/>
  <c r="J136" i="6"/>
  <c r="AH136" i="6"/>
  <c r="V136" i="6"/>
  <c r="BF136" i="6"/>
  <c r="AM136" i="6"/>
  <c r="E136" i="6"/>
  <c r="AO136" i="6"/>
  <c r="R136" i="6"/>
  <c r="O136" i="6"/>
  <c r="AW136" i="6"/>
  <c r="AA136" i="6"/>
  <c r="AT136" i="6"/>
  <c r="P136" i="6"/>
  <c r="BA136" i="6"/>
  <c r="L136" i="6"/>
  <c r="AY136" i="6"/>
  <c r="AB136" i="6"/>
  <c r="AN136" i="6"/>
  <c r="AJ136" i="6"/>
  <c r="U136" i="6"/>
  <c r="AZ136" i="6"/>
  <c r="X136" i="6"/>
  <c r="T136" i="6"/>
  <c r="BE136" i="6"/>
  <c r="AK136" i="6"/>
  <c r="G136" i="6"/>
  <c r="H136" i="6"/>
  <c r="BB136" i="6"/>
  <c r="AG136" i="6"/>
  <c r="AV136" i="6"/>
  <c r="AP136" i="6"/>
  <c r="AF136" i="6"/>
  <c r="AC136" i="6"/>
  <c r="BD136" i="6"/>
  <c r="D136" i="6"/>
  <c r="Q136" i="6"/>
  <c r="AD136" i="6"/>
  <c r="C136" i="6"/>
  <c r="I136" i="6"/>
  <c r="F136" i="6"/>
  <c r="AS136" i="6"/>
  <c r="BC136" i="6"/>
  <c r="E86" i="6"/>
  <c r="AO86" i="6"/>
  <c r="B86" i="6"/>
  <c r="BA86" i="6"/>
  <c r="AC86" i="6"/>
  <c r="A87" i="6"/>
  <c r="Q86" i="6"/>
  <c r="AI86" i="6"/>
  <c r="P86" i="6"/>
  <c r="BE86" i="6"/>
  <c r="AL86" i="6"/>
  <c r="N86" i="6"/>
  <c r="AX86" i="6"/>
  <c r="Z86" i="6"/>
  <c r="AA86" i="6"/>
  <c r="AS86" i="6"/>
  <c r="L86" i="6"/>
  <c r="M86" i="6"/>
  <c r="Y86" i="6"/>
  <c r="AG86" i="6"/>
  <c r="R86" i="6"/>
  <c r="AV86" i="6"/>
  <c r="AF86" i="6"/>
  <c r="BD86" i="6"/>
  <c r="X86" i="6"/>
  <c r="AK86" i="6"/>
  <c r="D86" i="6"/>
  <c r="BC86" i="6"/>
  <c r="AM86" i="6"/>
  <c r="AY86" i="6"/>
  <c r="C86" i="6"/>
  <c r="S86" i="6"/>
  <c r="AQ86" i="6"/>
  <c r="G86" i="6"/>
  <c r="AH86" i="6"/>
  <c r="K86" i="6"/>
  <c r="I86" i="6"/>
  <c r="AB86" i="6"/>
  <c r="AZ86" i="6"/>
  <c r="AN86" i="6"/>
  <c r="AP86" i="6"/>
  <c r="W86" i="6"/>
  <c r="O86" i="6"/>
  <c r="AW86" i="6"/>
  <c r="J86" i="6"/>
  <c r="AT86" i="6"/>
  <c r="AJ86" i="6"/>
  <c r="AE86" i="6"/>
  <c r="BF86" i="6"/>
  <c r="BB86" i="6"/>
  <c r="U86" i="6"/>
  <c r="V86" i="6"/>
  <c r="H86" i="6"/>
  <c r="AU86" i="6"/>
  <c r="AD86" i="6"/>
  <c r="T86" i="6"/>
  <c r="F86" i="6"/>
  <c r="AR86" i="6"/>
  <c r="D184" i="6"/>
  <c r="A186" i="6" l="1"/>
  <c r="A38" i="6"/>
  <c r="AP37" i="6"/>
  <c r="B37" i="6"/>
  <c r="B186" i="6" s="1"/>
  <c r="AB37" i="6"/>
  <c r="BC37" i="6"/>
  <c r="BB37" i="6"/>
  <c r="W37" i="6"/>
  <c r="R186" i="6" s="1"/>
  <c r="L37" i="6"/>
  <c r="G186" i="6" s="1"/>
  <c r="AF37" i="6"/>
  <c r="Y37" i="6"/>
  <c r="T186" i="6" s="1"/>
  <c r="AK37" i="6"/>
  <c r="C37" i="6"/>
  <c r="C186" i="6" s="1"/>
  <c r="E37" i="6"/>
  <c r="AN37" i="6"/>
  <c r="AR37" i="6"/>
  <c r="AZ37" i="6"/>
  <c r="R37" i="6"/>
  <c r="AJ37" i="6"/>
  <c r="AV37" i="6"/>
  <c r="T37" i="6"/>
  <c r="O186" i="6" s="1"/>
  <c r="J37" i="6"/>
  <c r="E186" i="6" s="1"/>
  <c r="Z37" i="6"/>
  <c r="U186" i="6" s="1"/>
  <c r="Q37" i="6"/>
  <c r="L186" i="6" s="1"/>
  <c r="BD37" i="6"/>
  <c r="AX37" i="6"/>
  <c r="AI37" i="6"/>
  <c r="F37" i="6"/>
  <c r="AL37" i="6"/>
  <c r="H37" i="6"/>
  <c r="O37" i="6"/>
  <c r="J186" i="6" s="1"/>
  <c r="AA37" i="6"/>
  <c r="V186" i="6" s="1"/>
  <c r="AO37" i="6"/>
  <c r="U37" i="6"/>
  <c r="P186" i="6" s="1"/>
  <c r="AG37" i="6"/>
  <c r="AH37" i="6"/>
  <c r="S37" i="6"/>
  <c r="N186" i="6" s="1"/>
  <c r="M37" i="6"/>
  <c r="H186" i="6" s="1"/>
  <c r="X37" i="6"/>
  <c r="S186" i="6" s="1"/>
  <c r="I37" i="6"/>
  <c r="AQ37" i="6"/>
  <c r="AC37" i="6"/>
  <c r="BE37" i="6"/>
  <c r="V37" i="6"/>
  <c r="Q186" i="6" s="1"/>
  <c r="AM37" i="6"/>
  <c r="AD37" i="6"/>
  <c r="D37" i="6"/>
  <c r="N37" i="6"/>
  <c r="I186" i="6" s="1"/>
  <c r="AU37" i="6"/>
  <c r="AT37" i="6"/>
  <c r="BA37" i="6"/>
  <c r="K37" i="6"/>
  <c r="F186" i="6" s="1"/>
  <c r="BF37" i="6"/>
  <c r="AY37" i="6"/>
  <c r="AS37" i="6"/>
  <c r="P37" i="6"/>
  <c r="K186" i="6" s="1"/>
  <c r="G37" i="6"/>
  <c r="AW37" i="6"/>
  <c r="AE37" i="6"/>
  <c r="E87" i="6"/>
  <c r="Q87" i="6"/>
  <c r="AC87" i="6"/>
  <c r="B87" i="6"/>
  <c r="BA87" i="6"/>
  <c r="AO87" i="6"/>
  <c r="A88" i="6"/>
  <c r="AP87" i="6"/>
  <c r="AN87" i="6"/>
  <c r="AH87" i="6"/>
  <c r="V87" i="6"/>
  <c r="AX87" i="6"/>
  <c r="AL87" i="6"/>
  <c r="N87" i="6"/>
  <c r="Z87" i="6"/>
  <c r="P87" i="6"/>
  <c r="AK87" i="6"/>
  <c r="AD87" i="6"/>
  <c r="AG87" i="6"/>
  <c r="BB87" i="6"/>
  <c r="X87" i="6"/>
  <c r="M87" i="6"/>
  <c r="R87" i="6"/>
  <c r="T87" i="6"/>
  <c r="AI87" i="6"/>
  <c r="AM87" i="6"/>
  <c r="C87" i="6"/>
  <c r="BC87" i="6"/>
  <c r="BE87" i="6"/>
  <c r="U87" i="6"/>
  <c r="F87" i="6"/>
  <c r="D87" i="6"/>
  <c r="AR87" i="6"/>
  <c r="AV87" i="6"/>
  <c r="BF87" i="6"/>
  <c r="L87" i="6"/>
  <c r="AS87" i="6"/>
  <c r="AE87" i="6"/>
  <c r="S87" i="6"/>
  <c r="AQ87" i="6"/>
  <c r="K87" i="6"/>
  <c r="W87" i="6"/>
  <c r="AW87" i="6"/>
  <c r="AZ87" i="6"/>
  <c r="J87" i="6"/>
  <c r="AA87" i="6"/>
  <c r="AB87" i="6"/>
  <c r="BD87" i="6"/>
  <c r="O87" i="6"/>
  <c r="I87" i="6"/>
  <c r="H87" i="6"/>
  <c r="AY87" i="6"/>
  <c r="AU87" i="6"/>
  <c r="AT87" i="6"/>
  <c r="G87" i="6"/>
  <c r="AF87" i="6"/>
  <c r="AJ87" i="6"/>
  <c r="Y87" i="6"/>
  <c r="AL137" i="6"/>
  <c r="AI137" i="6"/>
  <c r="BC137" i="6"/>
  <c r="S137" i="6"/>
  <c r="N137" i="6"/>
  <c r="A138" i="6"/>
  <c r="AU137" i="6"/>
  <c r="Z137" i="6"/>
  <c r="K137" i="6"/>
  <c r="AX137" i="6"/>
  <c r="G137" i="6"/>
  <c r="AE137" i="6"/>
  <c r="AS137" i="6"/>
  <c r="AR137" i="6"/>
  <c r="Y137" i="6"/>
  <c r="B137" i="6"/>
  <c r="AH137" i="6"/>
  <c r="AT137" i="6"/>
  <c r="AY137" i="6"/>
  <c r="D137" i="6"/>
  <c r="AC137" i="6"/>
  <c r="J137" i="6"/>
  <c r="BF137" i="6"/>
  <c r="C137" i="6"/>
  <c r="O137" i="6"/>
  <c r="L137" i="6"/>
  <c r="AN137" i="6"/>
  <c r="E137" i="6"/>
  <c r="AZ137" i="6"/>
  <c r="F137" i="6"/>
  <c r="AA137" i="6"/>
  <c r="AP137" i="6"/>
  <c r="AK137" i="6"/>
  <c r="R137" i="6"/>
  <c r="AW137" i="6"/>
  <c r="P137" i="6"/>
  <c r="AO137" i="6"/>
  <c r="BE137" i="6"/>
  <c r="I137" i="6"/>
  <c r="V137" i="6"/>
  <c r="AQ137" i="6"/>
  <c r="AJ137" i="6"/>
  <c r="AG137" i="6"/>
  <c r="BA137" i="6"/>
  <c r="U137" i="6"/>
  <c r="AB137" i="6"/>
  <c r="T137" i="6"/>
  <c r="AM137" i="6"/>
  <c r="H137" i="6"/>
  <c r="AV137" i="6"/>
  <c r="BB137" i="6"/>
  <c r="X137" i="6"/>
  <c r="AD137" i="6"/>
  <c r="W137" i="6"/>
  <c r="M137" i="6"/>
  <c r="AF137" i="6"/>
  <c r="BD137" i="6"/>
  <c r="Q137" i="6"/>
  <c r="D185" i="6"/>
  <c r="D186" i="6" l="1"/>
  <c r="A89" i="6"/>
  <c r="Q88" i="6"/>
  <c r="BA88" i="6"/>
  <c r="AC88" i="6"/>
  <c r="B88" i="6"/>
  <c r="E88" i="6"/>
  <c r="AH88" i="6"/>
  <c r="AO88" i="6"/>
  <c r="U88" i="6"/>
  <c r="AX88" i="6"/>
  <c r="N88" i="6"/>
  <c r="Z88" i="6"/>
  <c r="BB88" i="6"/>
  <c r="AL88" i="6"/>
  <c r="X88" i="6"/>
  <c r="R88" i="6"/>
  <c r="AZ88" i="6"/>
  <c r="O88" i="6"/>
  <c r="AP88" i="6"/>
  <c r="AW88" i="6"/>
  <c r="Y88" i="6"/>
  <c r="AK88" i="6"/>
  <c r="BE88" i="6"/>
  <c r="AN88" i="6"/>
  <c r="AR88" i="6"/>
  <c r="AS88" i="6"/>
  <c r="AA88" i="6"/>
  <c r="F88" i="6"/>
  <c r="AG88" i="6"/>
  <c r="AJ88" i="6"/>
  <c r="D88" i="6"/>
  <c r="G88" i="6"/>
  <c r="H88" i="6"/>
  <c r="C88" i="6"/>
  <c r="AQ88" i="6"/>
  <c r="BD88" i="6"/>
  <c r="AI88" i="6"/>
  <c r="AV88" i="6"/>
  <c r="K88" i="6"/>
  <c r="I88" i="6"/>
  <c r="S88" i="6"/>
  <c r="T88" i="6"/>
  <c r="AY88" i="6"/>
  <c r="M88" i="6"/>
  <c r="BC88" i="6"/>
  <c r="AE88" i="6"/>
  <c r="L88" i="6"/>
  <c r="V88" i="6"/>
  <c r="AM88" i="6"/>
  <c r="AF88" i="6"/>
  <c r="P88" i="6"/>
  <c r="J88" i="6"/>
  <c r="AT88" i="6"/>
  <c r="AD88" i="6"/>
  <c r="AB88" i="6"/>
  <c r="BF88" i="6"/>
  <c r="W88" i="6"/>
  <c r="AU88" i="6"/>
  <c r="W138" i="6"/>
  <c r="AU138" i="6"/>
  <c r="G138" i="6"/>
  <c r="A139" i="6"/>
  <c r="AI138" i="6"/>
  <c r="N138" i="6"/>
  <c r="AX138" i="6"/>
  <c r="B138" i="6"/>
  <c r="Z138" i="6"/>
  <c r="AG138" i="6"/>
  <c r="S138" i="6"/>
  <c r="AL138" i="6"/>
  <c r="L138" i="6"/>
  <c r="K138" i="6"/>
  <c r="AH138" i="6"/>
  <c r="V138" i="6"/>
  <c r="O138" i="6"/>
  <c r="AB138" i="6"/>
  <c r="BF138" i="6"/>
  <c r="M138" i="6"/>
  <c r="AP138" i="6"/>
  <c r="AT138" i="6"/>
  <c r="AN138" i="6"/>
  <c r="D138" i="6"/>
  <c r="BA138" i="6"/>
  <c r="X138" i="6"/>
  <c r="AA138" i="6"/>
  <c r="AC138" i="6"/>
  <c r="J138" i="6"/>
  <c r="AM138" i="6"/>
  <c r="Q138" i="6"/>
  <c r="AV138" i="6"/>
  <c r="E138" i="6"/>
  <c r="AJ138" i="6"/>
  <c r="AZ138" i="6"/>
  <c r="BE138" i="6"/>
  <c r="P138" i="6"/>
  <c r="R138" i="6"/>
  <c r="T138" i="6"/>
  <c r="I138" i="6"/>
  <c r="U138" i="6"/>
  <c r="H138" i="6"/>
  <c r="Y138" i="6"/>
  <c r="AE138" i="6"/>
  <c r="C138" i="6"/>
  <c r="AS138" i="6"/>
  <c r="F138" i="6"/>
  <c r="AQ138" i="6"/>
  <c r="BB138" i="6"/>
  <c r="BD138" i="6"/>
  <c r="AO138" i="6"/>
  <c r="AF138" i="6"/>
  <c r="AR138" i="6"/>
  <c r="BC138" i="6"/>
  <c r="AW138" i="6"/>
  <c r="AD138" i="6"/>
  <c r="AK138" i="6"/>
  <c r="AY138" i="6"/>
  <c r="A187" i="6"/>
  <c r="A39" i="6"/>
  <c r="B38" i="6"/>
  <c r="B187" i="6" s="1"/>
  <c r="R38" i="6"/>
  <c r="AI38" i="6"/>
  <c r="AH38" i="6"/>
  <c r="C38" i="6"/>
  <c r="C187" i="6" s="1"/>
  <c r="AE38" i="6"/>
  <c r="AD38" i="6"/>
  <c r="AR38" i="6"/>
  <c r="Z38" i="6"/>
  <c r="U187" i="6" s="1"/>
  <c r="AK38" i="6"/>
  <c r="AM38" i="6"/>
  <c r="L38" i="6"/>
  <c r="G187" i="6" s="1"/>
  <c r="AZ38" i="6"/>
  <c r="J38" i="6"/>
  <c r="E187" i="6" s="1"/>
  <c r="H38" i="6"/>
  <c r="AA38" i="6"/>
  <c r="V187" i="6" s="1"/>
  <c r="AN38" i="6"/>
  <c r="AO38" i="6"/>
  <c r="BB38" i="6"/>
  <c r="AF38" i="6"/>
  <c r="AU38" i="6"/>
  <c r="AJ38" i="6"/>
  <c r="AV38" i="6"/>
  <c r="N38" i="6"/>
  <c r="I187" i="6" s="1"/>
  <c r="D38" i="6"/>
  <c r="AB38" i="6"/>
  <c r="I38" i="6"/>
  <c r="AX38" i="6"/>
  <c r="AY38" i="6"/>
  <c r="AQ38" i="6"/>
  <c r="E38" i="6"/>
  <c r="AC38" i="6"/>
  <c r="T38" i="6"/>
  <c r="O187" i="6" s="1"/>
  <c r="BA38" i="6"/>
  <c r="P38" i="6"/>
  <c r="K187" i="6" s="1"/>
  <c r="BF38" i="6"/>
  <c r="Y38" i="6"/>
  <c r="T187" i="6" s="1"/>
  <c r="M38" i="6"/>
  <c r="H187" i="6" s="1"/>
  <c r="AP38" i="6"/>
  <c r="G38" i="6"/>
  <c r="X38" i="6"/>
  <c r="S187" i="6" s="1"/>
  <c r="S38" i="6"/>
  <c r="N187" i="6" s="1"/>
  <c r="BC38" i="6"/>
  <c r="O38" i="6"/>
  <c r="J187" i="6" s="1"/>
  <c r="F38" i="6"/>
  <c r="AL38" i="6"/>
  <c r="Q38" i="6"/>
  <c r="L187" i="6" s="1"/>
  <c r="AG38" i="6"/>
  <c r="BD38" i="6"/>
  <c r="AT38" i="6"/>
  <c r="AS38" i="6"/>
  <c r="W38" i="6"/>
  <c r="R187" i="6" s="1"/>
  <c r="BE38" i="6"/>
  <c r="K38" i="6"/>
  <c r="F187" i="6" s="1"/>
  <c r="U38" i="6"/>
  <c r="P187" i="6" s="1"/>
  <c r="AW38" i="6"/>
  <c r="V38" i="6"/>
  <c r="Q187" i="6" s="1"/>
  <c r="D187" i="6" l="1"/>
  <c r="A188" i="6"/>
  <c r="A40" i="6"/>
  <c r="BB39" i="6"/>
  <c r="K39" i="6"/>
  <c r="F188" i="6" s="1"/>
  <c r="D39" i="6"/>
  <c r="AD39" i="6"/>
  <c r="B39" i="6"/>
  <c r="B188" i="6" s="1"/>
  <c r="H39" i="6"/>
  <c r="P39" i="6"/>
  <c r="K188" i="6" s="1"/>
  <c r="M39" i="6"/>
  <c r="H188" i="6" s="1"/>
  <c r="AW39" i="6"/>
  <c r="AJ39" i="6"/>
  <c r="AL39" i="6"/>
  <c r="AR39" i="6"/>
  <c r="AF39" i="6"/>
  <c r="Z39" i="6"/>
  <c r="U188" i="6" s="1"/>
  <c r="AK39" i="6"/>
  <c r="AO39" i="6"/>
  <c r="AZ39" i="6"/>
  <c r="E39" i="6"/>
  <c r="X39" i="6"/>
  <c r="S188" i="6" s="1"/>
  <c r="AA39" i="6"/>
  <c r="V188" i="6" s="1"/>
  <c r="AN39" i="6"/>
  <c r="AP39" i="6"/>
  <c r="T39" i="6"/>
  <c r="O188" i="6" s="1"/>
  <c r="AX39" i="6"/>
  <c r="BD39" i="6"/>
  <c r="AM39" i="6"/>
  <c r="AV39" i="6"/>
  <c r="N39" i="6"/>
  <c r="I188" i="6" s="1"/>
  <c r="F39" i="6"/>
  <c r="I39" i="6"/>
  <c r="Q39" i="6"/>
  <c r="L188" i="6" s="1"/>
  <c r="BA39" i="6"/>
  <c r="AQ39" i="6"/>
  <c r="BC39" i="6"/>
  <c r="G39" i="6"/>
  <c r="J39" i="6"/>
  <c r="E188" i="6" s="1"/>
  <c r="C39" i="6"/>
  <c r="C188" i="6" s="1"/>
  <c r="AT39" i="6"/>
  <c r="S39" i="6"/>
  <c r="N188" i="6" s="1"/>
  <c r="L39" i="6"/>
  <c r="G188" i="6" s="1"/>
  <c r="O39" i="6"/>
  <c r="J188" i="6" s="1"/>
  <c r="AH39" i="6"/>
  <c r="AB39" i="6"/>
  <c r="U39" i="6"/>
  <c r="P188" i="6" s="1"/>
  <c r="AY39" i="6"/>
  <c r="AE39" i="6"/>
  <c r="AU39" i="6"/>
  <c r="AC39" i="6"/>
  <c r="AG39" i="6"/>
  <c r="Y39" i="6"/>
  <c r="T188" i="6" s="1"/>
  <c r="BE39" i="6"/>
  <c r="AI39" i="6"/>
  <c r="R39" i="6"/>
  <c r="BF39" i="6"/>
  <c r="W39" i="6"/>
  <c r="R188" i="6" s="1"/>
  <c r="V39" i="6"/>
  <c r="Q188" i="6" s="1"/>
  <c r="AS39" i="6"/>
  <c r="AL139" i="6"/>
  <c r="AI139" i="6"/>
  <c r="N139" i="6"/>
  <c r="W139" i="6"/>
  <c r="AU139" i="6"/>
  <c r="AQ139" i="6"/>
  <c r="A140" i="6"/>
  <c r="AE139" i="6"/>
  <c r="AX139" i="6"/>
  <c r="B139" i="6"/>
  <c r="AK139" i="6"/>
  <c r="K139" i="6"/>
  <c r="AD139" i="6"/>
  <c r="Z139" i="6"/>
  <c r="I139" i="6"/>
  <c r="BC139" i="6"/>
  <c r="BD139" i="6"/>
  <c r="V139" i="6"/>
  <c r="J139" i="6"/>
  <c r="AH139" i="6"/>
  <c r="AA139" i="6"/>
  <c r="AY139" i="6"/>
  <c r="AO139" i="6"/>
  <c r="F139" i="6"/>
  <c r="AN139" i="6"/>
  <c r="AT139" i="6"/>
  <c r="P139" i="6"/>
  <c r="H139" i="6"/>
  <c r="AZ139" i="6"/>
  <c r="O139" i="6"/>
  <c r="AM139" i="6"/>
  <c r="D139" i="6"/>
  <c r="AF139" i="6"/>
  <c r="E139" i="6"/>
  <c r="X139" i="6"/>
  <c r="AV139" i="6"/>
  <c r="AW139" i="6"/>
  <c r="AC139" i="6"/>
  <c r="L139" i="6"/>
  <c r="AB139" i="6"/>
  <c r="Q139" i="6"/>
  <c r="R139" i="6"/>
  <c r="BB139" i="6"/>
  <c r="G139" i="6"/>
  <c r="C139" i="6"/>
  <c r="M139" i="6"/>
  <c r="Y139" i="6"/>
  <c r="S139" i="6"/>
  <c r="BF139" i="6"/>
  <c r="AJ139" i="6"/>
  <c r="AG139" i="6"/>
  <c r="T139" i="6"/>
  <c r="BE139" i="6"/>
  <c r="AS139" i="6"/>
  <c r="AP139" i="6"/>
  <c r="AR139" i="6"/>
  <c r="BA139" i="6"/>
  <c r="U139" i="6"/>
  <c r="AO89" i="6"/>
  <c r="B89" i="6"/>
  <c r="BA89" i="6"/>
  <c r="A90" i="6"/>
  <c r="Q89" i="6"/>
  <c r="AC89" i="6"/>
  <c r="W89" i="6"/>
  <c r="E89" i="6"/>
  <c r="Z89" i="6"/>
  <c r="N89" i="6"/>
  <c r="AL89" i="6"/>
  <c r="AX89" i="6"/>
  <c r="AB89" i="6"/>
  <c r="AG89" i="6"/>
  <c r="AN89" i="6"/>
  <c r="AU89" i="6"/>
  <c r="AM89" i="6"/>
  <c r="F89" i="6"/>
  <c r="C89" i="6"/>
  <c r="L89" i="6"/>
  <c r="X89" i="6"/>
  <c r="I89" i="6"/>
  <c r="O89" i="6"/>
  <c r="AK89" i="6"/>
  <c r="AY89" i="6"/>
  <c r="BD89" i="6"/>
  <c r="AD89" i="6"/>
  <c r="U89" i="6"/>
  <c r="BE89" i="6"/>
  <c r="AV89" i="6"/>
  <c r="AQ89" i="6"/>
  <c r="BC89" i="6"/>
  <c r="J89" i="6"/>
  <c r="AT89" i="6"/>
  <c r="AW89" i="6"/>
  <c r="AZ89" i="6"/>
  <c r="AR89" i="6"/>
  <c r="AA89" i="6"/>
  <c r="R89" i="6"/>
  <c r="Y89" i="6"/>
  <c r="S89" i="6"/>
  <c r="BF89" i="6"/>
  <c r="AI89" i="6"/>
  <c r="AE89" i="6"/>
  <c r="AF89" i="6"/>
  <c r="AH89" i="6"/>
  <c r="AS89" i="6"/>
  <c r="AP89" i="6"/>
  <c r="D89" i="6"/>
  <c r="H89" i="6"/>
  <c r="M89" i="6"/>
  <c r="P89" i="6"/>
  <c r="T89" i="6"/>
  <c r="G89" i="6"/>
  <c r="V89" i="6"/>
  <c r="K89" i="6"/>
  <c r="BB89" i="6"/>
  <c r="AJ89" i="6"/>
  <c r="AU140" i="6" l="1"/>
  <c r="Z140" i="6"/>
  <c r="AL140" i="6"/>
  <c r="G140" i="6"/>
  <c r="AQ140" i="6"/>
  <c r="N140" i="6"/>
  <c r="A141" i="6"/>
  <c r="AE140" i="6"/>
  <c r="AW140" i="6"/>
  <c r="AK140" i="6"/>
  <c r="AI140" i="6"/>
  <c r="K140" i="6"/>
  <c r="R140" i="6"/>
  <c r="B140" i="6"/>
  <c r="Y140" i="6"/>
  <c r="W140" i="6"/>
  <c r="AX140" i="6"/>
  <c r="J140" i="6"/>
  <c r="AT140" i="6"/>
  <c r="C140" i="6"/>
  <c r="AM140" i="6"/>
  <c r="BF140" i="6"/>
  <c r="O140" i="6"/>
  <c r="P140" i="6"/>
  <c r="L140" i="6"/>
  <c r="AH140" i="6"/>
  <c r="AZ140" i="6"/>
  <c r="AP140" i="6"/>
  <c r="M140" i="6"/>
  <c r="E140" i="6"/>
  <c r="AY140" i="6"/>
  <c r="Q140" i="6"/>
  <c r="BC140" i="6"/>
  <c r="AC140" i="6"/>
  <c r="AD140" i="6"/>
  <c r="AR140" i="6"/>
  <c r="AV140" i="6"/>
  <c r="AG140" i="6"/>
  <c r="T140" i="6"/>
  <c r="AF140" i="6"/>
  <c r="BA140" i="6"/>
  <c r="AB140" i="6"/>
  <c r="I140" i="6"/>
  <c r="AS140" i="6"/>
  <c r="F140" i="6"/>
  <c r="AN140" i="6"/>
  <c r="H140" i="6"/>
  <c r="X140" i="6"/>
  <c r="BB140" i="6"/>
  <c r="BE140" i="6"/>
  <c r="U140" i="6"/>
  <c r="S140" i="6"/>
  <c r="AA140" i="6"/>
  <c r="AO140" i="6"/>
  <c r="V140" i="6"/>
  <c r="D140" i="6"/>
  <c r="AJ140" i="6"/>
  <c r="BD140" i="6"/>
  <c r="D188" i="6"/>
  <c r="A189" i="6"/>
  <c r="B40" i="6"/>
  <c r="B189" i="6" s="1"/>
  <c r="AE40" i="6"/>
  <c r="A41" i="6"/>
  <c r="AT40" i="6"/>
  <c r="K40" i="6"/>
  <c r="F189" i="6" s="1"/>
  <c r="J40" i="6"/>
  <c r="E189" i="6" s="1"/>
  <c r="AK40" i="6"/>
  <c r="F40" i="6"/>
  <c r="AR40" i="6"/>
  <c r="L40" i="6"/>
  <c r="G189" i="6" s="1"/>
  <c r="AV40" i="6"/>
  <c r="O40" i="6"/>
  <c r="J189" i="6" s="1"/>
  <c r="T40" i="6"/>
  <c r="O189" i="6" s="1"/>
  <c r="H40" i="6"/>
  <c r="AJ40" i="6"/>
  <c r="W40" i="6"/>
  <c r="R189" i="6" s="1"/>
  <c r="Z40" i="6"/>
  <c r="U189" i="6" s="1"/>
  <c r="AA40" i="6"/>
  <c r="V189" i="6" s="1"/>
  <c r="AM40" i="6"/>
  <c r="AZ40" i="6"/>
  <c r="AC40" i="6"/>
  <c r="AO40" i="6"/>
  <c r="BB40" i="6"/>
  <c r="AB40" i="6"/>
  <c r="AN40" i="6"/>
  <c r="R40" i="6"/>
  <c r="S40" i="6"/>
  <c r="N189" i="6" s="1"/>
  <c r="P40" i="6"/>
  <c r="K189" i="6" s="1"/>
  <c r="AG40" i="6"/>
  <c r="AS40" i="6"/>
  <c r="BE40" i="6"/>
  <c r="U40" i="6"/>
  <c r="P189" i="6" s="1"/>
  <c r="Q40" i="6"/>
  <c r="L189" i="6" s="1"/>
  <c r="Y40" i="6"/>
  <c r="T189" i="6" s="1"/>
  <c r="AL40" i="6"/>
  <c r="D40" i="6"/>
  <c r="AY40" i="6"/>
  <c r="N40" i="6"/>
  <c r="I189" i="6" s="1"/>
  <c r="AW40" i="6"/>
  <c r="AD40" i="6"/>
  <c r="AF40" i="6"/>
  <c r="AX40" i="6"/>
  <c r="AQ40" i="6"/>
  <c r="BC40" i="6"/>
  <c r="X40" i="6"/>
  <c r="S189" i="6" s="1"/>
  <c r="G40" i="6"/>
  <c r="C40" i="6"/>
  <c r="C189" i="6" s="1"/>
  <c r="AH40" i="6"/>
  <c r="M40" i="6"/>
  <c r="H189" i="6" s="1"/>
  <c r="AU40" i="6"/>
  <c r="BA40" i="6"/>
  <c r="BF40" i="6"/>
  <c r="AI40" i="6"/>
  <c r="V40" i="6"/>
  <c r="Q189" i="6" s="1"/>
  <c r="BD40" i="6"/>
  <c r="AP40" i="6"/>
  <c r="E40" i="6"/>
  <c r="I40" i="6"/>
  <c r="A91" i="6"/>
  <c r="AO90" i="6"/>
  <c r="BA90" i="6"/>
  <c r="B90" i="6"/>
  <c r="E90" i="6"/>
  <c r="AC90" i="6"/>
  <c r="Q90" i="6"/>
  <c r="L90" i="6"/>
  <c r="BD90" i="6"/>
  <c r="AX90" i="6"/>
  <c r="N90" i="6"/>
  <c r="AL90" i="6"/>
  <c r="AM90" i="6"/>
  <c r="Z90" i="6"/>
  <c r="BB90" i="6"/>
  <c r="AW90" i="6"/>
  <c r="D90" i="6"/>
  <c r="AE90" i="6"/>
  <c r="AD90" i="6"/>
  <c r="AK90" i="6"/>
  <c r="AJ90" i="6"/>
  <c r="U90" i="6"/>
  <c r="BE90" i="6"/>
  <c r="R90" i="6"/>
  <c r="AP90" i="6"/>
  <c r="AA90" i="6"/>
  <c r="I90" i="6"/>
  <c r="AN90" i="6"/>
  <c r="S90" i="6"/>
  <c r="BF90" i="6"/>
  <c r="G90" i="6"/>
  <c r="AU90" i="6"/>
  <c r="C90" i="6"/>
  <c r="AY90" i="6"/>
  <c r="AV90" i="6"/>
  <c r="P90" i="6"/>
  <c r="H90" i="6"/>
  <c r="AF90" i="6"/>
  <c r="AB90" i="6"/>
  <c r="O90" i="6"/>
  <c r="AG90" i="6"/>
  <c r="V90" i="6"/>
  <c r="AH90" i="6"/>
  <c r="AS90" i="6"/>
  <c r="AR90" i="6"/>
  <c r="F90" i="6"/>
  <c r="AZ90" i="6"/>
  <c r="W90" i="6"/>
  <c r="K90" i="6"/>
  <c r="J90" i="6"/>
  <c r="AQ90" i="6"/>
  <c r="M90" i="6"/>
  <c r="AT90" i="6"/>
  <c r="X90" i="6"/>
  <c r="AI90" i="6"/>
  <c r="T90" i="6"/>
  <c r="Y90" i="6"/>
  <c r="BC90" i="6"/>
  <c r="D189" i="6" l="1"/>
  <c r="B91" i="6"/>
  <c r="AF91" i="6"/>
  <c r="A92" i="6"/>
  <c r="W91" i="6"/>
  <c r="Z91" i="6"/>
  <c r="AL91" i="6"/>
  <c r="AX91" i="6"/>
  <c r="O91" i="6"/>
  <c r="AP91" i="6"/>
  <c r="BB91" i="6"/>
  <c r="AG91" i="6"/>
  <c r="L91" i="6"/>
  <c r="N91" i="6"/>
  <c r="AA91" i="6"/>
  <c r="AV91" i="6"/>
  <c r="AS91" i="6"/>
  <c r="X91" i="6"/>
  <c r="AJ91" i="6"/>
  <c r="AN91" i="6"/>
  <c r="AZ91" i="6"/>
  <c r="BF91" i="6"/>
  <c r="AQ91" i="6"/>
  <c r="Y91" i="6"/>
  <c r="AW91" i="6"/>
  <c r="BD91" i="6"/>
  <c r="F91" i="6"/>
  <c r="AM91" i="6"/>
  <c r="AY91" i="6"/>
  <c r="I91" i="6"/>
  <c r="AB91" i="6"/>
  <c r="S91" i="6"/>
  <c r="BC91" i="6"/>
  <c r="AE91" i="6"/>
  <c r="AI91" i="6"/>
  <c r="U91" i="6"/>
  <c r="BE91" i="6"/>
  <c r="M91" i="6"/>
  <c r="P91" i="6"/>
  <c r="AT91" i="6"/>
  <c r="AK91" i="6"/>
  <c r="J91" i="6"/>
  <c r="H91" i="6"/>
  <c r="AR91" i="6"/>
  <c r="AU91" i="6"/>
  <c r="BA91" i="6"/>
  <c r="D91" i="6"/>
  <c r="G91" i="6"/>
  <c r="C91" i="6"/>
  <c r="V91" i="6"/>
  <c r="R91" i="6"/>
  <c r="K91" i="6"/>
  <c r="AD91" i="6"/>
  <c r="T91" i="6"/>
  <c r="E91" i="6"/>
  <c r="Q91" i="6"/>
  <c r="AH91" i="6"/>
  <c r="AC91" i="6"/>
  <c r="AO91" i="6"/>
  <c r="B141" i="6"/>
  <c r="S141" i="6"/>
  <c r="K141" i="6"/>
  <c r="AQ141" i="6"/>
  <c r="AI141" i="6"/>
  <c r="A142" i="6"/>
  <c r="G141" i="6"/>
  <c r="BD141" i="6"/>
  <c r="W141" i="6"/>
  <c r="U141" i="6"/>
  <c r="T141" i="6"/>
  <c r="AU141" i="6"/>
  <c r="V141" i="6"/>
  <c r="BF141" i="6"/>
  <c r="AT141" i="6"/>
  <c r="C141" i="6"/>
  <c r="D141" i="6"/>
  <c r="AA141" i="6"/>
  <c r="AH141" i="6"/>
  <c r="AP141" i="6"/>
  <c r="AY141" i="6"/>
  <c r="AN141" i="6"/>
  <c r="X141" i="6"/>
  <c r="F141" i="6"/>
  <c r="O141" i="6"/>
  <c r="AF141" i="6"/>
  <c r="AR141" i="6"/>
  <c r="AW141" i="6"/>
  <c r="L141" i="6"/>
  <c r="AM141" i="6"/>
  <c r="AO141" i="6"/>
  <c r="AD141" i="6"/>
  <c r="AG141" i="6"/>
  <c r="BA141" i="6"/>
  <c r="M141" i="6"/>
  <c r="R141" i="6"/>
  <c r="I141" i="6"/>
  <c r="AL141" i="6"/>
  <c r="AV141" i="6"/>
  <c r="BB141" i="6"/>
  <c r="AX141" i="6"/>
  <c r="E141" i="6"/>
  <c r="AE141" i="6"/>
  <c r="AC141" i="6"/>
  <c r="BE141" i="6"/>
  <c r="J141" i="6"/>
  <c r="H141" i="6"/>
  <c r="Q141" i="6"/>
  <c r="AS141" i="6"/>
  <c r="Y141" i="6"/>
  <c r="AB141" i="6"/>
  <c r="AK141" i="6"/>
  <c r="AZ141" i="6"/>
  <c r="BC141" i="6"/>
  <c r="P141" i="6"/>
  <c r="N141" i="6"/>
  <c r="AJ141" i="6"/>
  <c r="Z141" i="6"/>
  <c r="A190" i="6"/>
  <c r="A42" i="6"/>
  <c r="B41" i="6"/>
  <c r="B190" i="6" s="1"/>
  <c r="D41" i="6"/>
  <c r="AE41" i="6"/>
  <c r="Q41" i="6"/>
  <c r="L190" i="6" s="1"/>
  <c r="M41" i="6"/>
  <c r="H190" i="6" s="1"/>
  <c r="AQ41" i="6"/>
  <c r="AV41" i="6"/>
  <c r="AP41" i="6"/>
  <c r="X41" i="6"/>
  <c r="S190" i="6" s="1"/>
  <c r="AL41" i="6"/>
  <c r="AS41" i="6"/>
  <c r="AB41" i="6"/>
  <c r="AC41" i="6"/>
  <c r="AO41" i="6"/>
  <c r="T41" i="6"/>
  <c r="O190" i="6" s="1"/>
  <c r="Y41" i="6"/>
  <c r="T190" i="6" s="1"/>
  <c r="P41" i="6"/>
  <c r="K190" i="6" s="1"/>
  <c r="AF41" i="6"/>
  <c r="H41" i="6"/>
  <c r="AR41" i="6"/>
  <c r="L41" i="6"/>
  <c r="G190" i="6" s="1"/>
  <c r="C41" i="6"/>
  <c r="C190" i="6" s="1"/>
  <c r="AA41" i="6"/>
  <c r="V190" i="6" s="1"/>
  <c r="BD41" i="6"/>
  <c r="AX41" i="6"/>
  <c r="BA41" i="6"/>
  <c r="AW41" i="6"/>
  <c r="O41" i="6"/>
  <c r="J190" i="6" s="1"/>
  <c r="R41" i="6"/>
  <c r="BE41" i="6"/>
  <c r="BF41" i="6"/>
  <c r="N41" i="6"/>
  <c r="I190" i="6" s="1"/>
  <c r="Z41" i="6"/>
  <c r="U190" i="6" s="1"/>
  <c r="AK41" i="6"/>
  <c r="AY41" i="6"/>
  <c r="W41" i="6"/>
  <c r="R190" i="6" s="1"/>
  <c r="AZ41" i="6"/>
  <c r="BC41" i="6"/>
  <c r="AJ41" i="6"/>
  <c r="BB41" i="6"/>
  <c r="S41" i="6"/>
  <c r="N190" i="6" s="1"/>
  <c r="AH41" i="6"/>
  <c r="AM41" i="6"/>
  <c r="U41" i="6"/>
  <c r="P190" i="6" s="1"/>
  <c r="AG41" i="6"/>
  <c r="I41" i="6"/>
  <c r="G41" i="6"/>
  <c r="AD41" i="6"/>
  <c r="V41" i="6"/>
  <c r="Q190" i="6" s="1"/>
  <c r="AI41" i="6"/>
  <c r="J41" i="6"/>
  <c r="E190" i="6" s="1"/>
  <c r="AU41" i="6"/>
  <c r="AT41" i="6"/>
  <c r="K41" i="6"/>
  <c r="F190" i="6" s="1"/>
  <c r="AN41" i="6"/>
  <c r="F41" i="6"/>
  <c r="E41" i="6"/>
  <c r="A191" i="6" l="1"/>
  <c r="B42" i="6"/>
  <c r="B191" i="6" s="1"/>
  <c r="G42" i="6"/>
  <c r="A43" i="6"/>
  <c r="AZ42" i="6"/>
  <c r="AU42" i="6"/>
  <c r="N42" i="6"/>
  <c r="I191" i="6" s="1"/>
  <c r="AX42" i="6"/>
  <c r="AY42" i="6"/>
  <c r="AK42" i="6"/>
  <c r="AB42" i="6"/>
  <c r="BB42" i="6"/>
  <c r="P42" i="6"/>
  <c r="K191" i="6" s="1"/>
  <c r="F42" i="6"/>
  <c r="AP42" i="6"/>
  <c r="H42" i="6"/>
  <c r="M42" i="6"/>
  <c r="H191" i="6" s="1"/>
  <c r="U42" i="6"/>
  <c r="P191" i="6" s="1"/>
  <c r="Y42" i="6"/>
  <c r="T191" i="6" s="1"/>
  <c r="AW42" i="6"/>
  <c r="AH42" i="6"/>
  <c r="L42" i="6"/>
  <c r="G191" i="6" s="1"/>
  <c r="X42" i="6"/>
  <c r="S191" i="6" s="1"/>
  <c r="O42" i="6"/>
  <c r="J191" i="6" s="1"/>
  <c r="AL42" i="6"/>
  <c r="AV42" i="6"/>
  <c r="BA42" i="6"/>
  <c r="D42" i="6"/>
  <c r="E42" i="6"/>
  <c r="AR42" i="6"/>
  <c r="T42" i="6"/>
  <c r="O191" i="6" s="1"/>
  <c r="AJ42" i="6"/>
  <c r="AC42" i="6"/>
  <c r="AO42" i="6"/>
  <c r="AA42" i="6"/>
  <c r="V191" i="6" s="1"/>
  <c r="V42" i="6"/>
  <c r="Q191" i="6" s="1"/>
  <c r="AF42" i="6"/>
  <c r="Z42" i="6"/>
  <c r="U191" i="6" s="1"/>
  <c r="AS42" i="6"/>
  <c r="J42" i="6"/>
  <c r="E191" i="6" s="1"/>
  <c r="Q42" i="6"/>
  <c r="L191" i="6" s="1"/>
  <c r="AG42" i="6"/>
  <c r="R42" i="6"/>
  <c r="BD42" i="6"/>
  <c r="AD42" i="6"/>
  <c r="AE42" i="6"/>
  <c r="I42" i="6"/>
  <c r="C42" i="6"/>
  <c r="C191" i="6" s="1"/>
  <c r="K42" i="6"/>
  <c r="F191" i="6" s="1"/>
  <c r="AI42" i="6"/>
  <c r="BC42" i="6"/>
  <c r="AM42" i="6"/>
  <c r="AQ42" i="6"/>
  <c r="S42" i="6"/>
  <c r="N191" i="6" s="1"/>
  <c r="BF42" i="6"/>
  <c r="BE42" i="6"/>
  <c r="W42" i="6"/>
  <c r="R191" i="6" s="1"/>
  <c r="AT42" i="6"/>
  <c r="AN42" i="6"/>
  <c r="W142" i="6"/>
  <c r="AI142" i="6"/>
  <c r="AX142" i="6"/>
  <c r="A143" i="6"/>
  <c r="Z142" i="6"/>
  <c r="B142" i="6"/>
  <c r="AL142" i="6"/>
  <c r="K142" i="6"/>
  <c r="AE142" i="6"/>
  <c r="N142" i="6"/>
  <c r="BC142" i="6"/>
  <c r="AS142" i="6"/>
  <c r="R142" i="6"/>
  <c r="AR142" i="6"/>
  <c r="Q142" i="6"/>
  <c r="BF142" i="6"/>
  <c r="AM142" i="6"/>
  <c r="AT142" i="6"/>
  <c r="AU142" i="6"/>
  <c r="AA142" i="6"/>
  <c r="J142" i="6"/>
  <c r="V142" i="6"/>
  <c r="E142" i="6"/>
  <c r="AK142" i="6"/>
  <c r="BE142" i="6"/>
  <c r="F142" i="6"/>
  <c r="AO142" i="6"/>
  <c r="P142" i="6"/>
  <c r="AB142" i="6"/>
  <c r="AN142" i="6"/>
  <c r="AJ142" i="6"/>
  <c r="AV142" i="6"/>
  <c r="AY142" i="6"/>
  <c r="D142" i="6"/>
  <c r="AW142" i="6"/>
  <c r="C142" i="6"/>
  <c r="BA142" i="6"/>
  <c r="AG142" i="6"/>
  <c r="O142" i="6"/>
  <c r="L142" i="6"/>
  <c r="BB142" i="6"/>
  <c r="BD142" i="6"/>
  <c r="AF142" i="6"/>
  <c r="Y142" i="6"/>
  <c r="AH142" i="6"/>
  <c r="T142" i="6"/>
  <c r="M142" i="6"/>
  <c r="H142" i="6"/>
  <c r="I142" i="6"/>
  <c r="X142" i="6"/>
  <c r="U142" i="6"/>
  <c r="G142" i="6"/>
  <c r="AP142" i="6"/>
  <c r="S142" i="6"/>
  <c r="AZ142" i="6"/>
  <c r="AD142" i="6"/>
  <c r="AC142" i="6"/>
  <c r="AQ142" i="6"/>
  <c r="AC92" i="6"/>
  <c r="AO92" i="6"/>
  <c r="B92" i="6"/>
  <c r="A93" i="6"/>
  <c r="BF92" i="6"/>
  <c r="Q92" i="6"/>
  <c r="BA92" i="6"/>
  <c r="E92" i="6"/>
  <c r="AZ92" i="6"/>
  <c r="AF92" i="6"/>
  <c r="D92" i="6"/>
  <c r="N92" i="6"/>
  <c r="AL92" i="6"/>
  <c r="AX92" i="6"/>
  <c r="Z92" i="6"/>
  <c r="M92" i="6"/>
  <c r="AW92" i="6"/>
  <c r="AR92" i="6"/>
  <c r="AS92" i="6"/>
  <c r="L92" i="6"/>
  <c r="G92" i="6"/>
  <c r="AE92" i="6"/>
  <c r="C92" i="6"/>
  <c r="AP92" i="6"/>
  <c r="AM92" i="6"/>
  <c r="BB92" i="6"/>
  <c r="AJ92" i="6"/>
  <c r="Y92" i="6"/>
  <c r="AB92" i="6"/>
  <c r="BC92" i="6"/>
  <c r="BE92" i="6"/>
  <c r="U92" i="6"/>
  <c r="AG92" i="6"/>
  <c r="AY92" i="6"/>
  <c r="R92" i="6"/>
  <c r="I92" i="6"/>
  <c r="O92" i="6"/>
  <c r="P92" i="6"/>
  <c r="AN92" i="6"/>
  <c r="BD92" i="6"/>
  <c r="AT92" i="6"/>
  <c r="AU92" i="6"/>
  <c r="J92" i="6"/>
  <c r="W92" i="6"/>
  <c r="H92" i="6"/>
  <c r="X92" i="6"/>
  <c r="AD92" i="6"/>
  <c r="AA92" i="6"/>
  <c r="V92" i="6"/>
  <c r="AH92" i="6"/>
  <c r="T92" i="6"/>
  <c r="AK92" i="6"/>
  <c r="AQ92" i="6"/>
  <c r="AV92" i="6"/>
  <c r="K92" i="6"/>
  <c r="S92" i="6"/>
  <c r="AI92" i="6"/>
  <c r="F92" i="6"/>
  <c r="D190" i="6"/>
  <c r="D191" i="6" l="1"/>
  <c r="A192" i="6"/>
  <c r="AP43" i="6"/>
  <c r="B43" i="6"/>
  <c r="B192" i="6" s="1"/>
  <c r="A44" i="6"/>
  <c r="AB43" i="6"/>
  <c r="BC43" i="6"/>
  <c r="BD43" i="6"/>
  <c r="AF43" i="6"/>
  <c r="AX43" i="6"/>
  <c r="AN43" i="6"/>
  <c r="AZ43" i="6"/>
  <c r="E43" i="6"/>
  <c r="AR43" i="6"/>
  <c r="T43" i="6"/>
  <c r="O192" i="6" s="1"/>
  <c r="BB43" i="6"/>
  <c r="Q43" i="6"/>
  <c r="L192" i="6" s="1"/>
  <c r="R43" i="6"/>
  <c r="AD43" i="6"/>
  <c r="X43" i="6"/>
  <c r="S192" i="6" s="1"/>
  <c r="AL43" i="6"/>
  <c r="H43" i="6"/>
  <c r="M43" i="6"/>
  <c r="H192" i="6" s="1"/>
  <c r="Y43" i="6"/>
  <c r="T192" i="6" s="1"/>
  <c r="U43" i="6"/>
  <c r="P192" i="6" s="1"/>
  <c r="N43" i="6"/>
  <c r="I192" i="6" s="1"/>
  <c r="AK43" i="6"/>
  <c r="O43" i="6"/>
  <c r="J192" i="6" s="1"/>
  <c r="AA43" i="6"/>
  <c r="V192" i="6" s="1"/>
  <c r="BE43" i="6"/>
  <c r="AT43" i="6"/>
  <c r="AW43" i="6"/>
  <c r="AG43" i="6"/>
  <c r="J43" i="6"/>
  <c r="E192" i="6" s="1"/>
  <c r="D43" i="6"/>
  <c r="V43" i="6"/>
  <c r="Q192" i="6" s="1"/>
  <c r="AV43" i="6"/>
  <c r="Z43" i="6"/>
  <c r="U192" i="6" s="1"/>
  <c r="L43" i="6"/>
  <c r="G192" i="6" s="1"/>
  <c r="AJ43" i="6"/>
  <c r="C43" i="6"/>
  <c r="C192" i="6" s="1"/>
  <c r="F43" i="6"/>
  <c r="AY43" i="6"/>
  <c r="AC43" i="6"/>
  <c r="BA43" i="6"/>
  <c r="AH43" i="6"/>
  <c r="AM43" i="6"/>
  <c r="I43" i="6"/>
  <c r="AS43" i="6"/>
  <c r="AU43" i="6"/>
  <c r="AQ43" i="6"/>
  <c r="AE43" i="6"/>
  <c r="P43" i="6"/>
  <c r="K192" i="6" s="1"/>
  <c r="AI43" i="6"/>
  <c r="G43" i="6"/>
  <c r="K43" i="6"/>
  <c r="F192" i="6" s="1"/>
  <c r="BF43" i="6"/>
  <c r="S43" i="6"/>
  <c r="N192" i="6" s="1"/>
  <c r="AO43" i="6"/>
  <c r="W43" i="6"/>
  <c r="R192" i="6" s="1"/>
  <c r="B143" i="6"/>
  <c r="Z143" i="6"/>
  <c r="AI143" i="6"/>
  <c r="AL143" i="6"/>
  <c r="N143" i="6"/>
  <c r="G143" i="6"/>
  <c r="A144" i="6"/>
  <c r="AU143" i="6"/>
  <c r="Y143" i="6"/>
  <c r="W143" i="6"/>
  <c r="AX143" i="6"/>
  <c r="AW143" i="6"/>
  <c r="K143" i="6"/>
  <c r="AQ143" i="6"/>
  <c r="J143" i="6"/>
  <c r="AH143" i="6"/>
  <c r="V143" i="6"/>
  <c r="BF143" i="6"/>
  <c r="C143" i="6"/>
  <c r="AZ143" i="6"/>
  <c r="O143" i="6"/>
  <c r="P143" i="6"/>
  <c r="Q143" i="6"/>
  <c r="AJ143" i="6"/>
  <c r="AY143" i="6"/>
  <c r="BA143" i="6"/>
  <c r="AP143" i="6"/>
  <c r="AR143" i="6"/>
  <c r="BE143" i="6"/>
  <c r="AN143" i="6"/>
  <c r="H143" i="6"/>
  <c r="AE143" i="6"/>
  <c r="AF143" i="6"/>
  <c r="I143" i="6"/>
  <c r="AC143" i="6"/>
  <c r="R143" i="6"/>
  <c r="U143" i="6"/>
  <c r="AT143" i="6"/>
  <c r="T143" i="6"/>
  <c r="AS143" i="6"/>
  <c r="M143" i="6"/>
  <c r="AG143" i="6"/>
  <c r="AV143" i="6"/>
  <c r="BB143" i="6"/>
  <c r="AK143" i="6"/>
  <c r="AO143" i="6"/>
  <c r="X143" i="6"/>
  <c r="AD143" i="6"/>
  <c r="AA143" i="6"/>
  <c r="S143" i="6"/>
  <c r="E143" i="6"/>
  <c r="AM143" i="6"/>
  <c r="D143" i="6"/>
  <c r="AB143" i="6"/>
  <c r="F143" i="6"/>
  <c r="BD143" i="6"/>
  <c r="BC143" i="6"/>
  <c r="L143" i="6"/>
  <c r="E93" i="6"/>
  <c r="Q93" i="6"/>
  <c r="AC93" i="6"/>
  <c r="AO93" i="6"/>
  <c r="B93" i="6"/>
  <c r="A94" i="6"/>
  <c r="BA93" i="6"/>
  <c r="V93" i="6"/>
  <c r="S93" i="6"/>
  <c r="AX93" i="6"/>
  <c r="Z93" i="6"/>
  <c r="N93" i="6"/>
  <c r="AL93" i="6"/>
  <c r="C93" i="6"/>
  <c r="AY93" i="6"/>
  <c r="R93" i="6"/>
  <c r="AP93" i="6"/>
  <c r="AG93" i="6"/>
  <c r="X93" i="6"/>
  <c r="AV93" i="6"/>
  <c r="M93" i="6"/>
  <c r="AK93" i="6"/>
  <c r="AM93" i="6"/>
  <c r="AR93" i="6"/>
  <c r="G93" i="6"/>
  <c r="BE93" i="6"/>
  <c r="AQ93" i="6"/>
  <c r="J93" i="6"/>
  <c r="W93" i="6"/>
  <c r="O93" i="6"/>
  <c r="F93" i="6"/>
  <c r="I93" i="6"/>
  <c r="AW93" i="6"/>
  <c r="AN93" i="6"/>
  <c r="AE93" i="6"/>
  <c r="K93" i="6"/>
  <c r="AB93" i="6"/>
  <c r="BC93" i="6"/>
  <c r="AS93" i="6"/>
  <c r="AU93" i="6"/>
  <c r="AH93" i="6"/>
  <c r="AI93" i="6"/>
  <c r="P93" i="6"/>
  <c r="AT93" i="6"/>
  <c r="Y93" i="6"/>
  <c r="BB93" i="6"/>
  <c r="L93" i="6"/>
  <c r="H93" i="6"/>
  <c r="AF93" i="6"/>
  <c r="D93" i="6"/>
  <c r="BD93" i="6"/>
  <c r="AD93" i="6"/>
  <c r="AA93" i="6"/>
  <c r="U93" i="6"/>
  <c r="T93" i="6"/>
  <c r="BF93" i="6"/>
  <c r="AJ93" i="6"/>
  <c r="AZ93" i="6"/>
  <c r="D192" i="6" l="1"/>
  <c r="AL144" i="6"/>
  <c r="N144" i="6"/>
  <c r="AU144" i="6"/>
  <c r="K144" i="6"/>
  <c r="AX144" i="6"/>
  <c r="Z144" i="6"/>
  <c r="B144" i="6"/>
  <c r="A145" i="6"/>
  <c r="AE144" i="6"/>
  <c r="BC144" i="6"/>
  <c r="AI144" i="6"/>
  <c r="G144" i="6"/>
  <c r="AQ144" i="6"/>
  <c r="I144" i="6"/>
  <c r="J144" i="6"/>
  <c r="AH144" i="6"/>
  <c r="E144" i="6"/>
  <c r="AJ144" i="6"/>
  <c r="C144" i="6"/>
  <c r="AM144" i="6"/>
  <c r="BA144" i="6"/>
  <c r="V144" i="6"/>
  <c r="AY144" i="6"/>
  <c r="Q144" i="6"/>
  <c r="AC144" i="6"/>
  <c r="AN144" i="6"/>
  <c r="X144" i="6"/>
  <c r="AV144" i="6"/>
  <c r="BF144" i="6"/>
  <c r="AA144" i="6"/>
  <c r="AZ144" i="6"/>
  <c r="AS144" i="6"/>
  <c r="W144" i="6"/>
  <c r="P144" i="6"/>
  <c r="AB144" i="6"/>
  <c r="M144" i="6"/>
  <c r="BE144" i="6"/>
  <c r="AK144" i="6"/>
  <c r="AT144" i="6"/>
  <c r="AP144" i="6"/>
  <c r="H144" i="6"/>
  <c r="D144" i="6"/>
  <c r="BB144" i="6"/>
  <c r="AD144" i="6"/>
  <c r="Y144" i="6"/>
  <c r="AG144" i="6"/>
  <c r="L144" i="6"/>
  <c r="BD144" i="6"/>
  <c r="S144" i="6"/>
  <c r="AO144" i="6"/>
  <c r="R144" i="6"/>
  <c r="AF144" i="6"/>
  <c r="AR144" i="6"/>
  <c r="F144" i="6"/>
  <c r="T144" i="6"/>
  <c r="AW144" i="6"/>
  <c r="O144" i="6"/>
  <c r="U144" i="6"/>
  <c r="A193" i="6"/>
  <c r="B44" i="6"/>
  <c r="B193" i="6" s="1"/>
  <c r="A45" i="6"/>
  <c r="S44" i="6"/>
  <c r="N193" i="6" s="1"/>
  <c r="R44" i="6"/>
  <c r="AE44" i="6"/>
  <c r="X44" i="6"/>
  <c r="S193" i="6" s="1"/>
  <c r="AL44" i="6"/>
  <c r="AS44" i="6"/>
  <c r="F44" i="6"/>
  <c r="H44" i="6"/>
  <c r="T44" i="6"/>
  <c r="O193" i="6" s="1"/>
  <c r="AR44" i="6"/>
  <c r="BD44" i="6"/>
  <c r="L44" i="6"/>
  <c r="G193" i="6" s="1"/>
  <c r="M44" i="6"/>
  <c r="H193" i="6" s="1"/>
  <c r="O44" i="6"/>
  <c r="J193" i="6" s="1"/>
  <c r="AY44" i="6"/>
  <c r="AO44" i="6"/>
  <c r="AK44" i="6"/>
  <c r="AG44" i="6"/>
  <c r="BA44" i="6"/>
  <c r="AV44" i="6"/>
  <c r="AF44" i="6"/>
  <c r="E44" i="6"/>
  <c r="AC44" i="6"/>
  <c r="AJ44" i="6"/>
  <c r="Z44" i="6"/>
  <c r="U193" i="6" s="1"/>
  <c r="AB44" i="6"/>
  <c r="Q44" i="6"/>
  <c r="L193" i="6" s="1"/>
  <c r="AZ44" i="6"/>
  <c r="N44" i="6"/>
  <c r="I193" i="6" s="1"/>
  <c r="AW44" i="6"/>
  <c r="AP44" i="6"/>
  <c r="I44" i="6"/>
  <c r="K44" i="6"/>
  <c r="F193" i="6" s="1"/>
  <c r="AD44" i="6"/>
  <c r="G44" i="6"/>
  <c r="AQ44" i="6"/>
  <c r="AA44" i="6"/>
  <c r="V193" i="6" s="1"/>
  <c r="AM44" i="6"/>
  <c r="AN44" i="6"/>
  <c r="P44" i="6"/>
  <c r="K193" i="6" s="1"/>
  <c r="U44" i="6"/>
  <c r="P193" i="6" s="1"/>
  <c r="V44" i="6"/>
  <c r="Q193" i="6" s="1"/>
  <c r="BB44" i="6"/>
  <c r="C44" i="6"/>
  <c r="C193" i="6" s="1"/>
  <c r="D44" i="6"/>
  <c r="AU44" i="6"/>
  <c r="J44" i="6"/>
  <c r="E193" i="6" s="1"/>
  <c r="BC44" i="6"/>
  <c r="AI44" i="6"/>
  <c r="Y44" i="6"/>
  <c r="T193" i="6" s="1"/>
  <c r="BE44" i="6"/>
  <c r="AX44" i="6"/>
  <c r="AH44" i="6"/>
  <c r="BF44" i="6"/>
  <c r="W44" i="6"/>
  <c r="R193" i="6" s="1"/>
  <c r="AT44" i="6"/>
  <c r="A95" i="6"/>
  <c r="E94" i="6"/>
  <c r="Q94" i="6"/>
  <c r="AC94" i="6"/>
  <c r="B94" i="6"/>
  <c r="BA94" i="6"/>
  <c r="AO94" i="6"/>
  <c r="AN94" i="6"/>
  <c r="BF94" i="6"/>
  <c r="T94" i="6"/>
  <c r="F94" i="6"/>
  <c r="N94" i="6"/>
  <c r="AL94" i="6"/>
  <c r="AX94" i="6"/>
  <c r="AD94" i="6"/>
  <c r="BE94" i="6"/>
  <c r="X94" i="6"/>
  <c r="AV94" i="6"/>
  <c r="AT94" i="6"/>
  <c r="D94" i="6"/>
  <c r="AB94" i="6"/>
  <c r="Z94" i="6"/>
  <c r="Y94" i="6"/>
  <c r="AK94" i="6"/>
  <c r="O94" i="6"/>
  <c r="AY94" i="6"/>
  <c r="M94" i="6"/>
  <c r="R94" i="6"/>
  <c r="S94" i="6"/>
  <c r="P94" i="6"/>
  <c r="BC94" i="6"/>
  <c r="AM94" i="6"/>
  <c r="L94" i="6"/>
  <c r="AJ94" i="6"/>
  <c r="AR94" i="6"/>
  <c r="C94" i="6"/>
  <c r="AA94" i="6"/>
  <c r="AF94" i="6"/>
  <c r="AG94" i="6"/>
  <c r="AP94" i="6"/>
  <c r="BB94" i="6"/>
  <c r="AI94" i="6"/>
  <c r="K94" i="6"/>
  <c r="AE94" i="6"/>
  <c r="AQ94" i="6"/>
  <c r="AW94" i="6"/>
  <c r="AZ94" i="6"/>
  <c r="J94" i="6"/>
  <c r="U94" i="6"/>
  <c r="BD94" i="6"/>
  <c r="AS94" i="6"/>
  <c r="H94" i="6"/>
  <c r="W94" i="6"/>
  <c r="AU94" i="6"/>
  <c r="AH94" i="6"/>
  <c r="I94" i="6"/>
  <c r="V94" i="6"/>
  <c r="G94" i="6"/>
  <c r="A96" i="6" l="1"/>
  <c r="E95" i="6"/>
  <c r="Q95" i="6"/>
  <c r="AC95" i="6"/>
  <c r="BA95" i="6"/>
  <c r="AO95" i="6"/>
  <c r="B95" i="6"/>
  <c r="AN95" i="6"/>
  <c r="AI95" i="6"/>
  <c r="J95" i="6"/>
  <c r="N95" i="6"/>
  <c r="Z95" i="6"/>
  <c r="AX95" i="6"/>
  <c r="AL95" i="6"/>
  <c r="I95" i="6"/>
  <c r="U95" i="6"/>
  <c r="AA95" i="6"/>
  <c r="R95" i="6"/>
  <c r="AK95" i="6"/>
  <c r="S95" i="6"/>
  <c r="T95" i="6"/>
  <c r="C95" i="6"/>
  <c r="AZ95" i="6"/>
  <c r="O95" i="6"/>
  <c r="AS95" i="6"/>
  <c r="X95" i="6"/>
  <c r="AV95" i="6"/>
  <c r="P95" i="6"/>
  <c r="H95" i="6"/>
  <c r="AY95" i="6"/>
  <c r="BB95" i="6"/>
  <c r="F95" i="6"/>
  <c r="AP95" i="6"/>
  <c r="M95" i="6"/>
  <c r="AE95" i="6"/>
  <c r="AQ95" i="6"/>
  <c r="BD95" i="6"/>
  <c r="V95" i="6"/>
  <c r="AW95" i="6"/>
  <c r="AF95" i="6"/>
  <c r="AG95" i="6"/>
  <c r="BC95" i="6"/>
  <c r="K95" i="6"/>
  <c r="Y95" i="6"/>
  <c r="G95" i="6"/>
  <c r="L95" i="6"/>
  <c r="AM95" i="6"/>
  <c r="AD95" i="6"/>
  <c r="AB95" i="6"/>
  <c r="AU95" i="6"/>
  <c r="AH95" i="6"/>
  <c r="D95" i="6"/>
  <c r="AT95" i="6"/>
  <c r="W95" i="6"/>
  <c r="AJ95" i="6"/>
  <c r="BF95" i="6"/>
  <c r="BE95" i="6"/>
  <c r="AR95" i="6"/>
  <c r="D193" i="6"/>
  <c r="A146" i="6"/>
  <c r="AX145" i="6"/>
  <c r="AI145" i="6"/>
  <c r="B145" i="6"/>
  <c r="W145" i="6"/>
  <c r="N145" i="6"/>
  <c r="Z145" i="6"/>
  <c r="K145" i="6"/>
  <c r="AE145" i="6"/>
  <c r="AW145" i="6"/>
  <c r="AU145" i="6"/>
  <c r="AR145" i="6"/>
  <c r="I145" i="6"/>
  <c r="H145" i="6"/>
  <c r="AG145" i="6"/>
  <c r="AL145" i="6"/>
  <c r="AY145" i="6"/>
  <c r="P145" i="6"/>
  <c r="AN145" i="6"/>
  <c r="V145" i="6"/>
  <c r="AT145" i="6"/>
  <c r="AA145" i="6"/>
  <c r="D145" i="6"/>
  <c r="M145" i="6"/>
  <c r="AM145" i="6"/>
  <c r="Q145" i="6"/>
  <c r="BA145" i="6"/>
  <c r="AC145" i="6"/>
  <c r="R145" i="6"/>
  <c r="BE145" i="6"/>
  <c r="O145" i="6"/>
  <c r="AD145" i="6"/>
  <c r="AQ145" i="6"/>
  <c r="BF145" i="6"/>
  <c r="T145" i="6"/>
  <c r="AS145" i="6"/>
  <c r="F145" i="6"/>
  <c r="J145" i="6"/>
  <c r="AB145" i="6"/>
  <c r="AH145" i="6"/>
  <c r="AP145" i="6"/>
  <c r="AZ145" i="6"/>
  <c r="E145" i="6"/>
  <c r="AO145" i="6"/>
  <c r="AK145" i="6"/>
  <c r="S145" i="6"/>
  <c r="AJ145" i="6"/>
  <c r="AV145" i="6"/>
  <c r="BB145" i="6"/>
  <c r="G145" i="6"/>
  <c r="BD145" i="6"/>
  <c r="Y145" i="6"/>
  <c r="BC145" i="6"/>
  <c r="L145" i="6"/>
  <c r="C145" i="6"/>
  <c r="U145" i="6"/>
  <c r="X145" i="6"/>
  <c r="AF145" i="6"/>
  <c r="A194" i="6"/>
  <c r="A46" i="6"/>
  <c r="B45" i="6"/>
  <c r="B194" i="6" s="1"/>
  <c r="AN45" i="6"/>
  <c r="Q45" i="6"/>
  <c r="L194" i="6" s="1"/>
  <c r="BF45" i="6"/>
  <c r="BB45" i="6"/>
  <c r="H45" i="6"/>
  <c r="AO45" i="6"/>
  <c r="M45" i="6"/>
  <c r="H194" i="6" s="1"/>
  <c r="AY45" i="6"/>
  <c r="AC45" i="6"/>
  <c r="AK45" i="6"/>
  <c r="BD45" i="6"/>
  <c r="F45" i="6"/>
  <c r="T45" i="6"/>
  <c r="O194" i="6" s="1"/>
  <c r="P45" i="6"/>
  <c r="K194" i="6" s="1"/>
  <c r="R45" i="6"/>
  <c r="AF45" i="6"/>
  <c r="L45" i="6"/>
  <c r="G194" i="6" s="1"/>
  <c r="N45" i="6"/>
  <c r="I194" i="6" s="1"/>
  <c r="AJ45" i="6"/>
  <c r="J45" i="6"/>
  <c r="E194" i="6" s="1"/>
  <c r="Z45" i="6"/>
  <c r="U194" i="6" s="1"/>
  <c r="AV45" i="6"/>
  <c r="AA45" i="6"/>
  <c r="V194" i="6" s="1"/>
  <c r="AB45" i="6"/>
  <c r="AP45" i="6"/>
  <c r="X45" i="6"/>
  <c r="S194" i="6" s="1"/>
  <c r="BC45" i="6"/>
  <c r="AL45" i="6"/>
  <c r="D45" i="6"/>
  <c r="E45" i="6"/>
  <c r="AG45" i="6"/>
  <c r="BE45" i="6"/>
  <c r="AR45" i="6"/>
  <c r="AX45" i="6"/>
  <c r="Y45" i="6"/>
  <c r="T194" i="6" s="1"/>
  <c r="S45" i="6"/>
  <c r="N194" i="6" s="1"/>
  <c r="O45" i="6"/>
  <c r="J194" i="6" s="1"/>
  <c r="AH45" i="6"/>
  <c r="U45" i="6"/>
  <c r="P194" i="6" s="1"/>
  <c r="AT45" i="6"/>
  <c r="K45" i="6"/>
  <c r="F194" i="6" s="1"/>
  <c r="BA45" i="6"/>
  <c r="C45" i="6"/>
  <c r="C194" i="6" s="1"/>
  <c r="AW45" i="6"/>
  <c r="AE45" i="6"/>
  <c r="W45" i="6"/>
  <c r="R194" i="6" s="1"/>
  <c r="I45" i="6"/>
  <c r="G45" i="6"/>
  <c r="AU45" i="6"/>
  <c r="AZ45" i="6"/>
  <c r="AS45" i="6"/>
  <c r="V45" i="6"/>
  <c r="Q194" i="6" s="1"/>
  <c r="AD45" i="6"/>
  <c r="AM45" i="6"/>
  <c r="AQ45" i="6"/>
  <c r="AI45" i="6"/>
  <c r="N146" i="6" l="1"/>
  <c r="W146" i="6"/>
  <c r="Z146" i="6"/>
  <c r="AU146" i="6"/>
  <c r="B146" i="6"/>
  <c r="AI146" i="6"/>
  <c r="A147" i="6"/>
  <c r="S146" i="6"/>
  <c r="AL146" i="6"/>
  <c r="AW146" i="6"/>
  <c r="AR146" i="6"/>
  <c r="AJ146" i="6"/>
  <c r="H146" i="6"/>
  <c r="E146" i="6"/>
  <c r="AE146" i="6"/>
  <c r="K146" i="6"/>
  <c r="O146" i="6"/>
  <c r="AA146" i="6"/>
  <c r="V146" i="6"/>
  <c r="AT146" i="6"/>
  <c r="J146" i="6"/>
  <c r="C146" i="6"/>
  <c r="BF146" i="6"/>
  <c r="D146" i="6"/>
  <c r="AY146" i="6"/>
  <c r="AB146" i="6"/>
  <c r="AC146" i="6"/>
  <c r="L146" i="6"/>
  <c r="AV146" i="6"/>
  <c r="AS146" i="6"/>
  <c r="F146" i="6"/>
  <c r="AM146" i="6"/>
  <c r="BB146" i="6"/>
  <c r="AX146" i="6"/>
  <c r="I146" i="6"/>
  <c r="AH146" i="6"/>
  <c r="Q146" i="6"/>
  <c r="AO146" i="6"/>
  <c r="P146" i="6"/>
  <c r="AN146" i="6"/>
  <c r="T146" i="6"/>
  <c r="BE146" i="6"/>
  <c r="G146" i="6"/>
  <c r="AP146" i="6"/>
  <c r="Y146" i="6"/>
  <c r="AZ146" i="6"/>
  <c r="X146" i="6"/>
  <c r="AK146" i="6"/>
  <c r="AF146" i="6"/>
  <c r="AQ146" i="6"/>
  <c r="M146" i="6"/>
  <c r="R146" i="6"/>
  <c r="AD146" i="6"/>
  <c r="BC146" i="6"/>
  <c r="U146" i="6"/>
  <c r="BD146" i="6"/>
  <c r="AG146" i="6"/>
  <c r="BA146" i="6"/>
  <c r="D194" i="6"/>
  <c r="A195" i="6"/>
  <c r="A47" i="6"/>
  <c r="AB46" i="6"/>
  <c r="AU46" i="6"/>
  <c r="B46" i="6"/>
  <c r="B195" i="6" s="1"/>
  <c r="AM46" i="6"/>
  <c r="AY46" i="6"/>
  <c r="J46" i="6"/>
  <c r="E195" i="6" s="1"/>
  <c r="K46" i="6"/>
  <c r="F195" i="6" s="1"/>
  <c r="AC46" i="6"/>
  <c r="AK46" i="6"/>
  <c r="BA46" i="6"/>
  <c r="Q46" i="6"/>
  <c r="L195" i="6" s="1"/>
  <c r="L46" i="6"/>
  <c r="G195" i="6" s="1"/>
  <c r="N46" i="6"/>
  <c r="I195" i="6" s="1"/>
  <c r="AR46" i="6"/>
  <c r="AF46" i="6"/>
  <c r="Z46" i="6"/>
  <c r="U195" i="6" s="1"/>
  <c r="T46" i="6"/>
  <c r="O195" i="6" s="1"/>
  <c r="AV46" i="6"/>
  <c r="AA46" i="6"/>
  <c r="V195" i="6" s="1"/>
  <c r="R46" i="6"/>
  <c r="BB46" i="6"/>
  <c r="AJ46" i="6"/>
  <c r="AZ46" i="6"/>
  <c r="AW46" i="6"/>
  <c r="D46" i="6"/>
  <c r="AN46" i="6"/>
  <c r="BC46" i="6"/>
  <c r="U46" i="6"/>
  <c r="P195" i="6" s="1"/>
  <c r="M46" i="6"/>
  <c r="H195" i="6" s="1"/>
  <c r="AD46" i="6"/>
  <c r="AP46" i="6"/>
  <c r="H46" i="6"/>
  <c r="AO46" i="6"/>
  <c r="S46" i="6"/>
  <c r="N195" i="6" s="1"/>
  <c r="E46" i="6"/>
  <c r="BD46" i="6"/>
  <c r="X46" i="6"/>
  <c r="S195" i="6" s="1"/>
  <c r="AX46" i="6"/>
  <c r="P46" i="6"/>
  <c r="K195" i="6" s="1"/>
  <c r="O46" i="6"/>
  <c r="J195" i="6" s="1"/>
  <c r="F46" i="6"/>
  <c r="I46" i="6"/>
  <c r="BE46" i="6"/>
  <c r="AH46" i="6"/>
  <c r="C46" i="6"/>
  <c r="C195" i="6" s="1"/>
  <c r="V46" i="6"/>
  <c r="Q195" i="6" s="1"/>
  <c r="AL46" i="6"/>
  <c r="G46" i="6"/>
  <c r="BF46" i="6"/>
  <c r="AS46" i="6"/>
  <c r="AE46" i="6"/>
  <c r="AG46" i="6"/>
  <c r="Y46" i="6"/>
  <c r="T195" i="6" s="1"/>
  <c r="AT46" i="6"/>
  <c r="W46" i="6"/>
  <c r="R195" i="6" s="1"/>
  <c r="AQ46" i="6"/>
  <c r="AI46" i="6"/>
  <c r="AO96" i="6"/>
  <c r="BA96" i="6"/>
  <c r="A97" i="6"/>
  <c r="Q96" i="6"/>
  <c r="BD96" i="6"/>
  <c r="H96" i="6"/>
  <c r="E96" i="6"/>
  <c r="AC96" i="6"/>
  <c r="AU96" i="6"/>
  <c r="V96" i="6"/>
  <c r="B96" i="6"/>
  <c r="Z96" i="6"/>
  <c r="AX96" i="6"/>
  <c r="AL96" i="6"/>
  <c r="N96" i="6"/>
  <c r="F96" i="6"/>
  <c r="BE96" i="6"/>
  <c r="X96" i="6"/>
  <c r="AJ96" i="6"/>
  <c r="AZ96" i="6"/>
  <c r="G96" i="6"/>
  <c r="I96" i="6"/>
  <c r="Y96" i="6"/>
  <c r="AK96" i="6"/>
  <c r="AA96" i="6"/>
  <c r="C96" i="6"/>
  <c r="M96" i="6"/>
  <c r="L96" i="6"/>
  <c r="O96" i="6"/>
  <c r="R96" i="6"/>
  <c r="AI96" i="6"/>
  <c r="J96" i="6"/>
  <c r="AT96" i="6"/>
  <c r="AY96" i="6"/>
  <c r="AM96" i="6"/>
  <c r="S96" i="6"/>
  <c r="BC96" i="6"/>
  <c r="BF96" i="6"/>
  <c r="AF96" i="6"/>
  <c r="AR96" i="6"/>
  <c r="AG96" i="6"/>
  <c r="AQ96" i="6"/>
  <c r="D96" i="6"/>
  <c r="U96" i="6"/>
  <c r="AH96" i="6"/>
  <c r="T96" i="6"/>
  <c r="W96" i="6"/>
  <c r="AP96" i="6"/>
  <c r="AD96" i="6"/>
  <c r="P96" i="6"/>
  <c r="AS96" i="6"/>
  <c r="AB96" i="6"/>
  <c r="AV96" i="6"/>
  <c r="AW96" i="6"/>
  <c r="K96" i="6"/>
  <c r="AN96" i="6"/>
  <c r="BB96" i="6"/>
  <c r="AE96" i="6"/>
  <c r="Z147" i="6" l="1"/>
  <c r="K147" i="6"/>
  <c r="AL147" i="6"/>
  <c r="AX147" i="6"/>
  <c r="A148" i="6"/>
  <c r="N147" i="6"/>
  <c r="B147" i="6"/>
  <c r="AI147" i="6"/>
  <c r="AU147" i="6"/>
  <c r="S147" i="6"/>
  <c r="AK147" i="6"/>
  <c r="Y147" i="6"/>
  <c r="BC147" i="6"/>
  <c r="H147" i="6"/>
  <c r="G147" i="6"/>
  <c r="F147" i="6"/>
  <c r="AS147" i="6"/>
  <c r="AQ147" i="6"/>
  <c r="BF147" i="6"/>
  <c r="W147" i="6"/>
  <c r="AY147" i="6"/>
  <c r="AT147" i="6"/>
  <c r="AN147" i="6"/>
  <c r="AH147" i="6"/>
  <c r="O147" i="6"/>
  <c r="D147" i="6"/>
  <c r="P147" i="6"/>
  <c r="AZ147" i="6"/>
  <c r="Q147" i="6"/>
  <c r="BD147" i="6"/>
  <c r="V147" i="6"/>
  <c r="E147" i="6"/>
  <c r="AO147" i="6"/>
  <c r="AD147" i="6"/>
  <c r="U147" i="6"/>
  <c r="AB147" i="6"/>
  <c r="J147" i="6"/>
  <c r="AA147" i="6"/>
  <c r="X147" i="6"/>
  <c r="M147" i="6"/>
  <c r="AP147" i="6"/>
  <c r="AR147" i="6"/>
  <c r="AC147" i="6"/>
  <c r="R147" i="6"/>
  <c r="C147" i="6"/>
  <c r="AM147" i="6"/>
  <c r="L147" i="6"/>
  <c r="AV147" i="6"/>
  <c r="AF147" i="6"/>
  <c r="BA147" i="6"/>
  <c r="AW147" i="6"/>
  <c r="T147" i="6"/>
  <c r="AG147" i="6"/>
  <c r="BE147" i="6"/>
  <c r="AE147" i="6"/>
  <c r="AJ147" i="6"/>
  <c r="BB147" i="6"/>
  <c r="I147" i="6"/>
  <c r="D195" i="6"/>
  <c r="A98" i="6"/>
  <c r="B97" i="6"/>
  <c r="AQ97" i="6"/>
  <c r="BD97" i="6"/>
  <c r="P97" i="6"/>
  <c r="C97" i="6"/>
  <c r="AB97" i="6"/>
  <c r="AL97" i="6"/>
  <c r="Z97" i="6"/>
  <c r="N97" i="6"/>
  <c r="AY97" i="6"/>
  <c r="AX97" i="6"/>
  <c r="AA97" i="6"/>
  <c r="AM97" i="6"/>
  <c r="BC97" i="6"/>
  <c r="Q97" i="6"/>
  <c r="U97" i="6"/>
  <c r="O97" i="6"/>
  <c r="D97" i="6"/>
  <c r="I97" i="6"/>
  <c r="AN97" i="6"/>
  <c r="BA97" i="6"/>
  <c r="S97" i="6"/>
  <c r="AP97" i="6"/>
  <c r="AK97" i="6"/>
  <c r="AE97" i="6"/>
  <c r="T97" i="6"/>
  <c r="AF97" i="6"/>
  <c r="AH97" i="6"/>
  <c r="R97" i="6"/>
  <c r="AC97" i="6"/>
  <c r="BF97" i="6"/>
  <c r="H97" i="6"/>
  <c r="AU97" i="6"/>
  <c r="AD97" i="6"/>
  <c r="AR97" i="6"/>
  <c r="AG97" i="6"/>
  <c r="V97" i="6"/>
  <c r="X97" i="6"/>
  <c r="Y97" i="6"/>
  <c r="AS97" i="6"/>
  <c r="G97" i="6"/>
  <c r="K97" i="6"/>
  <c r="M97" i="6"/>
  <c r="AI97" i="6"/>
  <c r="AO97" i="6"/>
  <c r="AV97" i="6"/>
  <c r="AT97" i="6"/>
  <c r="L97" i="6"/>
  <c r="AJ97" i="6"/>
  <c r="BB97" i="6"/>
  <c r="E97" i="6"/>
  <c r="J97" i="6"/>
  <c r="F97" i="6"/>
  <c r="BE97" i="6"/>
  <c r="AW97" i="6"/>
  <c r="AZ97" i="6"/>
  <c r="W97" i="6"/>
  <c r="A196" i="6"/>
  <c r="A48" i="6"/>
  <c r="B47" i="6"/>
  <c r="B196" i="6" s="1"/>
  <c r="AH47" i="6"/>
  <c r="AC47" i="6"/>
  <c r="T47" i="6"/>
  <c r="O196" i="6" s="1"/>
  <c r="AV47" i="6"/>
  <c r="AA47" i="6"/>
  <c r="V196" i="6" s="1"/>
  <c r="D47" i="6"/>
  <c r="AJ47" i="6"/>
  <c r="AW47" i="6"/>
  <c r="AM47" i="6"/>
  <c r="AZ47" i="6"/>
  <c r="AQ47" i="6"/>
  <c r="P47" i="6"/>
  <c r="K196" i="6" s="1"/>
  <c r="AD47" i="6"/>
  <c r="X47" i="6"/>
  <c r="S196" i="6" s="1"/>
  <c r="AF47" i="6"/>
  <c r="AL47" i="6"/>
  <c r="O47" i="6"/>
  <c r="J196" i="6" s="1"/>
  <c r="AR47" i="6"/>
  <c r="C47" i="6"/>
  <c r="C196" i="6" s="1"/>
  <c r="AP47" i="6"/>
  <c r="AK47" i="6"/>
  <c r="BD47" i="6"/>
  <c r="L47" i="6"/>
  <c r="G196" i="6" s="1"/>
  <c r="R47" i="6"/>
  <c r="F47" i="6"/>
  <c r="AU47" i="6"/>
  <c r="G47" i="6"/>
  <c r="J47" i="6"/>
  <c r="E196" i="6" s="1"/>
  <c r="AE47" i="6"/>
  <c r="AT47" i="6"/>
  <c r="H47" i="6"/>
  <c r="Z47" i="6"/>
  <c r="U196" i="6" s="1"/>
  <c r="AN47" i="6"/>
  <c r="BB47" i="6"/>
  <c r="AX47" i="6"/>
  <c r="AO47" i="6"/>
  <c r="AB47" i="6"/>
  <c r="N47" i="6"/>
  <c r="I196" i="6" s="1"/>
  <c r="AY47" i="6"/>
  <c r="BA47" i="6"/>
  <c r="BC47" i="6"/>
  <c r="AS47" i="6"/>
  <c r="E47" i="6"/>
  <c r="M47" i="6"/>
  <c r="H196" i="6" s="1"/>
  <c r="AG47" i="6"/>
  <c r="V47" i="6"/>
  <c r="Q196" i="6" s="1"/>
  <c r="AI47" i="6"/>
  <c r="Y47" i="6"/>
  <c r="T196" i="6" s="1"/>
  <c r="BF47" i="6"/>
  <c r="U47" i="6"/>
  <c r="P196" i="6" s="1"/>
  <c r="BE47" i="6"/>
  <c r="I47" i="6"/>
  <c r="S47" i="6"/>
  <c r="N196" i="6" s="1"/>
  <c r="Q47" i="6"/>
  <c r="L196" i="6" s="1"/>
  <c r="W47" i="6"/>
  <c r="R196" i="6" s="1"/>
  <c r="K47" i="6"/>
  <c r="F196" i="6" s="1"/>
  <c r="AC98" i="6" l="1"/>
  <c r="AO98" i="6"/>
  <c r="B98" i="6"/>
  <c r="BA98" i="6"/>
  <c r="A99" i="6"/>
  <c r="E98" i="6"/>
  <c r="Q98" i="6"/>
  <c r="AT98" i="6"/>
  <c r="AR98" i="6"/>
  <c r="AL98" i="6"/>
  <c r="Z98" i="6"/>
  <c r="N98" i="6"/>
  <c r="AX98" i="6"/>
  <c r="C98" i="6"/>
  <c r="R98" i="6"/>
  <c r="X98" i="6"/>
  <c r="AW98" i="6"/>
  <c r="J98" i="6"/>
  <c r="D98" i="6"/>
  <c r="AG98" i="6"/>
  <c r="H98" i="6"/>
  <c r="AS98" i="6"/>
  <c r="O98" i="6"/>
  <c r="F98" i="6"/>
  <c r="AD98" i="6"/>
  <c r="T98" i="6"/>
  <c r="P98" i="6"/>
  <c r="U98" i="6"/>
  <c r="BB98" i="6"/>
  <c r="Y98" i="6"/>
  <c r="I98" i="6"/>
  <c r="AV98" i="6"/>
  <c r="AB98" i="6"/>
  <c r="AI98" i="6"/>
  <c r="AJ98" i="6"/>
  <c r="M98" i="6"/>
  <c r="AK98" i="6"/>
  <c r="AM98" i="6"/>
  <c r="W98" i="6"/>
  <c r="AU98" i="6"/>
  <c r="AA98" i="6"/>
  <c r="AY98" i="6"/>
  <c r="L98" i="6"/>
  <c r="AZ98" i="6"/>
  <c r="AQ98" i="6"/>
  <c r="BC98" i="6"/>
  <c r="BE98" i="6"/>
  <c r="S98" i="6"/>
  <c r="BD98" i="6"/>
  <c r="G98" i="6"/>
  <c r="V98" i="6"/>
  <c r="AP98" i="6"/>
  <c r="AF98" i="6"/>
  <c r="AN98" i="6"/>
  <c r="AH98" i="6"/>
  <c r="K98" i="6"/>
  <c r="BF98" i="6"/>
  <c r="AE98" i="6"/>
  <c r="A197" i="6"/>
  <c r="C48" i="6"/>
  <c r="C197" i="6" s="1"/>
  <c r="A49" i="6"/>
  <c r="B48" i="6"/>
  <c r="B197" i="6" s="1"/>
  <c r="AC48" i="6"/>
  <c r="U48" i="6"/>
  <c r="P197" i="6" s="1"/>
  <c r="AR48" i="6"/>
  <c r="O48" i="6"/>
  <c r="J197" i="6" s="1"/>
  <c r="E48" i="6"/>
  <c r="H48" i="6"/>
  <c r="M48" i="6"/>
  <c r="H197" i="6" s="1"/>
  <c r="X48" i="6"/>
  <c r="S197" i="6" s="1"/>
  <c r="AF48" i="6"/>
  <c r="Y48" i="6"/>
  <c r="T197" i="6" s="1"/>
  <c r="AW48" i="6"/>
  <c r="AT48" i="6"/>
  <c r="R48" i="6"/>
  <c r="AJ48" i="6"/>
  <c r="AM48" i="6"/>
  <c r="AY48" i="6"/>
  <c r="AB48" i="6"/>
  <c r="AD48" i="6"/>
  <c r="AP48" i="6"/>
  <c r="T48" i="6"/>
  <c r="O197" i="6" s="1"/>
  <c r="L48" i="6"/>
  <c r="G197" i="6" s="1"/>
  <c r="AL48" i="6"/>
  <c r="AX48" i="6"/>
  <c r="AO48" i="6"/>
  <c r="BB48" i="6"/>
  <c r="BD48" i="6"/>
  <c r="AN48" i="6"/>
  <c r="BA48" i="6"/>
  <c r="AA48" i="6"/>
  <c r="V197" i="6" s="1"/>
  <c r="P48" i="6"/>
  <c r="K197" i="6" s="1"/>
  <c r="AE48" i="6"/>
  <c r="AU48" i="6"/>
  <c r="Z48" i="6"/>
  <c r="U197" i="6" s="1"/>
  <c r="D48" i="6"/>
  <c r="Q48" i="6"/>
  <c r="L197" i="6" s="1"/>
  <c r="AG48" i="6"/>
  <c r="AH48" i="6"/>
  <c r="N48" i="6"/>
  <c r="I197" i="6" s="1"/>
  <c r="S48" i="6"/>
  <c r="N197" i="6" s="1"/>
  <c r="AK48" i="6"/>
  <c r="F48" i="6"/>
  <c r="AV48" i="6"/>
  <c r="BF48" i="6"/>
  <c r="K48" i="6"/>
  <c r="F197" i="6" s="1"/>
  <c r="W48" i="6"/>
  <c r="R197" i="6" s="1"/>
  <c r="BC48" i="6"/>
  <c r="AZ48" i="6"/>
  <c r="AS48" i="6"/>
  <c r="J48" i="6"/>
  <c r="E197" i="6" s="1"/>
  <c r="I48" i="6"/>
  <c r="G48" i="6"/>
  <c r="V48" i="6"/>
  <c r="Q197" i="6" s="1"/>
  <c r="AQ48" i="6"/>
  <c r="AI48" i="6"/>
  <c r="BE48" i="6"/>
  <c r="D196" i="6"/>
  <c r="B148" i="6"/>
  <c r="AU148" i="6"/>
  <c r="K148" i="6"/>
  <c r="AQ148" i="6"/>
  <c r="G148" i="6"/>
  <c r="AI148" i="6"/>
  <c r="A149" i="6"/>
  <c r="W148" i="6"/>
  <c r="BC148" i="6"/>
  <c r="T148" i="6"/>
  <c r="AW148" i="6"/>
  <c r="Q148" i="6"/>
  <c r="V148" i="6"/>
  <c r="BF148" i="6"/>
  <c r="AY148" i="6"/>
  <c r="AH148" i="6"/>
  <c r="F148" i="6"/>
  <c r="AT148" i="6"/>
  <c r="J148" i="6"/>
  <c r="AA148" i="6"/>
  <c r="AN148" i="6"/>
  <c r="P148" i="6"/>
  <c r="L148" i="6"/>
  <c r="AC148" i="6"/>
  <c r="O148" i="6"/>
  <c r="E148" i="6"/>
  <c r="R148" i="6"/>
  <c r="AE148" i="6"/>
  <c r="AM148" i="6"/>
  <c r="D148" i="6"/>
  <c r="AO148" i="6"/>
  <c r="X148" i="6"/>
  <c r="M148" i="6"/>
  <c r="AK148" i="6"/>
  <c r="AS148" i="6"/>
  <c r="H148" i="6"/>
  <c r="U148" i="6"/>
  <c r="AP148" i="6"/>
  <c r="BA148" i="6"/>
  <c r="AG148" i="6"/>
  <c r="Y148" i="6"/>
  <c r="AJ148" i="6"/>
  <c r="AR148" i="6"/>
  <c r="BE148" i="6"/>
  <c r="AD148" i="6"/>
  <c r="BD148" i="6"/>
  <c r="N148" i="6"/>
  <c r="Z148" i="6"/>
  <c r="AL148" i="6"/>
  <c r="C148" i="6"/>
  <c r="AF148" i="6"/>
  <c r="S148" i="6"/>
  <c r="AX148" i="6"/>
  <c r="AZ148" i="6"/>
  <c r="BB148" i="6"/>
  <c r="AB148" i="6"/>
  <c r="AV148" i="6"/>
  <c r="I148" i="6"/>
  <c r="D197" i="6" l="1"/>
  <c r="A150" i="6"/>
  <c r="AL149" i="6"/>
  <c r="AX149" i="6"/>
  <c r="B149" i="6"/>
  <c r="AI149" i="6"/>
  <c r="AU149" i="6"/>
  <c r="K149" i="6"/>
  <c r="W149" i="6"/>
  <c r="N149" i="6"/>
  <c r="AQ149" i="6"/>
  <c r="AE149" i="6"/>
  <c r="AD149" i="6"/>
  <c r="Z149" i="6"/>
  <c r="U149" i="6"/>
  <c r="AH149" i="6"/>
  <c r="O149" i="6"/>
  <c r="AA149" i="6"/>
  <c r="AM149" i="6"/>
  <c r="AT149" i="6"/>
  <c r="P149" i="6"/>
  <c r="AV149" i="6"/>
  <c r="R149" i="6"/>
  <c r="C149" i="6"/>
  <c r="BF149" i="6"/>
  <c r="AN149" i="6"/>
  <c r="AB149" i="6"/>
  <c r="AO149" i="6"/>
  <c r="X149" i="6"/>
  <c r="D149" i="6"/>
  <c r="I149" i="6"/>
  <c r="AZ149" i="6"/>
  <c r="AJ149" i="6"/>
  <c r="G149" i="6"/>
  <c r="S149" i="6"/>
  <c r="AY149" i="6"/>
  <c r="BA149" i="6"/>
  <c r="F149" i="6"/>
  <c r="L149" i="6"/>
  <c r="AR149" i="6"/>
  <c r="BD149" i="6"/>
  <c r="E149" i="6"/>
  <c r="BC149" i="6"/>
  <c r="J149" i="6"/>
  <c r="AF149" i="6"/>
  <c r="Q149" i="6"/>
  <c r="AG149" i="6"/>
  <c r="Y149" i="6"/>
  <c r="H149" i="6"/>
  <c r="AW149" i="6"/>
  <c r="AC149" i="6"/>
  <c r="M149" i="6"/>
  <c r="BB149" i="6"/>
  <c r="T149" i="6"/>
  <c r="AP149" i="6"/>
  <c r="BE149" i="6"/>
  <c r="V149" i="6"/>
  <c r="AK149" i="6"/>
  <c r="AS149" i="6"/>
  <c r="A100" i="6"/>
  <c r="AC99" i="6"/>
  <c r="B99" i="6"/>
  <c r="BA99" i="6"/>
  <c r="Q99" i="6"/>
  <c r="AO99" i="6"/>
  <c r="AD99" i="6"/>
  <c r="E99" i="6"/>
  <c r="AL99" i="6"/>
  <c r="Z99" i="6"/>
  <c r="AX99" i="6"/>
  <c r="AN99" i="6"/>
  <c r="AV99" i="6"/>
  <c r="P99" i="6"/>
  <c r="C99" i="6"/>
  <c r="AG99" i="6"/>
  <c r="BE99" i="6"/>
  <c r="BF99" i="6"/>
  <c r="AY99" i="6"/>
  <c r="AJ99" i="6"/>
  <c r="AE99" i="6"/>
  <c r="AA99" i="6"/>
  <c r="AP99" i="6"/>
  <c r="BC99" i="6"/>
  <c r="F99" i="6"/>
  <c r="AS99" i="6"/>
  <c r="BB99" i="6"/>
  <c r="R99" i="6"/>
  <c r="L99" i="6"/>
  <c r="AK99" i="6"/>
  <c r="AQ99" i="6"/>
  <c r="J99" i="6"/>
  <c r="W99" i="6"/>
  <c r="N99" i="6"/>
  <c r="AW99" i="6"/>
  <c r="AZ99" i="6"/>
  <c r="H99" i="6"/>
  <c r="X99" i="6"/>
  <c r="AB99" i="6"/>
  <c r="BD99" i="6"/>
  <c r="T99" i="6"/>
  <c r="V99" i="6"/>
  <c r="AH99" i="6"/>
  <c r="G99" i="6"/>
  <c r="AT99" i="6"/>
  <c r="U99" i="6"/>
  <c r="M99" i="6"/>
  <c r="D99" i="6"/>
  <c r="AI99" i="6"/>
  <c r="O99" i="6"/>
  <c r="AM99" i="6"/>
  <c r="AR99" i="6"/>
  <c r="AU99" i="6"/>
  <c r="K99" i="6"/>
  <c r="AF99" i="6"/>
  <c r="Y99" i="6"/>
  <c r="S99" i="6"/>
  <c r="I99" i="6"/>
  <c r="A198" i="6"/>
  <c r="A50" i="6"/>
  <c r="B49" i="6"/>
  <c r="B198" i="6" s="1"/>
  <c r="D49" i="6"/>
  <c r="AH49" i="6"/>
  <c r="AR49" i="6"/>
  <c r="Z49" i="6"/>
  <c r="U198" i="6" s="1"/>
  <c r="AX49" i="6"/>
  <c r="X49" i="6"/>
  <c r="S198" i="6" s="1"/>
  <c r="AB49" i="6"/>
  <c r="AZ49" i="6"/>
  <c r="AC49" i="6"/>
  <c r="R49" i="6"/>
  <c r="AF49" i="6"/>
  <c r="N49" i="6"/>
  <c r="I198" i="6" s="1"/>
  <c r="P49" i="6"/>
  <c r="K198" i="6" s="1"/>
  <c r="H49" i="6"/>
  <c r="K49" i="6"/>
  <c r="F198" i="6" s="1"/>
  <c r="Q49" i="6"/>
  <c r="L198" i="6" s="1"/>
  <c r="AW49" i="6"/>
  <c r="AN49" i="6"/>
  <c r="AL49" i="6"/>
  <c r="E49" i="6"/>
  <c r="T49" i="6"/>
  <c r="O198" i="6" s="1"/>
  <c r="AJ49" i="6"/>
  <c r="O49" i="6"/>
  <c r="J198" i="6" s="1"/>
  <c r="BD49" i="6"/>
  <c r="Y49" i="6"/>
  <c r="T198" i="6" s="1"/>
  <c r="AP49" i="6"/>
  <c r="AV49" i="6"/>
  <c r="M49" i="6"/>
  <c r="H198" i="6" s="1"/>
  <c r="AD49" i="6"/>
  <c r="AT49" i="6"/>
  <c r="BB49" i="6"/>
  <c r="G49" i="6"/>
  <c r="AE49" i="6"/>
  <c r="U49" i="6"/>
  <c r="P198" i="6" s="1"/>
  <c r="V49" i="6"/>
  <c r="Q198" i="6" s="1"/>
  <c r="L49" i="6"/>
  <c r="G198" i="6" s="1"/>
  <c r="AK49" i="6"/>
  <c r="C49" i="6"/>
  <c r="C198" i="6" s="1"/>
  <c r="BA49" i="6"/>
  <c r="F49" i="6"/>
  <c r="AY49" i="6"/>
  <c r="AO49" i="6"/>
  <c r="AQ49" i="6"/>
  <c r="AG49" i="6"/>
  <c r="AI49" i="6"/>
  <c r="AS49" i="6"/>
  <c r="S49" i="6"/>
  <c r="N198" i="6" s="1"/>
  <c r="AA49" i="6"/>
  <c r="V198" i="6" s="1"/>
  <c r="BE49" i="6"/>
  <c r="BF49" i="6"/>
  <c r="AM49" i="6"/>
  <c r="W49" i="6"/>
  <c r="R198" i="6" s="1"/>
  <c r="BC49" i="6"/>
  <c r="AU49" i="6"/>
  <c r="J49" i="6"/>
  <c r="E198" i="6" s="1"/>
  <c r="I49" i="6"/>
  <c r="D198" i="6" l="1"/>
  <c r="B100" i="6"/>
  <c r="BA100" i="6"/>
  <c r="BA101" i="6" s="1"/>
  <c r="E100" i="6"/>
  <c r="E101" i="6" s="1"/>
  <c r="AC100" i="6"/>
  <c r="AC101" i="6" s="1"/>
  <c r="J100" i="6"/>
  <c r="J101" i="6" s="1"/>
  <c r="AF100" i="6"/>
  <c r="AF101" i="6" s="1"/>
  <c r="AR100" i="6"/>
  <c r="AR101" i="6" s="1"/>
  <c r="Q100" i="6"/>
  <c r="Q101" i="6" s="1"/>
  <c r="N100" i="6"/>
  <c r="N101" i="6" s="1"/>
  <c r="AL100" i="6"/>
  <c r="AL101" i="6" s="1"/>
  <c r="Z100" i="6"/>
  <c r="Z101" i="6" s="1"/>
  <c r="K100" i="6"/>
  <c r="K101" i="6" s="1"/>
  <c r="AX100" i="6"/>
  <c r="AX101" i="6" s="1"/>
  <c r="O100" i="6"/>
  <c r="O101" i="6" s="1"/>
  <c r="AQ100" i="6"/>
  <c r="AQ101" i="6" s="1"/>
  <c r="AG100" i="6"/>
  <c r="AG101" i="6" s="1"/>
  <c r="AW100" i="6"/>
  <c r="AW101" i="6" s="1"/>
  <c r="AD100" i="6"/>
  <c r="AD101" i="6" s="1"/>
  <c r="I100" i="6"/>
  <c r="I101" i="6" s="1"/>
  <c r="L100" i="6"/>
  <c r="L101" i="6" s="1"/>
  <c r="AO100" i="6"/>
  <c r="AO101" i="6" s="1"/>
  <c r="BD100" i="6"/>
  <c r="BD101" i="6" s="1"/>
  <c r="AA100" i="6"/>
  <c r="AA101" i="6" s="1"/>
  <c r="AY100" i="6"/>
  <c r="AY101" i="6" s="1"/>
  <c r="U100" i="6"/>
  <c r="U101" i="6" s="1"/>
  <c r="AJ100" i="6"/>
  <c r="AJ101" i="6" s="1"/>
  <c r="AV100" i="6"/>
  <c r="AV101" i="6" s="1"/>
  <c r="V100" i="6"/>
  <c r="V101" i="6" s="1"/>
  <c r="BB100" i="6"/>
  <c r="BB101" i="6" s="1"/>
  <c r="X100" i="6"/>
  <c r="X101" i="6" s="1"/>
  <c r="AK100" i="6"/>
  <c r="AK101" i="6" s="1"/>
  <c r="AZ100" i="6"/>
  <c r="AZ101" i="6" s="1"/>
  <c r="C100" i="6"/>
  <c r="C101" i="6" s="1"/>
  <c r="H100" i="6"/>
  <c r="H101" i="6" s="1"/>
  <c r="AE100" i="6"/>
  <c r="AE101" i="6" s="1"/>
  <c r="W100" i="6"/>
  <c r="W101" i="6" s="1"/>
  <c r="D100" i="6"/>
  <c r="D101" i="6" s="1"/>
  <c r="AM100" i="6"/>
  <c r="AM101" i="6" s="1"/>
  <c r="G100" i="6"/>
  <c r="G101" i="6" s="1"/>
  <c r="T100" i="6"/>
  <c r="T101" i="6" s="1"/>
  <c r="AP100" i="6"/>
  <c r="AP101" i="6" s="1"/>
  <c r="M100" i="6"/>
  <c r="M101" i="6" s="1"/>
  <c r="P100" i="6"/>
  <c r="P101" i="6" s="1"/>
  <c r="R100" i="6"/>
  <c r="R101" i="6" s="1"/>
  <c r="S100" i="6"/>
  <c r="S101" i="6" s="1"/>
  <c r="AU100" i="6"/>
  <c r="AU101" i="6" s="1"/>
  <c r="Y100" i="6"/>
  <c r="Y101" i="6" s="1"/>
  <c r="AN100" i="6"/>
  <c r="AN101" i="6" s="1"/>
  <c r="AS100" i="6"/>
  <c r="AS101" i="6" s="1"/>
  <c r="AB100" i="6"/>
  <c r="AB101" i="6" s="1"/>
  <c r="AT100" i="6"/>
  <c r="AT101" i="6" s="1"/>
  <c r="F100" i="6"/>
  <c r="F101" i="6" s="1"/>
  <c r="AI100" i="6"/>
  <c r="AI101" i="6" s="1"/>
  <c r="BE100" i="6"/>
  <c r="BE101" i="6" s="1"/>
  <c r="BC100" i="6"/>
  <c r="BC101" i="6" s="1"/>
  <c r="BF100" i="6"/>
  <c r="BF101" i="6" s="1"/>
  <c r="AH100" i="6"/>
  <c r="AH101" i="6" s="1"/>
  <c r="A199" i="6"/>
  <c r="AB50" i="6"/>
  <c r="AB51" i="6" s="1"/>
  <c r="S50" i="6"/>
  <c r="B50" i="6"/>
  <c r="B199" i="6" s="1"/>
  <c r="BC50" i="6"/>
  <c r="BC51" i="6" s="1"/>
  <c r="AS50" i="6"/>
  <c r="AS51" i="6" s="1"/>
  <c r="H50" i="6"/>
  <c r="H51" i="6" s="1"/>
  <c r="AO50" i="6"/>
  <c r="AO51" i="6" s="1"/>
  <c r="BA50" i="6"/>
  <c r="BA51" i="6" s="1"/>
  <c r="D50" i="6"/>
  <c r="X50" i="6"/>
  <c r="AF50" i="6"/>
  <c r="AF51" i="6" s="1"/>
  <c r="AR50" i="6"/>
  <c r="AR51" i="6" s="1"/>
  <c r="AL50" i="6"/>
  <c r="AL51" i="6" s="1"/>
  <c r="C50" i="6"/>
  <c r="AY50" i="6"/>
  <c r="AY51" i="6" s="1"/>
  <c r="E50" i="6"/>
  <c r="E51" i="6" s="1"/>
  <c r="AC50" i="6"/>
  <c r="AC51" i="6" s="1"/>
  <c r="BB50" i="6"/>
  <c r="BB51" i="6" s="1"/>
  <c r="BD50" i="6"/>
  <c r="BD51" i="6" s="1"/>
  <c r="AV50" i="6"/>
  <c r="AV51" i="6" s="1"/>
  <c r="AK50" i="6"/>
  <c r="AK51" i="6" s="1"/>
  <c r="Q50" i="6"/>
  <c r="AD50" i="6"/>
  <c r="AD51" i="6" s="1"/>
  <c r="N50" i="6"/>
  <c r="L50" i="6"/>
  <c r="AJ50" i="6"/>
  <c r="AJ51" i="6" s="1"/>
  <c r="M50" i="6"/>
  <c r="AM50" i="6"/>
  <c r="AM51" i="6" s="1"/>
  <c r="AN50" i="6"/>
  <c r="AN51" i="6" s="1"/>
  <c r="Y50" i="6"/>
  <c r="BE50" i="6"/>
  <c r="BE51" i="6" s="1"/>
  <c r="R50" i="6"/>
  <c r="R51" i="6" s="1"/>
  <c r="AA50" i="6"/>
  <c r="AT50" i="6"/>
  <c r="AT51" i="6" s="1"/>
  <c r="Z50" i="6"/>
  <c r="F50" i="6"/>
  <c r="F51" i="6" s="1"/>
  <c r="G50" i="6"/>
  <c r="G51" i="6" s="1"/>
  <c r="BF50" i="6"/>
  <c r="BF51" i="6" s="1"/>
  <c r="AX50" i="6"/>
  <c r="AX51" i="6" s="1"/>
  <c r="AW50" i="6"/>
  <c r="AW51" i="6" s="1"/>
  <c r="AP50" i="6"/>
  <c r="AP51" i="6" s="1"/>
  <c r="AZ50" i="6"/>
  <c r="AZ51" i="6" s="1"/>
  <c r="P50" i="6"/>
  <c r="J50" i="6"/>
  <c r="I50" i="6"/>
  <c r="I51" i="6" s="1"/>
  <c r="AG50" i="6"/>
  <c r="AG51" i="6" s="1"/>
  <c r="AQ50" i="6"/>
  <c r="AQ51" i="6" s="1"/>
  <c r="O50" i="6"/>
  <c r="T50" i="6"/>
  <c r="AI50" i="6"/>
  <c r="AI51" i="6" s="1"/>
  <c r="AE50" i="6"/>
  <c r="AE51" i="6" s="1"/>
  <c r="U50" i="6"/>
  <c r="AH50" i="6"/>
  <c r="AH51" i="6" s="1"/>
  <c r="K50" i="6"/>
  <c r="W50" i="6"/>
  <c r="AU50" i="6"/>
  <c r="AU51" i="6" s="1"/>
  <c r="V50" i="6"/>
  <c r="W150" i="6"/>
  <c r="W151" i="6" s="1"/>
  <c r="AU150" i="6"/>
  <c r="AU151" i="6" s="1"/>
  <c r="Z150" i="6"/>
  <c r="Z151" i="6" s="1"/>
  <c r="B150" i="6"/>
  <c r="AQ150" i="6"/>
  <c r="AQ151" i="6" s="1"/>
  <c r="AL150" i="6"/>
  <c r="AL151" i="6" s="1"/>
  <c r="AX150" i="6"/>
  <c r="AX151" i="6" s="1"/>
  <c r="S150" i="6"/>
  <c r="S151" i="6" s="1"/>
  <c r="AF150" i="6"/>
  <c r="AF151" i="6" s="1"/>
  <c r="K150" i="6"/>
  <c r="K151" i="6" s="1"/>
  <c r="AJ150" i="6"/>
  <c r="AJ151" i="6" s="1"/>
  <c r="AG150" i="6"/>
  <c r="AG151" i="6" s="1"/>
  <c r="V150" i="6"/>
  <c r="V151" i="6" s="1"/>
  <c r="J150" i="6"/>
  <c r="J151" i="6" s="1"/>
  <c r="AI150" i="6"/>
  <c r="AI151" i="6" s="1"/>
  <c r="BA150" i="6"/>
  <c r="BA151" i="6" s="1"/>
  <c r="BF150" i="6"/>
  <c r="BF151" i="6" s="1"/>
  <c r="O150" i="6"/>
  <c r="O151" i="6" s="1"/>
  <c r="AC150" i="6"/>
  <c r="AC151" i="6" s="1"/>
  <c r="AY150" i="6"/>
  <c r="AY151" i="6" s="1"/>
  <c r="Q150" i="6"/>
  <c r="Q151" i="6" s="1"/>
  <c r="AH150" i="6"/>
  <c r="AH151" i="6" s="1"/>
  <c r="P150" i="6"/>
  <c r="P151" i="6" s="1"/>
  <c r="F150" i="6"/>
  <c r="F151" i="6" s="1"/>
  <c r="AT150" i="6"/>
  <c r="AT151" i="6" s="1"/>
  <c r="AN150" i="6"/>
  <c r="AN151" i="6" s="1"/>
  <c r="AZ150" i="6"/>
  <c r="AZ151" i="6" s="1"/>
  <c r="D150" i="6"/>
  <c r="D151" i="6" s="1"/>
  <c r="AV150" i="6"/>
  <c r="AV151" i="6" s="1"/>
  <c r="BE150" i="6"/>
  <c r="BE151" i="6" s="1"/>
  <c r="BC150" i="6"/>
  <c r="BC151" i="6" s="1"/>
  <c r="AM150" i="6"/>
  <c r="AM151" i="6" s="1"/>
  <c r="R150" i="6"/>
  <c r="R151" i="6" s="1"/>
  <c r="H150" i="6"/>
  <c r="H151" i="6" s="1"/>
  <c r="T150" i="6"/>
  <c r="T151" i="6" s="1"/>
  <c r="Y150" i="6"/>
  <c r="Y151" i="6" s="1"/>
  <c r="N150" i="6"/>
  <c r="N151" i="6" s="1"/>
  <c r="AB150" i="6"/>
  <c r="AB151" i="6" s="1"/>
  <c r="U150" i="6"/>
  <c r="U151" i="6" s="1"/>
  <c r="AA150" i="6"/>
  <c r="AA151" i="6" s="1"/>
  <c r="C150" i="6"/>
  <c r="C151" i="6" s="1"/>
  <c r="M150" i="6"/>
  <c r="M151" i="6" s="1"/>
  <c r="X150" i="6"/>
  <c r="X151" i="6" s="1"/>
  <c r="AE150" i="6"/>
  <c r="AE151" i="6" s="1"/>
  <c r="L150" i="6"/>
  <c r="L151" i="6" s="1"/>
  <c r="E150" i="6"/>
  <c r="E151" i="6" s="1"/>
  <c r="BB150" i="6"/>
  <c r="BB151" i="6" s="1"/>
  <c r="AD150" i="6"/>
  <c r="AD151" i="6" s="1"/>
  <c r="AK150" i="6"/>
  <c r="AK151" i="6" s="1"/>
  <c r="AS150" i="6"/>
  <c r="AS151" i="6" s="1"/>
  <c r="AR150" i="6"/>
  <c r="AR151" i="6" s="1"/>
  <c r="I150" i="6"/>
  <c r="I151" i="6" s="1"/>
  <c r="AW150" i="6"/>
  <c r="AW151" i="6" s="1"/>
  <c r="AO150" i="6"/>
  <c r="AO151" i="6" s="1"/>
  <c r="AP150" i="6"/>
  <c r="AP151" i="6" s="1"/>
  <c r="BD150" i="6"/>
  <c r="BD151" i="6" s="1"/>
  <c r="G150" i="6"/>
  <c r="G151" i="6" s="1"/>
  <c r="J199" i="6" l="1"/>
  <c r="J200" i="6" s="1"/>
  <c r="O51" i="6"/>
  <c r="I199" i="6"/>
  <c r="I200" i="6" s="1"/>
  <c r="N51" i="6"/>
  <c r="O199" i="6"/>
  <c r="O200" i="6" s="1"/>
  <c r="T51" i="6"/>
  <c r="U199" i="6"/>
  <c r="U200" i="6" s="1"/>
  <c r="Z51" i="6"/>
  <c r="G199" i="6"/>
  <c r="G200" i="6" s="1"/>
  <c r="L51" i="6"/>
  <c r="L199" i="6"/>
  <c r="L200" i="6" s="1"/>
  <c r="Q51" i="6"/>
  <c r="S199" i="6"/>
  <c r="S200" i="6" s="1"/>
  <c r="X51" i="6"/>
  <c r="Q199" i="6"/>
  <c r="Q200" i="6" s="1"/>
  <c r="V51" i="6"/>
  <c r="V199" i="6"/>
  <c r="V200" i="6" s="1"/>
  <c r="AA51" i="6"/>
  <c r="D199" i="6"/>
  <c r="D200" i="6" s="1"/>
  <c r="D51" i="6"/>
  <c r="E199" i="6"/>
  <c r="E200" i="6" s="1"/>
  <c r="J51" i="6"/>
  <c r="R199" i="6"/>
  <c r="R200" i="6" s="1"/>
  <c r="W51" i="6"/>
  <c r="K199" i="6"/>
  <c r="K200" i="6" s="1"/>
  <c r="P51" i="6"/>
  <c r="F199" i="6"/>
  <c r="F200" i="6" s="1"/>
  <c r="K51" i="6"/>
  <c r="T199" i="6"/>
  <c r="T200" i="6" s="1"/>
  <c r="Y51" i="6"/>
  <c r="P199" i="6"/>
  <c r="P200" i="6" s="1"/>
  <c r="U51" i="6"/>
  <c r="H199" i="6"/>
  <c r="H200" i="6" s="1"/>
  <c r="M51" i="6"/>
  <c r="C199" i="6"/>
  <c r="C200" i="6" s="1"/>
  <c r="C51" i="6"/>
  <c r="N199" i="6"/>
  <c r="N200" i="6" s="1"/>
  <c r="S51"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<sst xmlns="http://schemas.openxmlformats.org/spreadsheetml/2006/main" count="3615" uniqueCount="1662">
  <si>
    <t>Raw Data - paste new CRM export rows at the bottom</t>
  </si>
  <si>
    <t>Possible duplicate work orders:</t>
  </si>
  <si>
    <t>(Do Not Modify) WO Number</t>
  </si>
  <si>
    <t>(Do Not Modify) Row Checksum</t>
  </si>
  <si>
    <t>(Do Not Modify) Modified On</t>
  </si>
  <si>
    <t>DATE</t>
  </si>
  <si>
    <t>APRILS NOTES</t>
  </si>
  <si>
    <t>STATUS</t>
  </si>
  <si>
    <t>COMPLETED DATE</t>
  </si>
  <si>
    <t>BOS WORK ORDER</t>
  </si>
  <si>
    <t>BRANCH</t>
  </si>
  <si>
    <t>STORE</t>
  </si>
  <si>
    <t>CITY</t>
  </si>
  <si>
    <t>STATE</t>
  </si>
  <si>
    <t xml:space="preserve">PO </t>
  </si>
  <si>
    <t>CALLER</t>
  </si>
  <si>
    <t>PROBLEM CATEGORY</t>
  </si>
  <si>
    <t>REPLACEMENT PARTS</t>
  </si>
  <si>
    <t>NON-WARRANTY   BILLABLE</t>
  </si>
  <si>
    <t>FR SUBMITTED   YES/NO</t>
  </si>
  <si>
    <t>CASE MODEL/SERIAL NUMBER</t>
  </si>
  <si>
    <t>PICTURES  BOS</t>
  </si>
  <si>
    <t>Job Scope</t>
  </si>
  <si>
    <t>WORK SUMMARY</t>
  </si>
  <si>
    <t>Canceled</t>
  </si>
  <si>
    <t>WO-0608904</t>
  </si>
  <si>
    <t>San Antonio, TX</t>
  </si>
  <si>
    <t>Dollar General #20761</t>
  </si>
  <si>
    <t>Pettus</t>
  </si>
  <si>
    <t>TX</t>
  </si>
  <si>
    <t>TAVANT/PRODUCT CARE</t>
  </si>
  <si>
    <t>STORE CONNECT</t>
  </si>
  <si>
    <t>TEMPERATURE</t>
  </si>
  <si>
    <t>RLN2MA / MY26B013813</t>
  </si>
  <si>
    <t>High Temperature Alarm</t>
  </si>
  <si>
    <t>Product Care Team cancelled the call</t>
  </si>
  <si>
    <t>Completed</t>
  </si>
  <si>
    <t>WO-0608855</t>
  </si>
  <si>
    <t>Dallas, TX</t>
  </si>
  <si>
    <t>Dollar General #3277</t>
  </si>
  <si>
    <t>Garland</t>
  </si>
  <si>
    <t>5169188</t>
  </si>
  <si>
    <t>FEXA</t>
  </si>
  <si>
    <t xml:space="preserve">TEMPERATURE </t>
  </si>
  <si>
    <t>RLN3MA / MY26D028108</t>
  </si>
  <si>
    <t>Invalid Temperature Reading</t>
  </si>
  <si>
    <t>I found case at temp -8 down to - 10 i found left hand door not closing all the way and probably causing issues store had roped off the case i repaired torque rod and adjusted it . No other issues found with the case. Store ac is not working properly could case issues not sure.</t>
  </si>
  <si>
    <t>ETA 7/6</t>
  </si>
  <si>
    <t>Scheduled</t>
  </si>
  <si>
    <t>WO-0608593</t>
  </si>
  <si>
    <t>Kansas City, MO (Lenexa)</t>
  </si>
  <si>
    <t>Dollar General #1768</t>
  </si>
  <si>
    <t>Nixa</t>
  </si>
  <si>
    <t>MO</t>
  </si>
  <si>
    <t>5163557</t>
  </si>
  <si>
    <t>WATER LEAKING</t>
  </si>
  <si>
    <t>RLN2MA / MY26D028097</t>
  </si>
  <si>
    <t>Water leaking from under the unit and excessive condinsation on the doors - multiple units effected</t>
  </si>
  <si>
    <t>WO-0608327</t>
  </si>
  <si>
    <t>Tulsa, OK</t>
  </si>
  <si>
    <t>Dollar General #21606</t>
  </si>
  <si>
    <t>Porum</t>
  </si>
  <si>
    <t>OK</t>
  </si>
  <si>
    <t>RLN3MA / MY26B013826</t>
  </si>
  <si>
    <t>Kindly recall the dispatch for below case, as case trends and working seems to be normal, kindly acknowledge here once it is recalled.</t>
  </si>
  <si>
    <t>WO-0607313</t>
  </si>
  <si>
    <t>Southern</t>
  </si>
  <si>
    <t>Dollar General #21375</t>
  </si>
  <si>
    <t xml:space="preserve">Oxford </t>
  </si>
  <si>
    <t>AR</t>
  </si>
  <si>
    <t>5162624</t>
  </si>
  <si>
    <t>ICE BUILD UP</t>
  </si>
  <si>
    <t>RLN3MA / MY26B01382</t>
  </si>
  <si>
    <t>There is a block of ice on the inside and top of the unit</t>
  </si>
  <si>
    <t>Email from Young, Bradley &lt;Bradley.Young@hussmann.onmicrosoft.com&gt;</t>
  </si>
  <si>
    <t>ETA 7/8</t>
  </si>
  <si>
    <t>WO-0607311</t>
  </si>
  <si>
    <t>Dollar General #22930</t>
  </si>
  <si>
    <t>Forestburg</t>
  </si>
  <si>
    <t>5162381</t>
  </si>
  <si>
    <t>WATER LEAKING INTO UNIT</t>
  </si>
  <si>
    <t>RLN4MA / MY26B014974</t>
  </si>
  <si>
    <t>There is water running into the unit and down the shelves and freezing</t>
  </si>
  <si>
    <t> </t>
  </si>
  <si>
    <t>WO-0607008</t>
  </si>
  <si>
    <t>Dollar General #21838</t>
  </si>
  <si>
    <t>Belle Chasse</t>
  </si>
  <si>
    <t>LA</t>
  </si>
  <si>
    <t>RLN3MA / MY26E039365</t>
  </si>
  <si>
    <t>Found ice dripping from top of cabinet. Checked to make sure the drain was clear. Removed top plate to inspect where water was coming from. Found spray foam and butyl had overflowed into airway and had ice forming on it and wicking water down to cabinet. Removed overflow and all ice. Observed for 45 minutes to ensure it didn't continue leaking. Observed defrost and proper drain function.</t>
  </si>
  <si>
    <t>Pinged Sarah for eta</t>
  </si>
  <si>
    <t>Send New Tech</t>
  </si>
  <si>
    <t>WO-0606554</t>
  </si>
  <si>
    <t>Houston, TX</t>
  </si>
  <si>
    <t>Dollar General #14858</t>
  </si>
  <si>
    <t>Houston</t>
  </si>
  <si>
    <t>RLN2MA / MY26B016475</t>
  </si>
  <si>
    <t xml:space="preserve">High Temperature Alarm </t>
  </si>
  <si>
    <t>Parts ordered and tech returning with propane</t>
  </si>
  <si>
    <t>Done - Send New Tech</t>
  </si>
  <si>
    <t>WO-0607304</t>
  </si>
  <si>
    <t>Dollar General #22408</t>
  </si>
  <si>
    <t>Angelton</t>
  </si>
  <si>
    <t>5162382</t>
  </si>
  <si>
    <t>RMN5MA/MY26E03940</t>
  </si>
  <si>
    <t>7/7/2026 .Tech support called me after I left. 
7/7/2026 One of the units might be under charged so they asked me to go back with some propaneChecked in with  manager. Located 5 door case. Found unit at temp. Connected to both controllers.  Found all sensors reading properly. Tried to get with tech support but couldnt get a hold of them.  Found 1 torque rod and master that need to repaced. Got with andrew miller we checked all sensors . Will return when parts come in</t>
  </si>
  <si>
    <t>WO-0606498</t>
  </si>
  <si>
    <t>Bolingbrook, IL</t>
  </si>
  <si>
    <t>Dollar General #8773</t>
  </si>
  <si>
    <t>South Bend</t>
  </si>
  <si>
    <t>IN</t>
  </si>
  <si>
    <t>RLN3MA / MY26B016492</t>
  </si>
  <si>
    <t>7/3/2026 2:02AM Please recall the dispatch request, as the case has started returning to normal.
Regards,Product Care Team</t>
  </si>
  <si>
    <t>WO-0605720</t>
  </si>
  <si>
    <t>Dollar General #21664</t>
  </si>
  <si>
    <t>Jacksonville</t>
  </si>
  <si>
    <t>RMN5MA / MY26D033044</t>
  </si>
  <si>
    <t xml:space="preserve">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
</t>
  </si>
  <si>
    <t>ETA is 7/17</t>
  </si>
  <si>
    <t>Return Needed</t>
  </si>
  <si>
    <t>WO-0606044</t>
  </si>
  <si>
    <t>Denver, CO</t>
  </si>
  <si>
    <t>Dollar General #21938</t>
  </si>
  <si>
    <t>Olathe</t>
  </si>
  <si>
    <t>CO</t>
  </si>
  <si>
    <t>TAVANT/Tim Smith (Installation)</t>
  </si>
  <si>
    <t>INTERNAL</t>
  </si>
  <si>
    <t>HUMIDITY SENSOR</t>
  </si>
  <si>
    <t>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t>
  </si>
  <si>
    <t>WO-0605513</t>
  </si>
  <si>
    <t>Angleton</t>
  </si>
  <si>
    <t>RLN3MA / MY26F047534</t>
  </si>
  <si>
    <t>Checked in with manager. Located self contained unit. Found unit at -4 degrees. Right side condenser was not running. Connected to controller. Controller was calling for comp. Started going thru control wiring. Found a wiring issue. Repaired wiring. Started condenser up. Unit dropped to temp. Checked operation of unit. All okay work complete</t>
  </si>
  <si>
    <t>WO-0603741</t>
  </si>
  <si>
    <t>Dollar General #20597</t>
  </si>
  <si>
    <t>Chicago</t>
  </si>
  <si>
    <t>IL</t>
  </si>
  <si>
    <t>RLN3MA / MY26B016493</t>
  </si>
  <si>
    <t>7/1/26 DE Arrived on site and checked in. On site for reach in freezer running warm. Case controllers were reading -8 and -4 upn arrival. Case went into defrost immediately after arrival. Let case run through its natural defrost cycle. After defrost, let case try to pull down to temp. Customers kept opening doors so case was struggling to pull down to temp. Doors were finally left closed long enough for case to pull down. Case temping at -.5 and .1 and still dropping upon departure. No issue found at this time. Cleaned up work area and checked out with manager Sylvia.</t>
  </si>
  <si>
    <t>WO-0603718</t>
  </si>
  <si>
    <t>Dollar General #13069</t>
  </si>
  <si>
    <t>Laurel</t>
  </si>
  <si>
    <t>MS</t>
  </si>
  <si>
    <t>RLN3MA / MY26B016491</t>
  </si>
  <si>
    <t>7/1 Kindly recall the dispatch for below case, as case trends and working seems to be normal, kindly acknowledge here once it is recalled. From Product Care
6/30 Roll call for AM as store closes in 35 minutes</t>
  </si>
  <si>
    <t>WO-0602689</t>
  </si>
  <si>
    <t>Dollar General #20440</t>
  </si>
  <si>
    <t>Sheridan</t>
  </si>
  <si>
    <t>RLN3MA / MY26D032603</t>
  </si>
  <si>
    <t>7/1 checked in with manager . Located rif self contained unit.  Found unit at 18 degrees. Found ice build up on frame of case not allowing doors to close properly. Removed ice from frame , case started dropping to temp.  Started looking into frame heater.  Located anti sweat contoller in top left panel of case.  Found good voltage coming in and out of contoller.  Started tracing wiring for frame heater.  Had to go wire for wire to locate frame heater.  Found that frame heater wasnt wired properly. Fixed wiring.  Frame heater started pulling correct amps , ice melted off frame.  Checked operation of unit. Units are charged properly. Tried to check deforst but controllers were locked out.  Had to get with tech support to download the correct app for carel controllers. Tested defrost. Had to install a self tapper on condenser because ribbits had come loose .  All okay. Work complete</t>
  </si>
  <si>
    <t>Pinged Heidi - ETA was 7/6</t>
  </si>
  <si>
    <t>Unscheduled</t>
  </si>
  <si>
    <t>WO-0601570</t>
  </si>
  <si>
    <t>Dollar General #22149</t>
  </si>
  <si>
    <t>Anton</t>
  </si>
  <si>
    <t>RLN2MA / MY26B014945</t>
  </si>
  <si>
    <t>WO-0600724</t>
  </si>
  <si>
    <t>Dollar General #20100</t>
  </si>
  <si>
    <t>Paulina</t>
  </si>
  <si>
    <t>RLN2MA MY26D029644</t>
  </si>
  <si>
    <t>Checked case and found that the evaporator coil was iced up and it was because there was a box of product that was keeping the door open, so after moving the box and closing the door i had to run the case in multiple defrost. After that case came back down yo temperature and its now running normally.</t>
  </si>
  <si>
    <t>WO-0599879</t>
  </si>
  <si>
    <t>Dollar General #21359</t>
  </si>
  <si>
    <t>Orange</t>
  </si>
  <si>
    <t>5134984</t>
  </si>
  <si>
    <t>RLN3MA / MY26B016014</t>
  </si>
  <si>
    <t>Ice cream is melting and product damaged, water leaking under unit</t>
  </si>
  <si>
    <t>6/26/26 Freezer iced up due to high humidity in area.customer removed all product then i deiced case.defrost heaters working properly.i also cleaned drain pan assembly.also cleaned condenser coils.then put unit it online.frerzer maintaining temperature -8 degrees</t>
  </si>
  <si>
    <t>WO-0599854</t>
  </si>
  <si>
    <t>5140629</t>
  </si>
  <si>
    <t>RLN3MA/ MY26D032603</t>
  </si>
  <si>
    <t>Cooler keeps freezing up, causing door to form ice and it is not closing</t>
  </si>
  <si>
    <t>6/26/26 Arrived on site checked in with manager. Found 3 door case with some ice building up at bottom of door. Removed ice pulled gaskets and set outside in the sun to warm up. Reinstalled and adjusted torque rods on Doors. Doors seem to be Sealing better and can not feel any air leaks. After talking to non-mechanical technician cases may not be leveled correctly. Checked with makeshift plumber Bob and cases seem to be leaning forward. Non-mechanical technicians or installing contractor may need to check level on cases. Cases are out of alarm at this time. Checked out with store m o d work order complete.</t>
  </si>
  <si>
    <t>WO-0600225</t>
  </si>
  <si>
    <t>Dollar General #10520</t>
  </si>
  <si>
    <t>Youngsville</t>
  </si>
  <si>
    <t>RLN3MA / MY26E039362</t>
  </si>
  <si>
    <t>6/27/26 Service call for frozen food micro blocks high temp. Drove to site, checked in, gained access to cases, all 3 micro blocks are working as they should with no alarm, and cases are at setpoint. Serial: MY26D029643 MODEL ID: RLN2MA MODEL ID: RLN3MA SERIAL: MY26E039362</t>
  </si>
  <si>
    <t>WO-0599278</t>
  </si>
  <si>
    <t>Dollar General #13009</t>
  </si>
  <si>
    <t>Wake Village</t>
  </si>
  <si>
    <t>RLN2MA / MY26C019875</t>
  </si>
  <si>
    <t>6/26/26 Arrived onsite to service Hussmann reach-in case. Recovered the existing R-290 refrigerant charge, pulled the system into a deep vacuum, and recharged the system with 3.5 oz of R-290. Restarted the unit and verified proper operation. Case temperature is currently -7°F and maintaining temperature as designed. Unit operating normally at this time.
6/25/26- inspected the system. Checked the airflow. Checked that the compressor was running. Determined that the system was low on R290. Will have Dave return tomorrow to gas up the system.</t>
  </si>
  <si>
    <t>WO-0599624</t>
  </si>
  <si>
    <t xml:space="preserve">Belle Chasse </t>
  </si>
  <si>
    <t>RMN4MA/MY26E039403</t>
  </si>
  <si>
    <t>6/26 Please recall the dispatch requst, as the case has started returning to normal. Regards, Product Care Team 6/25When i got to site i found the evaporator was iced up because the vendor had the doors open as he was installing sliders and fillling it with product, So i tested defrost out and its working normally the case will recover when they are done loading the case</t>
  </si>
  <si>
    <t>WO-0599522</t>
  </si>
  <si>
    <t>COIL ICING</t>
  </si>
  <si>
    <t>RLN3MA/MY26B016493</t>
  </si>
  <si>
    <t>We are observing a coil icing</t>
  </si>
  <si>
    <t>6/25/26 AN Model# RLN3MA Serial# MY26B016493 Drove to site. Arrived on site. Call for frozen 3 door icing up. Found right most door had gasket off at the bottom of the door keeping door open causing moisture to enter into case. Ice was forming on ceiling of case. Reinstalled gasket. Cleared ice forming on door frame. Door is now closing proper. Forced both controllers through multiple defrosts to clear any frost from coils. Cleared as much ice and moisture as possible. Monitored temps. Temps are dropping. At 0 degrees and still dropping. Cleaned up work area. Work complete</t>
  </si>
  <si>
    <t>WO-0598739</t>
  </si>
  <si>
    <t>RPM/Strategic Accounts</t>
  </si>
  <si>
    <t>Dollar General #6987</t>
  </si>
  <si>
    <t>Pinetop</t>
  </si>
  <si>
    <t>AZ</t>
  </si>
  <si>
    <t>5129550</t>
  </si>
  <si>
    <t>RMN4MA/MY26E039399</t>
  </si>
  <si>
    <t>I spoke with Marie (SM) and she said temperature seemed warm and product didn't look good and the temperature gauge was not working.</t>
  </si>
  <si>
    <t>Sub sending in tech notes</t>
  </si>
  <si>
    <t>WO-0597607</t>
  </si>
  <si>
    <t>Dollar General #21342</t>
  </si>
  <si>
    <t>Klamath Falls</t>
  </si>
  <si>
    <t>OR</t>
  </si>
  <si>
    <t>5130014</t>
  </si>
  <si>
    <t>RLN3MA/MY26B016018</t>
  </si>
  <si>
    <t>Major Ice build up on the doors and leaking water on floor</t>
  </si>
  <si>
    <t>Sub confirms complete and will send in tech notes</t>
  </si>
  <si>
    <t>WO-0597498</t>
  </si>
  <si>
    <t>Phoenix, AZ</t>
  </si>
  <si>
    <t>Dollar General #22864</t>
  </si>
  <si>
    <t>Tucson</t>
  </si>
  <si>
    <t>5119317</t>
  </si>
  <si>
    <t>RMN5MA/MY26B016552</t>
  </si>
  <si>
    <t>Not Keeping Temperature</t>
  </si>
  <si>
    <t>Arrived on site and checked in with mod. Cooler reach in at temp upon arrival. Pulled product and panels. Coil free and clear of ice. Fans working. Compressor running. Condenser fan running and clear of dust and debris. Solenoid operational. Superheat ok. Dixell controller working. Correct amount of defrost and defrost time set. Changed high temp alarm from 47° to 65°. Job complete</t>
  </si>
  <si>
    <t>WO-0596795</t>
  </si>
  <si>
    <t>RMN4MA / MY26E039404</t>
  </si>
  <si>
    <t>High Temperature alarm</t>
  </si>
  <si>
    <t>On arrival case was not temping high, checked airflow and confirmed it was good, checked condensing unit and cleaned the small layer of dust I noticed. Also tensioned doors after noticing they do not close by themselves after opening.</t>
  </si>
  <si>
    <t>Scheduled for 6/26 return (DG Manager requested return to check on it)</t>
  </si>
  <si>
    <t>WO-0595748</t>
  </si>
  <si>
    <t>Dollar General #22286</t>
  </si>
  <si>
    <t>Arizona City</t>
  </si>
  <si>
    <t>5123730</t>
  </si>
  <si>
    <t>RLN2MA /MY26B014938</t>
  </si>
  <si>
    <t>Not Working at All - Temp is failing, Ice Cream Melting, Product Damaged</t>
  </si>
  <si>
    <t>Arrived at store checked in with manager checked 2dr freezer and case was running at -6°F talked to manager amd he dont like how temp spikes up 6-8°af after opening door for 10-15 sec case dropps to temp after door closes. Called tech support and spoke with Erik we went through all perameters and chexked temp graph we did find the case is going into 2 defroat back to back. Erik ssaid it ahould be a program issue and that they coulsld do the changes remotely. Case was running at -7° when i left store.</t>
  </si>
  <si>
    <t>WO-0594944</t>
  </si>
  <si>
    <t>5125380</t>
  </si>
  <si>
    <t>High temperature alarm</t>
  </si>
  <si>
    <t>6/19 Arrived at store checked in with manager looked for case mentioned on work summary
RMN5MA
MY26B016552 and there is no case in store with this model# and serial#.  Store did have a issue with a 2dr freezer manager said case was to warm during defrost and temp got upto 48°F and took a long time to drop. Case was running at -9°F when i arrived. Checked defrost perameters and found it was programmed for defroat interval of 6hrs changed that to every 8hrs also found max defrost duration set to 60 min changed that to 25 min also end defrost temp was set to 45° changed that to 36°F after making changes ran system throu a defrost cycle ansd monitored case temp did not go higher then 36°F and after defrost case dropped temp case is running at -5°F when i left store. No other issues present at time of departure
Arrived onsite 06/18/26, checked in with manager on duty. Gained access to case model # RMNAMA serial # MY26B014985. Found temp at 41°. Manager stated that the door had been left open all night because door wouldn't close on its own. Adjusted door to close on its own. Allowed to cool down. Temp dropped to 37° and stalled. Removed inside rop panel to expose evaporator and fans. Fans are operational and there is no ice visible on coils. Reassembled and forced defrost incase there is any ice i couldn't see. Allowed to complete defrost. Refrigeration restarted. Case began to pull down to 35.7, until case attached satisfied. Then temp went up to 36°. Will return for further diagnosis.</t>
  </si>
  <si>
    <t>WO-0594225</t>
  </si>
  <si>
    <t>Dollar General #14386</t>
  </si>
  <si>
    <t>Norman</t>
  </si>
  <si>
    <t>RLN2MA MY26B016452</t>
  </si>
  <si>
    <t>arrived onsite and assited tech in the removal of faulty micro block and installation on new all checks good
Found unit temp at 58°f pull refrigerant out pulled vacuum and recharged 100g of r290 unit still not cooling properly called tech support on unit and they will send new unit to replace this one Returned to install new unit watched temp drop new unit working properly and re addressed to communicate with sc pulse</t>
  </si>
  <si>
    <t>Tech was onsite 6/18 per his notes he must return</t>
  </si>
  <si>
    <t>WO-0594191</t>
  </si>
  <si>
    <t>Dollar General # 13070</t>
  </si>
  <si>
    <t>RMN4MA/MY26B014986</t>
  </si>
  <si>
    <t>WO-0593126</t>
  </si>
  <si>
    <t>5108840</t>
  </si>
  <si>
    <t>RLN2MA MY26B014938</t>
  </si>
  <si>
    <t>Ice Cream is melting</t>
  </si>
  <si>
    <t>Checked in with management upon arrival. Found unit down to temp at -6.0, pulled top panel to inspect the EVAP. It had no ice build up. Inspected the controller parameters. Found it has a defrost pre set of 45 min with a temp termination of 45F (7.2C), lowered the time to 20 min and 37F (2.7C). Put unit back together. Ran through a defrost cycle to verify. No further issues found. Unit temped -2 F before departure.</t>
  </si>
  <si>
    <t>WO-0592610</t>
  </si>
  <si>
    <t>RLN2MA MY26B013813</t>
  </si>
  <si>
    <t>I confirned unit was above temp at approx 16⁰F upon arrival. I verified controller, compressor and both condenser (1) and evaporator (2) fans were function. I confirmed coils were iced up. Checked with Hussmann to confirm theory of operation. I believe a power issue might have caused some controller issue because after a reset the defrost intiated (hot gas) without issue. I maually cleaned coil. I also sealed cracks/opening in the semas of the block. Issue is resolved.</t>
  </si>
  <si>
    <t>WO-0592045</t>
  </si>
  <si>
    <t>Dollar General #23988</t>
  </si>
  <si>
    <t>Kingfisher</t>
  </si>
  <si>
    <t>TAVANT/PRODUCT CARE/5110636</t>
  </si>
  <si>
    <t>STORE CONNECT/FEXA</t>
  </si>
  <si>
    <t>RLN2MA MY26C025304</t>
  </si>
  <si>
    <t>6/23 arrived onsite and replaed hot gas solenoid coil, ran coil thru factory wire casing, turned case, waistedf for case to get to decent temp for system to allow me to put through defrost and test solenoid, ran defrost solenoid worked, made sure temp got down to temp all checks good
6/16 arrived onsite foumd case evaporator iced up, after troubleshooting found hot gas solenoid coil not working has power but not energizing, case still under warranty, spoke to shane he will be filling out and providing the form for performance parts warranty, turned off case will return once part arrived to fix and turn on</t>
  </si>
  <si>
    <t>WO-0592039</t>
  </si>
  <si>
    <t>Dollar General #20107</t>
  </si>
  <si>
    <t>Baytown</t>
  </si>
  <si>
    <t>RMN3MA MY26C025312</t>
  </si>
  <si>
    <t xml:space="preserve">High temperature alarm </t>
  </si>
  <si>
    <t>06-15-26 juan olvera technician dispatch send me one service call for the deer and milk case midel RMN3MA, serial number MY26C025312, first i drove to site job upon arrival check-in with manager, for next i found the case and set up the ladder to check the cases compressor, the case is working, i check the airflow, the coil, case temperature, compressors, and the door, i did not found anything wrong the case is working at 34 Fahrenheit, the defrost is working, condenser fan is working during refrigeration mode, for last i submit pictures in document and I explain to the manager my performance further more this call is complete.</t>
  </si>
  <si>
    <t>WO-0590801</t>
  </si>
  <si>
    <t>Dollar General #13396</t>
  </si>
  <si>
    <t>Coolidge</t>
  </si>
  <si>
    <t>RLN2MA/MY26B016003</t>
  </si>
  <si>
    <t>X</t>
  </si>
  <si>
    <t>High Temperature alarm on cases</t>
  </si>
  <si>
    <t>Arrived at store checked in with manager checked microblock high temp alarm. After troubleshooting found a 2dr freezer microblock running at 10°F. Ran system through a defrost cycle and cleared out all frost that was on evaperator. Monitored unit after defrost. I did notice condenser temp was running arounf 140°F the store has no AC the are using portable ac units and store is really warm. Removed the trim covering condenser and condenser temp dropped to 129°F and temp inside case started to drop a little faster. Case is dropping case got down to 4°F but customers keep openning the doors and temps goes right up.</t>
  </si>
  <si>
    <t>WO-0590856</t>
  </si>
  <si>
    <t>5097913</t>
  </si>
  <si>
    <t>RMN4MA/MY26B016036</t>
  </si>
  <si>
    <t>Freezer is shifting temperatures rapidly and ice cream is soft. Current at 16 degrees and warming. Need a tech sent asap! Thank you.</t>
  </si>
  <si>
    <t>System was in Defrost mode, and case at 36f° when arrived, checked system for airflow and was low, I set system to another defrost to clear up, I also checked parameters and compare it to another case. I found dp1 at 60 min and dp2 at 45 min, so sinve these is hot gas I set it dp1 25 and dp2 at45, also dt1 and dt2 both where 48. Once defrost completed system returned to normal operation and I monitor temp drop til system rwached -1 we have good air flow and with the adjustment these case should be running accordenly now, I checked case was sealed and not getting moisture feom any where on top of case where system is set, no further issues upon departure. System went into eco mode at 2f° so I removed it from it.</t>
  </si>
  <si>
    <t>ON HOLD</t>
  </si>
  <si>
    <t>WO-0589971</t>
  </si>
  <si>
    <t>Bolingbrook, Il</t>
  </si>
  <si>
    <t>Dollar General #11509</t>
  </si>
  <si>
    <t>Harvey</t>
  </si>
  <si>
    <t xml:space="preserve">STORE CONNECT </t>
  </si>
  <si>
    <t>COMMUNICATION</t>
  </si>
  <si>
    <t xml:space="preserve">MY26B016494, RMN4MA/MY26B016536 </t>
  </si>
  <si>
    <t>Communication loss on cases</t>
  </si>
  <si>
    <t>WO-0589876</t>
  </si>
  <si>
    <t>Dollar General #22982</t>
  </si>
  <si>
    <t>Ropesville</t>
  </si>
  <si>
    <t xml:space="preserve">RLN3MA/MY26B016502, MY26B016013, RLN4MA/MY26B014967 </t>
  </si>
  <si>
    <t>ETA 6/15</t>
  </si>
  <si>
    <t>WO-0590766</t>
  </si>
  <si>
    <t>Dollar General #21778</t>
  </si>
  <si>
    <t>Kaufman</t>
  </si>
  <si>
    <t>RLN3MA/MY26D028107</t>
  </si>
  <si>
    <t>Water is pouring down inside from the top - this has already been fixed once</t>
  </si>
  <si>
    <t>WO-0589851</t>
  </si>
  <si>
    <t>Dollar General #22281</t>
  </si>
  <si>
    <t>Hamlet</t>
  </si>
  <si>
    <t xml:space="preserve">RLN2MA/MY26C019876,  MY26B016513, MY26B16019 </t>
  </si>
  <si>
    <t>WO-0588967</t>
  </si>
  <si>
    <t>AIR LEAK IMPROPER DOOR SEAL</t>
  </si>
  <si>
    <t>RLN2MA/MY26B014938</t>
  </si>
  <si>
    <t xml:space="preserve"> having trouble with door leak impacting cooling performance</t>
  </si>
  <si>
    <t>Arrived on site, checked in with manager. Found 2 door icecream case specified in WO description struggling to maintain setpoint with massive temperature swings when door is opened due to poor airlfow caused by a partially iced up evap coil. Ran system through 2 manual defrost cycles in order to completely clear this ice build up and reestablish proper airflow. Found cause of this to be that the defrost time was 15mins instead of 45mins and the termination temp was set at 38°F not 48°F as manufacturer recommended. Made these changes to manufacturer recommendations. Stayed and monitored system after defrost to ensure proper operation. Case is now running at and maintaning setpoint. No further issues found</t>
  </si>
  <si>
    <t xml:space="preserve">HAVE SUZANNE TAKE A LOOK </t>
  </si>
  <si>
    <t>WO-5089345</t>
  </si>
  <si>
    <t>Dollar General #16435</t>
  </si>
  <si>
    <t>Tuba City</t>
  </si>
  <si>
    <t>5092946</t>
  </si>
  <si>
    <t>ELECTRICAL</t>
  </si>
  <si>
    <t>RMN4MA/MY26B013841</t>
  </si>
  <si>
    <t xml:space="preserve">Issue with eletric, need technician to return to reset </t>
  </si>
  <si>
    <t>Return to power on units. New case powered on and achieved desired temp. All existing equipmwnt would not power back on and requires dollar general contractor to diagnose.</t>
  </si>
  <si>
    <t>WO-0589359</t>
  </si>
  <si>
    <t>Dollar General #21135</t>
  </si>
  <si>
    <t>La Marque</t>
  </si>
  <si>
    <t>5092945</t>
  </si>
  <si>
    <t>RMN3MA/MY26B016480</t>
  </si>
  <si>
    <t>Water is leaking under unit</t>
  </si>
  <si>
    <t>06-12-26 juan olvera tech dispatch send me one emergency service call for the beer case leaking water, first I drove to site job upon arrival check-in with manager, for next i remove the bottom panel to check where the water is coming from, the bottom of the case is clear, then i check the drain pan on top of the case and i found the drain pan full of water, so the wayer leaks because drains from the top to bottom, i drain the drain pan and i clean all the remain of the water, then i adjust the door torque rod for all 3 door the same beer case, also there was another water leak for the next frozen food case, i fix that water leak, the pump water hose was disconnect i explain to the manager the second case was not part of the call, for last i explain to the manager my performance, i submit pictures in document and this call is complete.</t>
  </si>
  <si>
    <t>ETA 6/10</t>
  </si>
  <si>
    <t>WO-0588157</t>
  </si>
  <si>
    <t>Dollar General # 13069</t>
  </si>
  <si>
    <t>RMN4MA/MY26B014985</t>
  </si>
  <si>
    <t>ETA 6/11</t>
  </si>
  <si>
    <t>Materials Needed</t>
  </si>
  <si>
    <t>WO-0588762</t>
  </si>
  <si>
    <t>Dollar General #14104</t>
  </si>
  <si>
    <t>RLN2MA/MY26B015990</t>
  </si>
  <si>
    <t>Frozen food 2 door having trouble with door leak impacting cooling performance</t>
  </si>
  <si>
    <t>WO-0587865</t>
  </si>
  <si>
    <t>Davenport, IA</t>
  </si>
  <si>
    <t>Dollar General #14341</t>
  </si>
  <si>
    <t>South Perkin</t>
  </si>
  <si>
    <t>RLN3MA/MY26B016495</t>
  </si>
  <si>
    <t>Checked ice cream freezer and new unit installed had no air flow. Evaporator has thick ice build-up. Checked defrost operation and was not passing power to hot gas defrost solenoid. Went through wiring and found both wires to naturals. Fixed wiring to power and ran through several defrost. Cleared ice buildup and cleaned water out of case. Put back together and back working in normal operation.</t>
  </si>
  <si>
    <t>WO-0587673</t>
  </si>
  <si>
    <t>Dollar General #22799</t>
  </si>
  <si>
    <t>Amarillo</t>
  </si>
  <si>
    <t>5086405</t>
  </si>
  <si>
    <t>RLN3MA/MY26B016006</t>
  </si>
  <si>
    <t>Water is collecting in the top of the cooler as well as inside the cooler. Lights go on and off they do not stay on.</t>
  </si>
  <si>
    <t>WO-0586550</t>
  </si>
  <si>
    <t>Dollar General #2600</t>
  </si>
  <si>
    <t>Quincy</t>
  </si>
  <si>
    <t>5082583</t>
  </si>
  <si>
    <t>RMN3MA/MY26D026820</t>
  </si>
  <si>
    <t>Not keeping the specified temperature, keeps going up and down</t>
  </si>
  <si>
    <t>Door Gasket Needed</t>
  </si>
  <si>
    <t>WO-0586308</t>
  </si>
  <si>
    <t>Dollar General #20654</t>
  </si>
  <si>
    <t>Alvin</t>
  </si>
  <si>
    <t>RLN2MA/MY26B016474</t>
  </si>
  <si>
    <t>6/10 spoke with dispatcher they are trying to find a tech</t>
  </si>
  <si>
    <t>WO-0586957</t>
  </si>
  <si>
    <t>5084774</t>
  </si>
  <si>
    <t>LOW REFRIGERANT ALARM</t>
  </si>
  <si>
    <t>Observing low refrigerant operating condition</t>
  </si>
  <si>
    <t>In Progress</t>
  </si>
  <si>
    <t>WO-0585699</t>
  </si>
  <si>
    <t>TAVANT/PRODUCT CARE/5080714</t>
  </si>
  <si>
    <t>STORE CONNECT/ FEXA</t>
  </si>
  <si>
    <t>RLN3MA/MY26D028108</t>
  </si>
  <si>
    <t xml:space="preserve"> </t>
  </si>
  <si>
    <t xml:space="preserve">The alarm has been active beyond the configured threshold of 60 minutes.  </t>
  </si>
  <si>
    <t>DISASTER FIRE - NO BOS TICKET CREATED YET</t>
  </si>
  <si>
    <t>TBD</t>
  </si>
  <si>
    <t>Dollar General #22711</t>
  </si>
  <si>
    <t>Purvis</t>
  </si>
  <si>
    <t>5079187</t>
  </si>
  <si>
    <t>DISASTER - FIRE</t>
  </si>
  <si>
    <t>RFLN3/MY21D040973 - Unit caught fire - had to turn off</t>
  </si>
  <si>
    <t>6/8 - forwarded the service request to Eileen Petito, cc'd:  Daniel Whited &amp; Amber Fischer</t>
  </si>
  <si>
    <t>WO-0584971</t>
  </si>
  <si>
    <t>Dollar General #1247</t>
  </si>
  <si>
    <t>Trenton</t>
  </si>
  <si>
    <t>5077040</t>
  </si>
  <si>
    <t>CASSETTE</t>
  </si>
  <si>
    <t>RLN4MA/MY26C019909</t>
  </si>
  <si>
    <t>New unit...not holding temp</t>
  </si>
  <si>
    <t>6/4:  Cassette was replaced on Thursday.  6/5:  received service request from DG.  6/8:  Tech found cassette low on refrigerant, to return on Tuesday to complete repair</t>
  </si>
  <si>
    <t>DISASTER</t>
  </si>
  <si>
    <t>WO-0584133</t>
  </si>
  <si>
    <t>Charlotte</t>
  </si>
  <si>
    <t>Dollar General #12955</t>
  </si>
  <si>
    <t>Surfside Beach</t>
  </si>
  <si>
    <t>SC</t>
  </si>
  <si>
    <t>5074947</t>
  </si>
  <si>
    <t>DISASTER - CASE ASSESSMENT</t>
  </si>
  <si>
    <t>ETA 6/4 - Calculated Comfort</t>
  </si>
  <si>
    <t>WO-0583967</t>
  </si>
  <si>
    <t>RLN2MA/MY26C019880</t>
  </si>
  <si>
    <t xml:space="preserve">High Temp Alarm </t>
  </si>
  <si>
    <t>Here are the hand written tech notes. We have not created an invoice yet for any charges. Our tech actually found other problems on site that need attention. Freezer 10 11 and 12 are experiencing drain pump issues...these are the old freedom cases. We are requesting a work order for a return visit to replace the drain pumps. Also another work order for a follow up on the micro block freezer to check the refrigerant charge. They defrosted the frozen evaporator and checked the operation. It is operating correctly at this time. We are requesting another work order for a follow up visit at the same time we replace the pumps on the freedom cases. When our tech got there the pumps had failed to the point there was water on the floor. Thanks, Dave Calculated Comfort </t>
  </si>
  <si>
    <t>WO-0584430</t>
  </si>
  <si>
    <t>Dollar General #21709</t>
  </si>
  <si>
    <t>Eolia</t>
  </si>
  <si>
    <t>5074861</t>
  </si>
  <si>
    <t>DOOR</t>
  </si>
  <si>
    <t>RMN3MA MY26D029152</t>
  </si>
  <si>
    <t>Door remains open or sparks</t>
  </si>
  <si>
    <t>(CS) Found the system wouldn't call for cooling. I checked to make sure the safeties were good and they were. System had freon. I went to try and change the setpoint on the controller, and it was stuck on 178 degrees. I tried to reset and change it and it wouldn't change. Controller needs replaced on this cooler. Submitted parts request for new controller. Come to find out the case is not under warranty and they need to use their normal service contractor. Job is complete on our end NOTE: naissance call on the MY26 case as someone had already fixed and Hussmann was asked to look at a non-warranty case.</t>
  </si>
  <si>
    <t>WO-0584141</t>
  </si>
  <si>
    <t>Dollar General #14306</t>
  </si>
  <si>
    <t>Sacramento</t>
  </si>
  <si>
    <t>CA</t>
  </si>
  <si>
    <t>5074878</t>
  </si>
  <si>
    <t>DISASTER - REMOVAL DISPOSAL</t>
  </si>
  <si>
    <t>Store is closing and need refrigeration removed and disposed of.</t>
  </si>
  <si>
    <t>Internal Purposes Only</t>
  </si>
  <si>
    <t>WO-0583750</t>
  </si>
  <si>
    <t>TAVANT/RPM INSTALLATION</t>
  </si>
  <si>
    <t>SUZANNE</t>
  </si>
  <si>
    <t>CASSETTE,  REPLACEMENT</t>
  </si>
  <si>
    <t>Low Refrigerant Operation Condition</t>
  </si>
  <si>
    <t>**Andrew Miller mentioned cassette replacement, RPM/Rob Starkey stated, failure occurred during start up &amp; waiting for details/equipment information**</t>
  </si>
  <si>
    <t>WO-0583216</t>
  </si>
  <si>
    <t>Dollar General #20336</t>
  </si>
  <si>
    <t>Ardmore</t>
  </si>
  <si>
    <t>5071633</t>
  </si>
  <si>
    <t xml:space="preserve">RLN2MA/MY26B015996 </t>
  </si>
  <si>
    <t>Flashing HA - Up to 28 degrees</t>
  </si>
  <si>
    <t>Case RLN2MA / S/N MY26B015996 is working correctly setpoint is -10 degreees and is at -9.0 degrees. Verified fans / lights / compressor is working correctly with no alarms present on case. Case is holding temp with no issues. Note: Nextech HVAC/R is here at store working on case next to this one.</t>
  </si>
  <si>
    <t>WO-0583040</t>
  </si>
  <si>
    <t>5069343</t>
  </si>
  <si>
    <t>ICE/FROST &amp; LOW REFRIGERANT</t>
  </si>
  <si>
    <t>RLN3MA/MY26B016036</t>
  </si>
  <si>
    <t>Ice build up and Low refrigerant</t>
  </si>
  <si>
    <t>Picked up insulation, silicone, and butyl foam from Uri. Arrived on site, spoke with Mic, and found that one door was sweating and causing the frame to ice over. Found that the anti-sweat function of that door wasn't working, but the other two were. Checked wiring and connections in the raceway and found that the heater plug wasn't fully plugged in. Once I tightened the connection, the heaters on the door started to work. Also insulated and siliconed the top of the box due to air infiltration. The case is now running and operating as designed, and cases are meeting the setpoint of -9 degrees.</t>
  </si>
  <si>
    <t>WO-0583039</t>
  </si>
  <si>
    <t>RLN2MA/MY26B016465</t>
  </si>
  <si>
    <t>Hight Temperature Alarm</t>
  </si>
  <si>
    <t>Store Connect canceled call stating everything was normal</t>
  </si>
  <si>
    <t>WO-0580974</t>
  </si>
  <si>
    <t>Dollar General #21415</t>
  </si>
  <si>
    <t>Sulphur</t>
  </si>
  <si>
    <t>5060356</t>
  </si>
  <si>
    <t>PRODUCT LOSS - EXISTING CASES</t>
  </si>
  <si>
    <t xml:space="preserve">Invalid Temperature reading- cases running warm  - RLN2MA/MY26C019877 &amp;  RLN3MA/MY26D029648 </t>
  </si>
  <si>
    <t>Hussmann Cooler MODEL ID: RFMN5 SERIAL NO MY20D029072 Hussmann Freezer SERIAL NO MY20D029045 MODEL ID: RFLN4 Arrived onsite and spoke with the manager. Inspected the cooler and freezer cases that were experiencing temperature issues. Found the freezer controller setpoint was incorrectly set to 32°F. Adjusted the setpoint to -8°F to match the adjacent freezer case. Syatem recovered to -7 degrees upon departure. Inspected the cooler case that was running at elevated temperatures and located a refrigerant leak at the liquid line hose flare fitting. Loosened the fitting, applied thread sealant, and retightened the connection until the leak was eliminated. Leak detector readings decreased from approximately 500 ppm to 0 ppm, confirming the repair. Added 1.5 lbs of R-448A refrigerant to the system. Upon departure, the cooler temperature recovered from 44°F to 40°F. Also found the adjacent cooler case setpoint incorrectly adjusted to 230°F; reset the controller to 34°F. The cooler temperature recovered from 68°F to 51°F prior to departure. Both cases are operating and cooling properly at this time. Due to elevated product temperatures, full temperature recovery is expected to occur overnight as the product load continues to cool. Caleb S</t>
  </si>
  <si>
    <t>WO-0580946</t>
  </si>
  <si>
    <t>Dollar General #6372</t>
  </si>
  <si>
    <t>Petal</t>
  </si>
  <si>
    <t>5060355</t>
  </si>
  <si>
    <t xml:space="preserve">RLN3MA/MY26C019883, RMN4MA/MY26B016031 </t>
  </si>
  <si>
    <t xml:space="preserve">Not Keeping Specified Temp </t>
  </si>
  <si>
    <t>RMNAMA Serial #MY26B01603, cycled power to both units. Units back online, temps ok. RLN3MA Serial #MY26C019883, cycled power to units, back online. Temps ok.</t>
  </si>
  <si>
    <t>WO-0580073</t>
  </si>
  <si>
    <t>Dollar General #20582</t>
  </si>
  <si>
    <t>RLN3MA/MY26B014956</t>
  </si>
  <si>
    <t xml:space="preserve">High Temperature alarm </t>
  </si>
  <si>
    <t>Arrived on site checked in with manager. Found frozen food case running warm but not in alarm. After further inspection found left door not closing properly. Adjusted door and it is now closing as intended. Also noticed ice build up on left hand return air penetration. Ran both condensing units through defrost and removed ice. Checked top of case and found wet spot between micro block and top of case. Cleaned water and use silicone to seal between case and micro block. Put case back together and waited for case to reach set point. Checked out with manager work order complete</t>
  </si>
  <si>
    <t>ETA is 6/1</t>
  </si>
  <si>
    <t>WO-0580512</t>
  </si>
  <si>
    <t>Dollar General #14347</t>
  </si>
  <si>
    <t>TAVANT/ANDREW MILLER</t>
  </si>
  <si>
    <t>ANDREW MILLER</t>
  </si>
  <si>
    <t>WATER ICING ISSUE</t>
  </si>
  <si>
    <t>WO-0578039</t>
  </si>
  <si>
    <t xml:space="preserve">Dollar General #12799 </t>
  </si>
  <si>
    <t>Wichita</t>
  </si>
  <si>
    <t>KS</t>
  </si>
  <si>
    <t>4988413</t>
  </si>
  <si>
    <t>DISASTER - MOVE CASES</t>
  </si>
  <si>
    <t>Below are the details for a new service call.  
o Site Name/#: Dollar General 12799
o Address:  1624 E Central Ave Wichita, KS
o Store Hours:  8am – 9pm (store will not stay past closing) 
o NTE: $1,500
o PO: 4988413
o Problem: Check In/Out with Store 
**need this 5 door Hussmann cooler unit moved out 4-5 ft in order to complete interior repairs. Units need to stay powered on, if possible.
Building has large hole on the side of building. Coolers in front of large hole no one can get in form hole, but maybe an animal could.
Manager on Duty OBTAIN A SIGNATURE ON SERVICE TICKET &amp; NOTE FIRST AND LAST NAME. 
Hussmann Equipment ONLY: &lt;insert issue&gt;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Invoices must be sent within 30 days of repair completion date to both April.marolf@hussmann.com and the dg.service@hussmann.com emails. 
Send repair status with a brief work summary BEFORE leaving the location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 
A qr code on a white background
AI-generated content may be incorrect. 
A qr code with a box
AI-generated content may be incorrect.</t>
  </si>
  <si>
    <t>WO-0576129</t>
  </si>
  <si>
    <t>Dollar General #6996</t>
  </si>
  <si>
    <t>RMN4MA/MY26D028118</t>
  </si>
  <si>
    <t>5/23/26 Checked in with management , walked store and found a cases at temp , checked all cases ID tag to verify case called in running warm , located case and found case at temp , checked air flow , spoke with management and found out store experienced a power outage do to storm , all case back online and at temp , all checks out at this time.</t>
  </si>
  <si>
    <t>6/8 Tech scheduled for 6/18
6/2 Andrew is sending parts to tech
6/1 checked with brach. Tech reached out to Andrew 5/22 and is waiting for response. Pinged Andrew.</t>
  </si>
  <si>
    <t>WO-0575409</t>
  </si>
  <si>
    <t xml:space="preserve">Dollar General #10339 </t>
  </si>
  <si>
    <t>Casa Grande</t>
  </si>
  <si>
    <t>5036631</t>
  </si>
  <si>
    <t>RLN2MA/MY26B016459 (same case from 5/5)</t>
  </si>
  <si>
    <t>5/22 @ 7:57am - Check In/Out with Store Manager on Duty &amp; Obtain Signature  Hussmann R290 Microblock Equipment ONLY:  RLN2MA, MY26B016459 Not working at all.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</si>
  <si>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Found 2 door freezer high temp at 33 degrees. Found no air flow to case. Found evaporater iced up. Ran system theough serveral defost and used hot water from spray pump. Found case not draining. Drain line was plugged with foam spray inside drain line. Was able to remove with long screwdriver. All defrost operations working properly. Found right door gasket laying over and not sealing properly Need new door gasket. Possible micro block may need new seal around cabinet. Got unit back on line and monitored temps. D/A 5.3 degrees and dropping. Alarm clear on departure. Need to f/u on system to make sure system is defrosting properly</t>
  </si>
  <si>
    <t>WO-0575297</t>
  </si>
  <si>
    <t xml:space="preserve">Dollar General #19997 </t>
  </si>
  <si>
    <t>Buckeye</t>
  </si>
  <si>
    <t>TAVANT/PRODUCTCARE</t>
  </si>
  <si>
    <t>RMN4MA/MY26B016517</t>
  </si>
  <si>
    <t>YES</t>
  </si>
  <si>
    <t>5/22 @ 6:07am - Response : Priority: P1-Immediate
Job Scope: HIGH TEMPERATURE 
Tech must obtain a photo of the equipment tag that includes Model &amp; Serial Number on the Case and Condensing Unit (Tecumseh). Please review and Confirm the Checklist items below:
We are observing a High Temperature Alarm on the Serial number MY26B016517, RMN4MA, Left &amp; Center/Right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</si>
  <si>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Found left side of case high temp alarm. Found left door open on arrival. Had to adjust torque rod to get door to close properly. Monitored temps. D/A 38 degrees and dropping. Alarms clear on departure Resource: Ramond Ramirez
Found left side of case high temp alarm. Found left door open on arrival. Had to adjust torque rod to get door to close properly. Monitored temps. D/A 38 degrees and dropping. Alarms clear on departure Resource: Ramond Ramirez</t>
  </si>
  <si>
    <t>WO-0573996</t>
  </si>
  <si>
    <t>CAREL CONTROLLER, PROBES</t>
  </si>
  <si>
    <t>PRODUCT LOSS - 2 LT, ICE CREAM</t>
  </si>
  <si>
    <t>RLN2MA/MY26B015992 (not pulling up in PP)</t>
  </si>
  <si>
    <t>Not working at all - all the ice cream is melted</t>
  </si>
  <si>
    <t>5/21/26 I arrived and spoke with the manager. Read the alarms on the carel aplica mobile app, alarms listed were probe 1, probe 2, &amp; control probe fault. Called Hussmann tech support. Found, the probe 1, probe 2, &amp; control probe— plug disconnected from the controller. Disconnected the power to the unit, plugged in that said- plug to the respective receptacle on the controller, reconnected the power, watched the case pull down, currently the case is at 0.5° Fahrenheit, no longer in alarm, and pulling down to temperature setpoint. Remounted and re-fastened the cover over the control box. Cassette Model# ALX44U-DS3B01 Serial# 04E0226121673 Case Model# RLN2MA Serial# MY26B015992</t>
  </si>
  <si>
    <t>Suzanne Finding Someone to Run</t>
  </si>
  <si>
    <t>WO-0574005</t>
  </si>
  <si>
    <t>Dollar General #21223</t>
  </si>
  <si>
    <t>Santa Anna</t>
  </si>
  <si>
    <t>5031586</t>
  </si>
  <si>
    <t>ICE/FROST</t>
  </si>
  <si>
    <t xml:space="preserve">RLN2MA MY26B014946 </t>
  </si>
  <si>
    <t>Starting to Drip Frozen</t>
  </si>
  <si>
    <t>WO-0572389</t>
  </si>
  <si>
    <t>Dollar General #7231</t>
  </si>
  <si>
    <t>Springfield</t>
  </si>
  <si>
    <t>NOISE</t>
  </si>
  <si>
    <t>Case is making a beeping sound</t>
  </si>
  <si>
    <t>Checked in with manager. Upon arrivial i found only one case not operating and it is a medium temp case. The serial number is not a MY26 it is a MY19. I talked to hussmann warranty department and found out this case is NOT under warranty. I was instructed to not work on this unit because its not under warranty.</t>
  </si>
  <si>
    <t>WO-0571130</t>
  </si>
  <si>
    <t xml:space="preserve">Response : Priority: P1-Immediate(0-24 Hours) 
Job Scope: HIGH TEMPERATURE We are observing a High Temperature Alarm on the Serial number MY26B016493, RLN3MA, Left/Center/Right  Microblock case at the above-mentioned location. The alarm has been active beyond the configured threshold of 60 minutes. </t>
  </si>
  <si>
    <t>Drove to store, checked in with manager. On site for 3 door frozen unit running warm. Upon inspection found center door being held open by right hand door door heater wire bushing that hand come out of door frame. Reinstalled. Cleared ice around door. Door now closing properly forced defrost on both units to clear any frost build up on evaporator. Coils clear, defrost operation normal. Case now has good airflow. And at setpoint. Work complete.</t>
  </si>
  <si>
    <t>WO-0570321</t>
  </si>
  <si>
    <t>WATER LEAK</t>
  </si>
  <si>
    <t>Leaking Water and forming on all products inside</t>
  </si>
  <si>
    <t>May 18 2026. Checked in with manager kelly hunter. Work order was for water leaking inside the case. Located case. Verified case was microblock and took pictures of case and condensing unit data tags. Saw that there was ice on one of the glass doors as well as on the shelves and the ceiling of the case. Verified door heaters were operational. Cleared ice from the door. I then removed the ceiling to see where water might be coming from. Found ice buildup underneath where the drain line leaves the case and goes to the condensate pan under the condensing unit. Checked condensing unit. Found a pile of bolts and screws inside the condensate pan blocking the drain line. Removed the obstruction then put case in defrost. Defrost operational. I found water leaking out from the area where the drain leaves the evaporator. Used silicone sealant to seal around the area. Water stopped. I then took case out of defrost. Had manager remove product from shelves so i could clear the ice off. Put case back together. No other issues found. Checked out with m.o.d</t>
  </si>
  <si>
    <t>WO-0570508</t>
  </si>
  <si>
    <t>Dollar General #14928</t>
  </si>
  <si>
    <t>TAVANT/PRODUCT CARE/INSTALLATION</t>
  </si>
  <si>
    <t>RPM/ROB S.</t>
  </si>
  <si>
    <t>RLN2MA/MY26D02809, RLN3MA/MY26D03141</t>
  </si>
  <si>
    <t xml:space="preserve"> Cases were recently installed &amp; no longer working…customer schedule to have product delivered tomorrow.</t>
  </si>
  <si>
    <t>WO-0569146</t>
  </si>
  <si>
    <t xml:space="preserve">Dollar General #21130 </t>
  </si>
  <si>
    <t>White City</t>
  </si>
  <si>
    <t>FR54400</t>
  </si>
  <si>
    <t>RLN3MA/MY26C019887</t>
  </si>
  <si>
    <t>There is a block of ice on the inside at the top of the unit, Not keeping the specified temperature</t>
  </si>
  <si>
    <t>Evaporator leaked water down inside the case. We chipped off the ice out of the case. We found that the drain was pointed upwards because wire conduit was run below the drain line. We re-ran the conduit above the drain to the lower the drain tube.</t>
  </si>
  <si>
    <t>WO-0568891</t>
  </si>
  <si>
    <t>Oxford</t>
  </si>
  <si>
    <t>FR54401</t>
  </si>
  <si>
    <t>RLN3MA/MY26B013828</t>
  </si>
  <si>
    <t>Arrived to check the 3 door freezer case for being high temp. Found it running defrost far to long for being hot gas. Found the parameters on the controller were not correct. Adjusted as necessary. Pulls down much quicker after defrost now. Job complete.</t>
  </si>
  <si>
    <t>DISASTER
5/29 emailed team for an update
5/14 Jerry sent email requesting survey</t>
  </si>
  <si>
    <t>Accepted</t>
  </si>
  <si>
    <t>WO-0569339</t>
  </si>
  <si>
    <t>Gulf</t>
  </si>
  <si>
    <t>Dollar General #25390</t>
  </si>
  <si>
    <t>Homer</t>
  </si>
  <si>
    <t>GA</t>
  </si>
  <si>
    <t>DISASTER - DAMAGED UNITS</t>
  </si>
  <si>
    <t>FR54399</t>
  </si>
  <si>
    <t>RFLN4/MY23K092022,  RFLN5/MY23K092026</t>
  </si>
  <si>
    <t>VH  &amp; units damaged- need to dispatch for replacement; Per Nextech - The cases have been patched up as well as could be. There are still air penetrations and ice forming in different spots on the case, including the back side. The impact looks to have been sufficient that I would say that the insulation between the paneling has been broken apart. I don’t see them as fully repairable.   Thanks, Kendra</t>
  </si>
  <si>
    <t>WO-0568437</t>
  </si>
  <si>
    <t>TAVANT/PRODUCT CARE - RECALL</t>
  </si>
  <si>
    <t>RECALL - issue still persists - coil icing</t>
  </si>
  <si>
    <t>Arrived at store and checked in with manager. Upon arrival the case hasno visible signs of icebuild up. Opened top panel inside of the case and checked evap coil and found the top half of the coil was iced up. Ran case through multiple defrost to clear ice and defrost sensor never showed above 31 degrees. Checked over micro block unit and noticed there was alot of water coming out of the liquid line penitration. The penitration isnt fully sealed to the outside. Shut unit down. Removed microblock box over evap coil and found the end of the coil is still iced up. Deiced the rest of the coil and checked sensor locations are both correct and defrost sensor was covered in ice which explains why it wouldnt go any higher. Applied more butyl to the bottom of the box along with over the line penitrations to seal them both. Reset box over evap coil and started unit back up. Case is now back down to temp and defrost time has been adjusted to 45min from 40 minutes to help keep the coil clear.</t>
  </si>
  <si>
    <t>WO-0568430</t>
  </si>
  <si>
    <t>REFRIGERANT, LEAK</t>
  </si>
  <si>
    <t>RLN3MA/MY26B016004</t>
  </si>
  <si>
    <t>RECALL - issue still persists - lack of refrigerant</t>
  </si>
  <si>
    <t>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</si>
  <si>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WO-0568428</t>
  </si>
  <si>
    <t>Dollar General #22613</t>
  </si>
  <si>
    <t>Hereford</t>
  </si>
  <si>
    <t>RLN2MA/MY26B014941</t>
  </si>
  <si>
    <t xml:space="preserve">RECALL - issue still persists - lack of refrigerant
</t>
  </si>
  <si>
    <t>Frozen meats 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</si>
  <si>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WO-0568415</t>
  </si>
  <si>
    <t>RECALL - Issue still persists - coil icing</t>
  </si>
  <si>
    <t>Dwain Taylor - Tech Notes Arrived on site checked in with site manager Located unit in question documented case temp Upon arrival at −6.3° continued inspection verified airflow was adequate , clear and unobstructed continued inspection verified condenser coil is clean verified compressor was pulling correct amperage verified that unit top Evaporator cover was sealed with no loss of air flow at this time ran system through manual defrost verified operation of defrost is correct verified time of defrost and termination is correct verified restart of unit watch temperature drop temperature dropped approximately to −8.8° Found no issues with this unit at this time..</t>
  </si>
  <si>
    <t>5/13 Per Suzanne send to Specrite
5/13 Per Ashley she is checking with management and getting a tech out</t>
  </si>
  <si>
    <t>WO-0568707</t>
  </si>
  <si>
    <t>Dollar General #31905</t>
  </si>
  <si>
    <t>Grand Prairie</t>
  </si>
  <si>
    <t>DEVIN SUMMERS/TIM SMITH</t>
  </si>
  <si>
    <t>TIM SMITH</t>
  </si>
  <si>
    <t>RFLN3/MY24A007599, RFLN4/MY24B011485</t>
  </si>
  <si>
    <t>Hussmann Freedom Line 3 total cases – out of warranty:   Two Freezer Cases RFLN3/MY24A007599 – RFLN4/MY24B011485 have no digital temperature reading &amp; don’t know what the temperature suppose to be.  One Cooler Case RFMN3/MY22B019861 is reading 48 degrees and the breaker boxes are not labeled.  Confirm cases are programmed, operational &amp; correct temperature.</t>
  </si>
  <si>
    <t>5/12 Suzanne determining who will run</t>
  </si>
  <si>
    <t>WO-0568634</t>
  </si>
  <si>
    <t>Dollar General #3270</t>
  </si>
  <si>
    <t>San Angelo</t>
  </si>
  <si>
    <t>RLN3MA/ MY26B016488, CENTER/RIGHT</t>
  </si>
  <si>
    <t>Per Suzanne - Store reports no issues, close ticket</t>
  </si>
  <si>
    <t>WO-0567300</t>
  </si>
  <si>
    <t>RLN3MA/MY26B014958</t>
  </si>
  <si>
    <t>RLN3MA MY26B014958 ALARM SHOWING HIGH TEMPERATURE</t>
  </si>
  <si>
    <t>Arrived manager stated the line up on the east side of wall frozen foods is not hold temp also the right corner 4 door case with 2 condensors. Checked the set points for the right corner line up and they were all set to 23 degrees. Went into control and placed set point based off manufacture recommendations -5. Temps started to come down. The corner 4 door case the controller kept on reading 0000. Tried to get through controller to enter passcode to view set points was unable to set set points at time went ahead and disconnected controller and reconnected then display came on and worked to change set point to -5. Temps on that case began to come down. Condensor fans are spinning along with evap fans. Did not see potential leaks used leak detector. Placed into manuel defrost and condensor fans shut off. Cleaned condensor coils with nitrogen on all condensors on right wall line up and 4 door right corner case</t>
  </si>
  <si>
    <t>WO-0566374</t>
  </si>
  <si>
    <t>Grand Rapids, MI</t>
  </si>
  <si>
    <t>Dollar General #20639</t>
  </si>
  <si>
    <t>RLN3MA/MY26B016016</t>
  </si>
  <si>
    <t xml:space="preserve">HIGH TEMPERATURE </t>
  </si>
  <si>
    <t>When I arrived the cases were at 5 degrees. Checked for air obstruction and it seemed to be fine. One of the doors was not tensioned and there was reason to believe it was left open which caused the alarm. I tightened the door so it now closes properly and the cases were -3 when I left.</t>
  </si>
  <si>
    <t>WO-0565337</t>
  </si>
  <si>
    <t>PRODUCT LOSS - 3 LT,  FROZEN FOOD</t>
  </si>
  <si>
    <t>RLN3MA MY26B013826</t>
  </si>
  <si>
    <t>HIGH TEMPERATURE Product line Serial Number Module Assets Model Alt Name: Microblock MY26B013826 Left RLN3MA Frozen food 5 Center/Right</t>
  </si>
  <si>
    <t xml:space="preserve">5/8 Arrived on site and checked in. Unit had cleared a lot of water and was tmde iced. Turned back on and turned back on lights and antisweats. Unit pulled right down to temp, cycling normally. Has defrost operating normally. Spoke with jeff and decided that if unit ices up again in the future we will replace removable deck unit with a new one. WO complete.
5/7 Tried to de ice system but there is significant ice build up on coil. Due to design of microblock units i could not manually de ice. Had to shut off unit and will return on Friday morning to turn back on after ice has melted out. </t>
  </si>
  <si>
    <t>WO-0564555</t>
  </si>
  <si>
    <t>Dollar General #10339</t>
  </si>
  <si>
    <t>RLN2MA MY26B016459</t>
  </si>
  <si>
    <t>We are observing a High Temperature Alarm on the Serial number MY26B016459, RLN2MA, Left Microblock case at the above-mentioned location. The alarm has been active beyond the configured threshold of 60 minutes.</t>
  </si>
  <si>
    <t>5/5 Arrived at store and checked in with manager. Made my way back to new 2door microblock freezer. Found it was running warm due to all the product stuck inside the case. All the product is blocking the air flow. Store had to over load the case due to the one of the 3 door freezers being down. Also the cant use their over flow freezer in the back room because the electrician changed the outlet for it from a twist lock to a normal 3 prong plug. Ran case through 2 long defrost to male sure the evap coil is clear of ice. Temp is at 10 degrees upon departure. Will follow back up once new controller for the down 3 door arrives.</t>
  </si>
  <si>
    <t>WO-0564924</t>
  </si>
  <si>
    <t>Dollar General #13631</t>
  </si>
  <si>
    <t>Quartzsite</t>
  </si>
  <si>
    <t>TAVANT/J BUDIK</t>
  </si>
  <si>
    <t>RPM/SUZANNE B.</t>
  </si>
  <si>
    <t>NUISANCE</t>
  </si>
  <si>
    <t>RMN4MA/MY26D028116</t>
  </si>
  <si>
    <t>Hussmann R290 Microblock Case:  Beverage Case – RMN4MA, possible undercharged and/or refrigerant leak.  Tech must pick up R290 before heading to store.</t>
  </si>
  <si>
    <t>Upon arrival found everything working proper, customer stated someone was here this morning and was doing something on top but didn't know who or what, leak checked eberything and no leaks found. Monitored operation for a dozen cycles and both condensers turn on @40* and shut off @30*, checked all electrical connections, evaporator coils and motors, checked condenser coils and motors. Refrigeration cycle from 40* to 31* is 4.5 minutes. All pictures are attached in BOS.</t>
  </si>
  <si>
    <t>Installation Team handled</t>
  </si>
  <si>
    <t>WO-0563528</t>
  </si>
  <si>
    <t>BMS PLUG</t>
  </si>
  <si>
    <t>RLN2MA MY26B016003</t>
  </si>
  <si>
    <t xml:space="preserve"> Not working at all. Lights on unit warm inside.</t>
  </si>
  <si>
    <t>5/5There’s been some miscommunication from the factory to installation team for this location…  Please DO NOT order BMS plug, this will be addressed by the Installation Team.   
Close out ticket, submit to Tavant:  add note to description of claim – Sales/Factory did not add the BMS Plug to 2 Door Case replacement shipment &amp; another order was placed without knowledge to service team before customer placed the service request.   
5/4 Arrived at store and checked in with manager. Made my way over to hussmann 2 door freezer. Found the breaker on the electrical box was turned off. The installer also removed the BMS plug for the sensor/communication wire and I believe that is why they left the breaker off. Turned breaker on and monitored case and it has dropped down to 0.6 degrees and still dropping. Cycled case through defrost as well no issues found. Will get new BMS plug ordered and follow up to replace.</t>
  </si>
  <si>
    <t>59e6d1e0-4743-f111-88b4-70a8a59001d5</t>
  </si>
  <si>
    <t>5fwVqsBfxF8ffzogfVx71CXSfzifEdaEI+87xbb0fc8BN+hr8nDT75EadCNoX1zp9qeQGF4pvNVVteaRvrNdpQ==</t>
  </si>
  <si>
    <t>DISASTER
5/29 sent email to team for update
4/29 Jerry creating quote</t>
  </si>
  <si>
    <t>Pending Quote</t>
  </si>
  <si>
    <t>WO-0561350</t>
  </si>
  <si>
    <t xml:space="preserve">Dollar General #24243 </t>
  </si>
  <si>
    <t>Starkville</t>
  </si>
  <si>
    <t>4971334</t>
  </si>
  <si>
    <t>DISASTER:  CASE(s) REPLACEMENT &amp; INSTALLATION</t>
  </si>
  <si>
    <t>CASES</t>
  </si>
  <si>
    <t>Dollar General requesting Hussman's Assistance:
Due to car hit damage, Nextech has advised:
ALL 3 Of Units needing replacements
RIF1
HUSSMAN
MY22H084731
RFLN5
RIF 2
HUSSMAN
MY22K088659
RFLN4
RIC4
HUSSMAN
MY22K090785
RFMN4
Please dispatch for replacement.  Thanks, Kendra</t>
  </si>
  <si>
    <t>1470bcbf-3b43-f111-88b4-70a8a59001d5</t>
  </si>
  <si>
    <t>E7KM7qXbsdfpvfJwveq/VdTqahZc/5yTtZlwSarywFxAfNNnQ1wzrL3nfHYG8LqLe0EyU4cbgT8pXadn/6cucg==</t>
  </si>
  <si>
    <t>CASE ASSESSMENT
ETA is July
5/8 Quote entered into FEXA &amp; APPROVED
5/1 Tech did assessment, waiting on quote or further direction</t>
  </si>
  <si>
    <t>Materials Ordered</t>
  </si>
  <si>
    <t>WO-0561294</t>
  </si>
  <si>
    <t>Charlotte, NC</t>
  </si>
  <si>
    <t xml:space="preserve">Dollar General #9929 </t>
  </si>
  <si>
    <t>Townville</t>
  </si>
  <si>
    <t>4970415</t>
  </si>
  <si>
    <t>CASE ASSESSMENT</t>
  </si>
  <si>
    <t>Hussmann Cases – 5 qty Cases:   RFLN4/MY23f057380 ~ RFMN4/MY23h081991 ~ RFLN4/MY23C028835 Ice cream ~ IDF5SM8TE/MY23g064419 Open Air Meat &amp; IDF5SM12TE/MY23HO73441 Open Air produce:  Tech must perform a thorough inspection of each case, take pictures of any damage/findings (water leak/refrigerant leak/damage, ect…) and list repairs needed for each case. Look below for items to check for on the cases and previous repairs performed by others.   Any questions, contact Suzanne/Hussmann Account Manager @ 206-255-7674. 
Items to look at:
-	Store temperature &amp; Humidity by the cases
-	Any air from vents/door on the Open-Air Cases
-	Check case temperatures
-	Defrost
-	Programming of controller, ensure it’s program to spec
-	Product is below the product line/not blocking vents
-	Reach in doors closing/sealing properly &amp; gasket in good condition
-	Condensate drain/pan conditions
-	List repairs needed for each case, need to submit proposal
-	Tech MUST take pictures of any damage/findings (leaking water, refrigerant leak, damage to case, ect…)
•             IDF5SM12TE/MY23HO73441 Open Air cooler produce?
o            11/19/24-11/21 replaced fan blade
o            11/29/24-12/16 compressor
o            2/12/25-2/12 condensate pump line clogged
o            3/24/25-3/26 condensate pump line air bubble
o            5/15/25-5/16 water leaking. Tech found nothing.
o            5/31/25-6/5 frozen over and making noise.
o            6/22/25-6/27 frozen due to fan shroud off.
o            7/3/25-7/7 fan clanging and water leaking. Cleared tubing again
o            7/12/25-7/15 water pan full again. Tech shortened hose again
o            7/15/25-7/16 duplicate
o            7/30/25-8/6 cooler basin full of water AGAIN
o            8/8/25-8/11 replaced condensate pump
o            10/30/25-11/18 leaking. Replaced condensate pump
o            3/12/26-3/16 leaking. Replaced condensate pump
o            4/15/26 tech found unit leaking and fixed on site same day.
•             IDF5SM8TE/MY23g064419 Open Air meat cooler
o            2/19/26-2/20/26 water leak. Condensate pump cleaned and tubes.
o            4/14/26-4/16/26 pump replacement
•             RFLN4/MY23C028835 Ice cream walk in
o            7/12/25-7/27 replaced terminal
o            8/11/25-8/13 replaced contactor and controller
o            8/28/25-8/30-8/29 ice build up between doors.
o            10/31/25-11/6 ice build up between doors. Rewired.
o            11/14/25-11/18 replaced condensate pump
o            1/15/26-1/19 tightened wires. Puddles and freezing
o            3/1/26-3/12 replace door frame heaters
o            3/16/26-3/19 not holding temp. fixed wiring
o            4/6/26 open ticket. Replacing frame heater leaking.
•             RFLN4/MY23f057380
•             RFMN4/MY23h081991</t>
  </si>
  <si>
    <t>d4d7c48b-4642-f111-88b5-000d3a57f875</t>
  </si>
  <si>
    <t>6ijwTb/9fTwly/teL3uyRmAyl9r2IiwPgeyuu995of7NElE4XxQP0ThQqA9kfwKEQdf3Zf7iKyrWaFaPq4z9vA==</t>
  </si>
  <si>
    <t>Emailed Branch to close ticket</t>
  </si>
  <si>
    <t>WO-0560039</t>
  </si>
  <si>
    <t xml:space="preserve">Dollar General #20582 </t>
  </si>
  <si>
    <t>4967141</t>
  </si>
  <si>
    <t xml:space="preserve">WATER LEAK &amp; DOOR </t>
  </si>
  <si>
    <t>DOOR REPLACEMENT - WARRANTY</t>
  </si>
  <si>
    <t>RLN2MA/MY26B016475</t>
  </si>
  <si>
    <t>3 units REG* RLN2MA- MY26B016476 Leaking.  Tech MUST obtain Store Temperature &amp; Humidity Readings.   Take picture or write in ticket the CASE &amp; CONDENSING UNIT equipment tag (model &amp; serial #).
o Store Hours:  8am – 9pm (store will not stay past closing)
o Overtime Approved: NO
o Problem: Check In/Out with Store Manager on Duty &amp; Obtain Signature
Hussmann R290 Microblock Equipment ONLY: RLN2MA- MY26B016476 Leaking.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
Problem: MY26B014956   "Leaking
Check In/Out with Store Manager on Duty &amp; Obtain Signature
Hussmann R290 Microblock Equipment ONLY: Model#: RLN3 
Serial # MY26B014956 "Leaking
Factory Order #: 901021
Ship Date: 2026-00-23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t>
  </si>
  <si>
    <t>5/Helped tech Ray Rueda check out self contain cases leaking water , case kn back wall leaking water do to built up ice and gap between end panel and bottom of case bottom and case on side wall leaking water condensation down wall do to split insulation , reglued insulation and taped with insulation tape.
***Unable to check out of call***
4/30Arrived onsite checked in with the store manager after talking withanager found case that were leaking had to use 6ft ladder to get on top of cases to checked drains and drain pans after looking at units found one unit to have a broke insulation on the suction line insulating was ripped had water build up and would run down the back wall onto the floore making big puddle of water so pulled back line fixed insulation with glue and insulation tape found other case to be leaking air on the outside that is leaking air from the inside blowing -10 defree air on outside panel causing it to sweat and make a ice ball on outsode of case all pucs are attached to wo will need to return with caulkinh and seal case properly were there will be no air escaping from unit causeing outsode to sweat and make water on floore will need to get with manager to see if install crew needs to return to properly seal case Resource: Ray Rueda</t>
  </si>
  <si>
    <t>ec5d0a06-3442-f111-88b5-000d3a57f875</t>
  </si>
  <si>
    <t>4sMxHfUJPecD40IcqEl9h9vp+HqORfRCwfUb/lezp2HGhQIKWh42QAJpyebo3nLCJQiXfKF5u9bLZDOGRGYFlw==</t>
  </si>
  <si>
    <t>WO-0559894</t>
  </si>
  <si>
    <t xml:space="preserve">Dollar General #21342 </t>
  </si>
  <si>
    <t>CASSETTE, UNDERCHARGE</t>
  </si>
  <si>
    <t>REFRIGERANT</t>
  </si>
  <si>
    <t xml:space="preserve">RLN3MA/MY26B016018, LEFT </t>
  </si>
  <si>
    <t xml:space="preserve">Hussmann R290 Microblock Equipment ONLY: HIGH TEMPERATURE
 We are observing a High Temperature Alarm on the Serial number MY26B016018, RLN3MA, Left Microblock case at the above-mentioned location. The alarm has been active beyond the configured threshold of 60 minutes.
</t>
  </si>
  <si>
    <t>In regards to PO# TAVANT/ PRODUCT CARE Dollar General Store #21342 5927 S 6 th Street Klamath Falls Or 97603 (which is 1 1/2 hour drive from our location) Our tech got on site on 4/27/26 and found the left microblock condenser on the 3 door freezer was 20 deg higher than the right side. He contacted tech support and confirmed the unit was low on freon. R290. Tech support told him to weld in a service port so we could add refrigerant. Our tech did not have a service port at the time. We had to re schedule this call. On 5-1/26' our tech went on site and attached a service port to the pigtail on the compressor. He recovered existing refrigerant....pressure tested the system with magnets on both solenoid valves evacuated the system down to 454 microns and recharged the system with 100 grams of R290 refrigerant. The system was previously maintaining at 11Deg F and was at -4 deg and dropping in temp.</t>
  </si>
  <si>
    <t>2ca1fee9-3e3f-f111-88b5-000d3a1d8d04</t>
  </si>
  <si>
    <t>hHujeJXLfj+DWeoZkHXT4K7txkk26WXJATdCAoYCxlFvO+DifBNuxSh4sWRHx0h1Q4l1qXlrSF9rrZebftg60Q==</t>
  </si>
  <si>
    <t>WO-0558220</t>
  </si>
  <si>
    <t xml:space="preserve">Dollar General #3294 </t>
  </si>
  <si>
    <t>Galena</t>
  </si>
  <si>
    <t>4854060</t>
  </si>
  <si>
    <t>DISASTER MOVE CASES &amp; MOVE BACK</t>
  </si>
  <si>
    <t>5/8 INSTALLED CASES, TRIMMED, WIRED, STARTED, SET CASES BACK IN ORIGINAL SPORT, REWIRED AND STARTED CASES BACK UP
5/5 MOVED CASES FOR WALL REPAIR</t>
  </si>
  <si>
    <t>a6859881-173f-f111-88b5-000d3a1d8d04</t>
  </si>
  <si>
    <t>pwSG3VyyWWftTEAlHCbV+0MEjLZtljDk55u7Pj2tTfSJKnHMAP1bLE/hX2uIcDt1/W0/gj7tjNsqqnHoLQWURA==</t>
  </si>
  <si>
    <t>WO-0557805</t>
  </si>
  <si>
    <t>MY26C019887 / RLN3MA Freezer 1 Communication Loss</t>
  </si>
  <si>
    <t xml:space="preserve">5/4 tech notes received regarding PO# 05557805 During the original installation of the units on the 2nd touch Dollar general remodel.Store # 21130 2399 Antelope Rd White City Or, 97503 We plugged in the condensers on the 3 door micro block freezer model I1RLN3MA Serial # MY26C019887 And the compressor started rattling like a can full of nails.....and the other one started to smoke. So we unhooked it. It turns out the electricians ran 220V to the plug.The model #s for these damaged condensers are Serial # 04C2426121074 Model # ALX44OU-DS3B01 and Serial # 04C2426121079 Model# ALX440U-DS3B01 Rob Starkey the project manager ordered new condensers and we installed them ASAP (once the electricians corrected the wiring) The #s for the new condensers are Serial # 04D1326121344 Model# ALX44OU-D53B01 And Serial# 04D1126121339 Model# ALX44OU-D53B01. Unfortunately when we installed the new condensers our tech that does the Gateway Networkand the network assets test was on a previously scheduled job out of the area. We did not have chance to get over the said site and get the units connected to the gateway until after you submitted work order PO#0557805. Rob Starkey said he would have the units we removed picked up. </t>
  </si>
  <si>
    <t>c3c36211-4a3e-f111-88b5-000d3a1d8efd</t>
  </si>
  <si>
    <t>NdAwUA9/cAtIZ8tcTurKKmV6FIQdNiraNVEKVTVMmNpU6wuZdRMJUx/ulPI7hkn8gN7Q+BYz5Dyzt2ADNh+1sQ==</t>
  </si>
  <si>
    <t>WO-0557035</t>
  </si>
  <si>
    <t xml:space="preserve">Dollar General #20876 </t>
  </si>
  <si>
    <t>Elaine</t>
  </si>
  <si>
    <t xml:space="preserve">COMMUNICATION </t>
  </si>
  <si>
    <t>`</t>
  </si>
  <si>
    <t>RMN4MA/MY26B013850, RLN3MA/MY26B013819, RNL2MA/MY26B013812, RMN3MA/MY26B013772, RMN3MA/MY26B013770, RFMN5/MY19M090256, RFMN5/MY19M090255, RFLN4/MY19M090238, RFLN4/MY19M090237, RFLN3/MY19M090226</t>
  </si>
  <si>
    <t>Store Hours:  8am - 9pm (store personnel will not stay)
OT APPROVED
Priority: P1-Immediate
Communication Loss
It has been observed that the communication loss in below assets which generally results in uncontrolled temperatures, system shutdowns, and loss of automated data monitoring.  
Serial Number	Customer Idetifiers	ProductLine	Model
MY26B013850	4DR DRINK COOLER	Microblock-Cases	RMN4MA
MY26B013819	3DR FROZEN FOOD 4	Microblock-Cases	RLN3MA
MY26B013812	2DR FROZEN FOOD 3	Microblock-Cases	RLN2MA
MY26B013772	3DR DAIRY/COOLER	Microblock-Cases	RMN3MA
MY26B013770	3DR BEER COOLER	Microblock-Cases	RMN3MA
MY19M090256	5DR DAIRY	Freedomline	RFMN5
MY19M090255	5DR DELI	Freedomline	RFMN5
MY19M090238	4DR FROZEN FOOD1	Freedomline	RFLN4
MY19M090237	3	Freedomline	RFLN4
MY19M090226	3DR ICE CREAM	Freedomline	RFLN3
The Tech team needs to visit the store and perform the following activities:
Tech must obtain a photo of the equipment tag that includes Model &amp; Serial Number on the case and Condensing Unit (Tecumseh). Please review and Confirm the Checklist items below:
1. Verify the Cases are connected to StoreConnect setup. Refer the attached gateway wiring document.
2. E2 shall not connect series to the cases. Verify E2 is connected to extension cable mentioned as From E2 in StoreConnect setup.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</si>
  <si>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5/11/26
Tech: kris clark 
 Arrived onsite and checked in. Most freezer doors old and new were sweating at arrival. All antisweat controllers were working and cycling. The store humidity at best was 58% with a store temperature of 72. The site humidity needs to be addressed by the primary service provider. I installed a flashing on the endcap to stop the hot discharge air from hitting our case. Job is complete.
4/22/26
Tech: kris clark
Hussmann 
beverage cooler 
model: RMN4MA
Serial: MY26B013850
Arrived onsite to find all cases offline on store connect but the humidity sensor was online. i verified this was accurate in the gateway. I found that there was a bad wire connection from the store connect equiment to the comm.line for the cases. I also found they had tied in the store connect into the comm.line as a star ( 3 comm.lines tie together) versus the required daisy chain, i corrected this issue by pulling one of the comm.lines out of the junction and running it to the other controller to create the proper daisy chain. All systems came back online in the gateway and store connect. the job is complete Resource: Kristopher Clark</t>
  </si>
  <si>
    <t>350d8c77-a23d-f111-88b5-7c1e5257c108</t>
  </si>
  <si>
    <t>KSFFwowSnqALnT9CmK/6qclRSVY2eWheE0vSeXTb/rj1eYoICMNdoT4mLIRigvAswPWdW/67F0MOpMYJXyy36g==</t>
  </si>
  <si>
    <t>WO-0556537</t>
  </si>
  <si>
    <t xml:space="preserve">Dollar General #22930 </t>
  </si>
  <si>
    <t>4952759</t>
  </si>
  <si>
    <t>PRODUCT LOSS - 4 LT,  ICE CREAM</t>
  </si>
  <si>
    <t>RLN4MA/MY26B014974</t>
  </si>
  <si>
    <t>Below are the details for a new service call. 
o Site Name/#: Dollar General # 22930 
o Address: 16621 FM 455 Forestburg TX 76239 
o Store Hours:  8am – 9pm (store will not stay past closing)
o Overtime NO
o PO: 4952759
o Problem: Check In/Out with Store Manager on Duty &amp; Obtain Signature
Hussmann R290 Microblock Equipment ONLY: RLN4MA- MY26B014974 Ice cream is melting/other product is damaged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</si>
  <si>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05/20/26 went to united and picked up some r-290 and went to the shop and disassemble the whole skid and took out the bad txv and welded in and installed the new one and pulled a deep vacuum and recharged the system with the factory charge of 100grams of r-290 once that was done i reassembled the whole skid and got it ready to be installed Trevor is having one of the warehouse employees deliver the unit to the store tomorrow to help me install it.
05/21/26 upon arrival I checked in with the manager on duty after checking in i waited for the warhouse guy to arrived with the unit we unloaded it and got it on top of the case and after doing so i hooked everything up and wired it back in and turned the 2 units back on for the case and waited for both of them to get to the temperature setpoint of 9.9 degrees see attached photos of the controller for both units both skids are getting to temp watched them both cycle multiple times case is working properly I then tested defrost on both skids for the case and both are working properly waited for care to get back down to temp and cleaned up any mess that was made and put the case trim back together job complete Pictures attached.
Upon arrival i found case in question no running cold enough for ice cream . The microblock unit on the left was running 9 degrees. The one on the left running -2 . After checking amp draw ect i had correct charge issues on other cases in this store i evacuated system pulled vac and charged system with scale. I let it run for quite a while but it pulled down and started flooding back. I called hussmann tech support and waited for a long time with no response after i was able to talk to them they recommend turning off unit and letting it defrost overnight so if ice is on coil it would defrost. I had to wait until store could pull product. I turned off both units. I returned 4-23 started up both units i also found sections where penatrations was not sealedi aded pics i used foam and sealed like the other cases in the store is. I also found screws missing on coil box i added them as needed. I gave compressors plenty of time to reach temp the coil on the right never reached temp and is flooding back. I called tech support again and they called back several times after this we came to the conclusion that txv is bad and needs to be changed but we can not access that so new skid will be sent to store and old one returned and repaired. Resource: Chris Boatner</t>
  </si>
  <si>
    <t>19268819-be3c-f111-88b5-7c1e5257c108</t>
  </si>
  <si>
    <t>CXvh8Gp7hq6og6Yaz0J+GyRQVx4cRCV+WKmyCA+5K+MTy8OBOO28n26+DdPCC6KFdlzdOJDq54ar8a57jfdFIQ==</t>
  </si>
  <si>
    <t>WO-0555457</t>
  </si>
  <si>
    <t xml:space="preserve">Dollar General #6099 </t>
  </si>
  <si>
    <t>Newton</t>
  </si>
  <si>
    <t>NC</t>
  </si>
  <si>
    <t>4942182</t>
  </si>
  <si>
    <t>POWER</t>
  </si>
  <si>
    <t>RMN4MA/MY26B016530</t>
  </si>
  <si>
    <t>Below are the details for a new service call. 
o Site Name/#: Dollar General 6099
o Address: 3867 Startown Rd Newton NC 28658
o Store Hours:  8am – 9pm (store will not stay past closing)
o Overtime NO
o PO: 0555457
o Problem: Check In/Out with Store Manager on Duty &amp; Obtain Signature
Hussmann R290 Microblock Equipment ONLY: RMN4MA-MY26B016530- No power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</si>
  <si>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04/22/2026 BD. Verified that hussmann cases have power and are operating at this time I also spoke with James Mcdaniel about any other issues at this location. Resource: Brian Davis
completed Resource: Brian Davis</t>
  </si>
  <si>
    <t>a0e11234-403b-f111-88b5-7c1e5257c77a</t>
  </si>
  <si>
    <t>BpY2Qo1i9xHkaDWr0WHTcHFaQRi/XQ4cjtGcRz1url7JGnOOXSDBe/tE/kfQl9E8lmk6rktHbkyx95e/TDhzfA==</t>
  </si>
  <si>
    <t>WO-0554820</t>
  </si>
  <si>
    <t xml:space="preserve">Dollar General #22982 </t>
  </si>
  <si>
    <t xml:space="preserve">RLN4MA/MY26B014967, LEFT </t>
  </si>
  <si>
    <t>Response : Priority: P1-Immediate
Job Scope: HIGH TEMPERATURE 
We are observing a High Temperature Alarm on the Serial number MY26B014967, RLN4MA, Left &amp; Center/Right Microblock case at the above-mentioned location. The alarm has been active beyond the configured threshold of 60 minutes. Tech must obtain a photo of the equipment tag that includes Model &amp; Serial Number on the case and Condensing Unit (Tecumseh). Please review and Confirm the Checklist items below: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</si>
  <si>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Rene spoke with the store manager Paul on 4/20 and was informed that everything was working. Resource: CLIMATE COOL LLC</t>
  </si>
  <si>
    <t>577fface-bf39-f111-88b5-7c1e5257c108</t>
  </si>
  <si>
    <t>sRaLO4eGLcRGcCtodrxUqBk2Vi27x2tYNEcpe+aHB9o5kaqurYV0RHcn7HXNwMXeUqqM2IOuFAtJEQQ0Yzg/AA==</t>
  </si>
  <si>
    <t>No Updates Found</t>
  </si>
  <si>
    <t>WO-0553563</t>
  </si>
  <si>
    <t xml:space="preserve">Dollar General </t>
  </si>
  <si>
    <t>Bridgeton</t>
  </si>
  <si>
    <t>TIM SMITH/SMALL FORMAT SALES</t>
  </si>
  <si>
    <t>CASE TRIM</t>
  </si>
  <si>
    <t>Tech to arrive at the Hussmann Corporate Office on Tuesday, April 21st @ 8am; contact Andrew Miller/Project Manager @ 314-683-6676 or Erin Moran/SAR @ 314-380-3479  Set cases, install trim, facia &amp; miscellaneous case parts.
Contact:  Andrew Miller/Project Manager @ 314-683-6676</t>
  </si>
  <si>
    <t>6740b263-bd39-f111-88b5-000d3a57f5f2</t>
  </si>
  <si>
    <t>vg+A7ydqKjqDySMdIStqHufkXmUgelQy6LwZ6BLZ/7NJrb1s6u4odt9pOCDsrk8gFK0cKwoIJsmERTmNB0yrbQ==</t>
  </si>
  <si>
    <t>6/2 Parts have been ordered
5/19 Warranty not covering - ordering through PP
4/30 Warranty door replacement - Suzanne sent email - waiting on response</t>
  </si>
  <si>
    <t>Parts Needed</t>
  </si>
  <si>
    <t>WO-0553537</t>
  </si>
  <si>
    <t xml:space="preserve">Dollar General #21135 </t>
  </si>
  <si>
    <t>4934816</t>
  </si>
  <si>
    <t>RMN3MA/MY26b016480</t>
  </si>
  <si>
    <t>REG* rmn3ma, my26b016480, Water is leaking under unit unit is leaking lots of water, cant tell which unit its coming from- will put in another ticket in case its coming from the other one
Hussmann Cases ONLY: rmn3ma, my26b016480, Water is leaking under unit unit is leaking lots of water, cant tell which unit its coming from- will put in another ticket in case its coming from the other one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</si>
  <si>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rerouted Resource: Julio Padilla
4/20/26 RCortez - Arrived on site. Checked in with manager. Checked case and found large amount of water on shelving and under case panels. Removed panels to uncover evap section. Found water leaking from drain tube outlet side. Found tape blocking end of tube and condenser fan motor wiring tucked underneath drain tube propping up end of tube and not allowing water to flow. Corrected wire run on fan motor to run over drain instead of under. Removed tape from end of tube to allow flow. Vacuumed water from under case. Found first door on case not closing automatically. Found door rod to be broken inside door. Will most likely need new door or door rod to resolve issue. Spoke with Ellen Decker before leaving. Resource: Raymond Cortez</t>
  </si>
  <si>
    <t>efe8a26f-d938-f111-88b4-7c1e52ff753b</t>
  </si>
  <si>
    <t>OlEKpkF3EhOrrqDieLfcQcLc5/bQbsM0BxTN4WUTC2StGTS3yiCqBDCiQwIbxX5s2/gr3EYlenK/1XV8FJeI+w==</t>
  </si>
  <si>
    <t>Posted</t>
  </si>
  <si>
    <t>WO-0552572</t>
  </si>
  <si>
    <t xml:space="preserve">Dollar General #21377 </t>
  </si>
  <si>
    <t>RLN2MA/MY26B013804, LEFT</t>
  </si>
  <si>
    <t>Below are the details for a new service call. 
o Site Name/#: Dollar General 21377
o Address: 1818 South Montgomery Street, Starkville, MS, USA, 39759
o Store Hours:  8am – 9pm (store will not stay past closing)
o Overtime Priority: P1-Immediate
o PO: 0552572
o Problem: Check In/Out with Store 
Manager on  Duty &amp; 
 HIGH TEMPERATURE
Obtain Signature
Hussmann R290 Microblock Equipment ONLY: Tech must obtain a photo of the equipment tag that includes Model &amp; Serial Number on the case and Condensing Unit (Tecumseh). Please review and Confirm the Checklist items below.
We are observing a High Temperature Alarm on the Serial number MY26B013804, RLN2MA, Left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</si>
  <si>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0855b5b8-ca38-f111-88b5-000d3a57f0ee</t>
  </si>
  <si>
    <t>qKBWNhkg28JKT7rS4/sDVGlMef61CI9uYuwFQhmSObXtvDcioSTAy8egwCpl2StmJ7CIW5gNb/jYIz5tXUkIVg==</t>
  </si>
  <si>
    <t>WO-0552473</t>
  </si>
  <si>
    <t xml:space="preserve">TAVANT/BR INSTALLATION </t>
  </si>
  <si>
    <t>TAVANT/BRANCH - RICHARD JOHNSON/INSTALLTION</t>
  </si>
  <si>
    <t>REFRIGERANT LEAK</t>
  </si>
  <si>
    <t xml:space="preserve">RMN3MA/MY26C025316 </t>
  </si>
  <si>
    <t>Hussmann M#RMN3MA S#MY26C025316 possibly has no charge on the two micro blocks.</t>
  </si>
  <si>
    <t>I found one system with leak on drier i added video of leak . I repaired leak pulled vac and added r290 100 gm.  The other system i couldnt find a leak but system would not pull down . I evacuated system pulled vac and weighed in chargecas needed r290 started ul case came down to temp. I removed access fittings and sealed both systems. Resource: Chris Boatner</t>
  </si>
  <si>
    <t>20721187-4038-f111-88b5-000d3a1d8091</t>
  </si>
  <si>
    <t>4S3+E7S61Ao4/1gv5nVL+g65pcxXi2cIYTUTDjVKdbSdTWP90t4FK1XzAR/XFSOF0DIIB1ahjWBkYWM2Rf8mPQ==</t>
  </si>
  <si>
    <t>WO-0552129</t>
  </si>
  <si>
    <t xml:space="preserve">Dollar General #14858 </t>
  </si>
  <si>
    <t>REG* It has been observed that the High superheat is causing unit to not pull down in the refrigeration unit, which may impact cooling efficiency, increase compressor load, lead to higher energy consumption, and risk improper temperature control of stored products.”
Below are the details for a new service call. 
o Site Name/#: Dollar General 14858
o Address: 4750 W Fuqua St, Houston, Texas, 77053.
o Store Hours:  8am – 9pm (store will not stay past closing)
o P2 – Medium (24-28 Hours)
o PO: WO-0552129
o Problem: Check In/Out with Store Manager on Duty &amp; Obtain Signature
Hussmann R290 Microblock Equipment ONLY: Serial # MY26B016004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MY26B016004	Left	RLN3MA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</si>
  <si>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Dollar general #14858
Hussmann case
Mn-RLN3MA
SN-MY26B016004
UPON ARRIVAL FOUND CASE OUT V OF TEMP SOME ICE BUILD UP PLACED IN DEFROST, STARTED TO TROUBLE SHOOT HOWEVER PRESSURES ARE REQUIRED AND THIS IS A R290 CASE, WHICH I DO NOT HAVE THE EQUIPMENT REQUIRED TO CHECK THIS UNIT AT MONEMT, RECHEAHED OUT TO DISPATCH, ANOTHER TECH WILL BE DISPATCHED OUT Resource: Julio Padilla
Arrived on site checked in with manager. Found case that was on work order and checked operation. Found ice coming from discharge air side of microblock. Looks to be coming for the block seal or drain line. Also got with tech support to go over the check list. Found conflicting wire diagrams on unit the diagram shows condenser wired in with compressor. On hussmann manual and PDF manual that tech support send out condenser fan looks to be two speed motor wired into board point NO4. Also controller has board point NO4 Associated to condenser fan motor. Ran case through couple defrost to ensure coil was clear and airflow was not an issue. Talk to rigoberto Guzman hussmann engineer and did not confirm which one is correct hussmann manual has a revised date of February 2026. Amp drawed compressors on both micro blocks the one with issue is showing one amp less than the one reaching said point indicating possible leak. Sprayed bubbles on several connections and did not find leak at this time. Will return tomorrow with propane leak detector and smoke machine to locate leaks. Will also need propane scale and gas to make repair. Checked out with manager work order complete Resource: Marcelino Garcia
Went to shop picked up propane or 290 scale and r290 leak detector. Stopped at supply house picked up bottle of r290 piercing valves and access fittings. Return to store and checked in with the manager. Leak checked unit condenser evaporator compressors and all solder connections could not find leak. Installed piercing valves to verify pressure and unit may be low on charge. Evacuated unit installed installed access fittings and use proper nitrogen flowing procedures. Pressured up system to 200 lb and used digital gauge to conduct tightness test. Ran test for 30 minutes and pressure was not dropping. Evaporator compartment cover to inspect for air penetration leak. Found two spots that could be an issues where butyl caulk was not applied. Where the liquid and hot gas line penetrate through the trough moisture is present. Used 1/8 inch by 2 in insulation tape and ran tape along bottom of evaporator compartment enclosure to help seal enclosure. Laid extra piece wear penetrations come in to help fill Gap. Putting closure back together and pulled vacuum on condensing unit. Got vacuumed down to microns and charge unit with 101 G of r290 refrigerant. Started up unit and pressures and drop rate on temperature are looking good. Unit performed well after repair and compressor is cycling on temperature as designed. Ran smoke machine through inside of case to locate any other air leak penetration and also to verify it evaporator compartment repair. Found doors are leaking at top of case where seal meets contact plate. Doors will need to be adjusted to fix the issue. Will request a non mechanical technician to come and adjust doors and seal wire penetration further with foam. Checked out with manager and informed her of situation with case. Case is at temp and maintaining will leave work order pause to complete repair. Resource: Marcelino Garcia
I arrived and checked in with the store manager, then proceeded to inspect the system that had been reported to me. I found that it was functioning properly, so I verified that the compressor was starting up and engaging based on temperature. Since everything is working correctly, this work order is now complete. Resource: Yelson Canadas
Assisted tech with new install cases running warm. Used foam and butyle to reseal self contained system Resource: Jaime Hinojosa
Arrived outside checked in with manager and proceeded to leak check case again. Found no leaks with detector detek Stratus. After reviewing graphs seems to have evaporator iced up. Ran cased through several defrost to ensure coil was clear. Attempted to adjust doors and heated gaskets to prevent air leak. Will need non mechanical check out to take a look at doors. Gets down to -5° and is struggling to get to set point. After all is equal on both compressors and two door case next to four-door is alarming as well high temp. No further work can be done on with refrigeration system at this time. Checked out with manager Resource: Marcelino Garcia</t>
  </si>
  <si>
    <t>1dc25de9-3f38-f111-88b5-000d3a1d8091</t>
  </si>
  <si>
    <t>5mPZ9DZ1cbX04ydwXZlOLYZtv7JHDC4CT7HlmrUy8C6Kvyix+5RipRKhBRrQPmqDtkFQ9ibNNqHEkx6NgRD5pg==</t>
  </si>
  <si>
    <t>WO-0552123</t>
  </si>
  <si>
    <t xml:space="preserve">Dollar General #22613 </t>
  </si>
  <si>
    <t xml:space="preserve">WIRING </t>
  </si>
  <si>
    <t>Below are the details for a new service call. 
o Site Name/#: Dollar General 22613
o Address: 9527 E HIGHWAY 92, HEREFORD, AZ, 85615
o Store Hours:  8am – 9pm (store will not stay past closing)
o P2 – Medium (24-28 Hours)
o PO: WO-0552123
o Problem: Check In/Out with Store Manager on Duty &amp; Obtain Signature
Hussmann R290 Microblock Equipment ONLY: Serial # MY26B014941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MY26B014941	Left	RLN2MA	Freezer-1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</si>
  <si>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
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t>
  </si>
  <si>
    <t>e47e2975-3c38-f111-88b5-000d3a1d8091</t>
  </si>
  <si>
    <t>B2f5IQqv8FNKCmFr5Uimp2NNkyI0nLtvffv38hLoDxxsTX5UpvGSARXognMKU0d/cKpSKgpScFBjHHR/p763Yw==</t>
  </si>
  <si>
    <t>WO-0552093</t>
  </si>
  <si>
    <t xml:space="preserve">Dollar General #3270 </t>
  </si>
  <si>
    <t>RLN3MA/MY26B016488, RIGHT</t>
  </si>
  <si>
    <t>Below are the details for a new service call. 
o Site Name/#: Dollar General
o Address: 2934 N Chadbourne St, San Angelo, Texas, 76903
o Store Hours:  8am – 9pm (store will not stay past closing)
o P2 – Medium (24-28 Hours)
o PO: WO-0552093
o Problem: Check In/Out with Store Manager on Duty &amp; Obtain Signature
Hussmann R290 Microblock Equipment ONLY: Serial # MY26B016488 - Lack of Refrigerant 
Asset Details:
Productline	Serial Number	Module	Assets Model	Alt Name	 	
Microblock	MY26B016488	Center/ Right	RLN3MA	Frozen food 4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</si>
  <si>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REFERENCE BUDIK'S EMAIL:  4/20 Encore confirmed call completed Resource: ENCORE MECHANICAL LLC</t>
  </si>
  <si>
    <t>a7d47a14-3b38-f111-88b5-000d3a1d8091</t>
  </si>
  <si>
    <t>ug6gdmJs5dg2G4VnJT4Ln5Kuz9c08NFWtUT2YFeoszt17AJ9jKQAmx9AlDmXiETNIeaqnYUuPA7vS5w18HY23A==</t>
  </si>
  <si>
    <t>WO-0552080</t>
  </si>
  <si>
    <t xml:space="preserve">Dollar General #22281 </t>
  </si>
  <si>
    <t>RLN3MA/MY26B016019, RIGHT</t>
  </si>
  <si>
    <t>Below are the details for a new service call. 
o Site Name/#: Dollar General 22281
o Address: 5800 E 600 N, hamlet, IN, 46532.
o Store Hours:  8am – 9pm (store will not stay past closing)
o P2 – Medium (24-28 Hours)
o PO: WO-0552080
o Problem: Check In/Out with Store Manager on Duty &amp; Obtain Signature
Hussmann R290 Microblock Equipment ONLY: serial # MY26B016019 - Lack of Refrigerant 
Asset Details:
Productline	Serial Number	Module	Assets Model	Alt Name	 	
Microblock	MY26B016019	center/right	RLN3MA	3 Dr Freezer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</si>
  <si>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4d2e772d-3938-f111-88b5-000d3a1d8091</t>
  </si>
  <si>
    <t>FMT3KjvXNGHlSzz4h9AqmmKi+4/70QRevxyL3VkWGMKpqVsK0wDg71WlsKa5Z2mEd+zK1q4krypG+LnE14vITw==</t>
  </si>
  <si>
    <t>WO-0552063</t>
  </si>
  <si>
    <t>4929321</t>
  </si>
  <si>
    <t>RLN2MA/MY26B013812</t>
  </si>
  <si>
    <t>Below are the details for a new service call. 
o Site Name/#: Dollar General 20876
o Address: 302 Main St Elaine, AR 72333
o Store Hours:  8am – 9pm (store will not stay past closing)
o No Overtime
o PO: WO-0552063
o Problem: Check In/Out with Store Manager on Duty &amp; Obtain Signature
Hussmann R290 Microblock Equipment ONLY: serial #MY26B013812 - Water is leaking under the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</si>
  <si>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4/15/26 Seth Allen Arrived to check the back left case leaking water. I found the bottom of the doors sweating causing a very small amount of water on the floor. All freezer cases in the store sweat at the bottom as well but this is the only one where the water makes it to the floor. Checked temp and humidity in the area and found it was 79 degrees and 47% rh in the space between the stockroom door and this first case. Stockroom door is constantly be used and propped open to move stuff in and out. Stockroom only has one supply and return fed from sales floor unit with its space temp sensor also in the sales floor, causing the stockroom to not be able to maintain temp. Waiting on response from tech support for input. Resource: Seth Allen
4/16/26
Seth Allen
Returned to recheck the water leak, talked with tech support and they stated if the area either exceeds the 55% humidity or 75 degree mark this will need to be addressed and is likely the cause of condensation at the bottom of the doors. Upon returning today i verified operation of the frame heaters and measured temp in the area. It was 75 degrees by this case and 76 in the stockroom. Almost no moisture on the floor in comparison to yesterday when it was in the 79 to 80 degree range. Temperature issues in this area will need to be fixed for the condensation to stop. Largely due to higher temps coming from the stockroom when the door is being used. Closing this call out as the contractor responsible for the hvac needs to investigate. Resource: Seth Allen</t>
  </si>
  <si>
    <t>d1f1562e-3838-f111-88b5-000d3a9c8117</t>
  </si>
  <si>
    <t>IV2myHK2lM8++PEMfeDfrs6D7Vlfew50VO9cTev6Hh85XW+oHzKh1YlVoIJwUF37aM0AetDauePgq+q9eSc3Eg==</t>
  </si>
  <si>
    <t>WO-0552056</t>
  </si>
  <si>
    <t xml:space="preserve">Dollar General #22286 </t>
  </si>
  <si>
    <t>RLN2MA/MY26B014938, LEFT</t>
  </si>
  <si>
    <t>Job Scope: Coil Icing
It has been observed that the coil icing issue in the refrigeration unit, which may impact cooling performance and system efficiency. 
Asset Details:
Productline	Serial Number	Module	Assets Model	Alt Name	 	
Microblock	MY26B014938	Left	RLN2MA	2dr frzr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Checklist: 
•	Verify the Defrost terminate Sensor is mounted at the Evap coil Outlet Pipe. 
•	Check for any Coil Icing.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</si>
  <si>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at store checked in with manager and checked 2 door freezer. Freezer is running at -4.2. No signs of ice build up in case or on top from evap coil. Evap coil waa frosted up like normal. While here case went into defrost and coil cleared up. No issues found Resource: Ernesto Vega</t>
  </si>
  <si>
    <t>2d4d4191-3638-f111-88b5-000d3a9c8117</t>
  </si>
  <si>
    <t>qMCUUizQP16sv2YRdMPJc6EYu+IM+grUHwzeJkRjY/RaYrJcsTO0K2qGs7Fs63YAVt32u+DFBJA2oczhx68ZmA==</t>
  </si>
  <si>
    <t>WO-0552039</t>
  </si>
  <si>
    <t xml:space="preserve">Dollar General #14104 </t>
  </si>
  <si>
    <t>TEMPERATURE/PARAMETER</t>
  </si>
  <si>
    <t>RLN2MA/MY26B015990 Left</t>
  </si>
  <si>
    <t>Response : Priority: P2 – Medium (24-28 Hours)
Job Scope: Coil Icing
It has been observed that the coil icing issue in the refrigeration unit, which may impact cooling performance and system efficiency.
Asset Details:
Productline	Serial Number	Module	Assets Model	Alt Name:
Microblock	MY26B015990	Left	RLN2MA	2 Door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Tech must obtain a photo of the equipment tag that includes Model &amp; Serial Number on the case and Condensing Unit (Tecumseh). Please review and Confirm the Checklist items below. 
Checklist: 
•	Verify the Defrost terminate Sensor is mounted at the Evap coil Outlet Pipe. 
•	Check for any Coil Icing, take pictures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t>
  </si>
  <si>
    <t>Arrived checked in went to case temping low. Current temp is at -17. Comp stays on and doesnt turn off. Went to condensor checked parameters on control. Suction is at 9psi and cut out is set for 5 psi and cut in at 15. Suctions stays at 9psi and doesnt pump down. Set parameter to 11psi and cut in at 22psi. Temp came down to -8 to -11psi. Will follow up tomorrow. Resource: Christopher Ruiz
Returned temp was as low as -12. Adjusted differential to 3 degrees is was currently set to 7 degree swing now it goes from -6 to -9. Resource: Christopher Ruiz</t>
  </si>
  <si>
    <t>029435b7-1c38-f111-88b5-000d3a9c8117</t>
  </si>
  <si>
    <t>oG2T9NdEo47c8fjpu+3CkL6EkVwUioV1dyLIJCLu1gWzcRyO/cmnF7mTBHlWGzjviNI+8A+4k2idZ2nZg6BMOw==</t>
  </si>
  <si>
    <t>WO-0551833</t>
  </si>
  <si>
    <t xml:space="preserve">Dollar General #21016 </t>
  </si>
  <si>
    <t>4921327</t>
  </si>
  <si>
    <t>RMN3MA/MY26B016499</t>
  </si>
  <si>
    <t>Site Name/#: Dollar General 21016
o Address: 950 GORDON BLVD SAN ANGELO, TX 76905 US
o Store Hours: 8am – 9pm (store will not stay past closing)
o No Overtime
o PO: 4921327
o Problem: Check In/Out with Store Manager on Duty &amp; Obtain Signature Hussmann R290 Microblock Equipment ONLY: Model#RMN3MA/Serial#MY26B016499 Identified that RIC03 is a newly installed unit. Noted installation is incomplete. Specifically, RIC03 lacks a drain pump, drain line, and drain collection pan.. Serial#MY26B016499 Please explain the issue Water is leaking under unit, Other (please list in comments section below) In case the service company or manufacturer needs to call the store, please confirm the store's phone number (include area code). 3259392305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</si>
  <si>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Per Encore - call is complete Resource: ENCORE MECHANICAL LLC</t>
  </si>
  <si>
    <t>deadc067-5d37-f111-88b5-7c1e5280004d</t>
  </si>
  <si>
    <t>ioQyiYjYYtqddbt2eiB1itfk8cocQvMEyZKAJ7+PPezOjUwWsrzbxuFcYFv/g0WVxewV1Ad9Suo9CxLOcs8vug==</t>
  </si>
  <si>
    <t>WO-0551078</t>
  </si>
  <si>
    <t xml:space="preserve">TAVANT/PRODUCT CARE  </t>
  </si>
  <si>
    <t>NUISANCE, PRODUCT BLOCKING VENT</t>
  </si>
  <si>
    <t xml:space="preserve">RLN2MA/MY26B016475, LEFT </t>
  </si>
  <si>
    <t>EMER*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Below are the details for a new service call. 
o Site Name/#: Dollar General 14858
o Address: 4750 W Fuqua ST Houston TX 77045 
o Store Hours:  8am – 9pm (store will not stay past closing)
o Overtime YES 
o PO: TAVANT/PRODUCT CARE
o Problem: Check In/Out with Store Manager on Duty &amp; Obtain Signature
Hussmann R290 Microblock Equipment ONLY: We are observing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must contact Store Connect via Microsoft Teams to Vin – Vinodrajan Paramasivam before leaving the store to confirm reading/repair is fix.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</si>
  <si>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*Call from Store Connect, branch submit to Tavant*Located reach-in freezer alarming high temp. No airflow on 2 door case. Found product covering return. Set through a manual defrost and cleared up product from return. Monitored case come out of defrost and drop down in temp. Good airflow back at case. All checks out ok. Resource: Ruben Guzman</t>
  </si>
  <si>
    <t>d639e045-1e35-f111-88b4-000d3a1d89f0</t>
  </si>
  <si>
    <t>r8wQwVAY60eZEFywyuUFFEeSkSTc67LMVviGLe3rakvY87BSGUqQM507MStSTYFwZ+uNiAQvQ68l3u1AoY+NtQ==</t>
  </si>
  <si>
    <t>WO-0549951</t>
  </si>
  <si>
    <t xml:space="preserve">Dollar General #21223 </t>
  </si>
  <si>
    <t>TAVANT/TIM SMITH</t>
  </si>
  <si>
    <t>REFRIGERANT, NO CHARGE</t>
  </si>
  <si>
    <t>Below are the details for a new service call. 
o Site Name/#: Dollar General 21223
o Address:
o Store Hours:  8am – 9pm (store will not stay past closing)
o No Overtime
o PO: TAVANT/TIM SMITH
o Problem: Check In/Out with Store Manager on Duty &amp; Obtain Signature
Hussmann R290 Microblock Equipment ONLY: Check Refrigeration Equipment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</si>
  <si>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Encore was on site Saturday. Resource: ENCORE MECHANICAL LLC</t>
  </si>
  <si>
    <t>99328c62-4934-f111-88b4-7c1e5257ceaa</t>
  </si>
  <si>
    <t>Vdnaxj44fPU5G0/TYit3We/EX7o3djWLmCovxbCOeLsxYei6jqP430vQhuubvZ8kQlFVzKboB6Ndm2qF+8SBzg==</t>
  </si>
  <si>
    <t>WO-0549298</t>
  </si>
  <si>
    <t>4918766</t>
  </si>
  <si>
    <t xml:space="preserve">RLN2MA/MY26B015995 </t>
  </si>
  <si>
    <t>o Site Name/#: Dollar General 21016
o Address: 950 GORDON BLVD SAN ANGELO, TX 76905 US
o Store Hours: 8am – 9pm (store will not stay past closing)
o No Overtime
o PO: 4918766
o Problem: Check In/Out with Store Manager on Duty &amp; Obtain Signature Hussmann R290 Microblock Equipment ONLY: RLN2MA, MY26B015995  Not working at all  need fixed asap had a remodel and our fresh truck is on its way 700 piece truck and that freezer is out not working at all fix asap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</si>
  <si>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Call completed Resource: ENCORE MECHANICAL LLC</t>
  </si>
  <si>
    <t>5a61427c-4634-f111-88b4-7c1e5257ceaa</t>
  </si>
  <si>
    <t>XZSvsysYC7jytiYjbtxmOdVX9SKnu/RbA74aIy/i0LyF3Lknb56RaRf8NB6HfzGnJ7P5n3WK9cT+8rXtedMVPw==</t>
  </si>
  <si>
    <t>WO-0549280</t>
  </si>
  <si>
    <t xml:space="preserve">Dollar General #20407 </t>
  </si>
  <si>
    <t>Abilene</t>
  </si>
  <si>
    <t>RLN3MA/MY26B016017, RIGHT</t>
  </si>
  <si>
    <t>Dispatch Reason: High Temperature Alarm  
We are observing a High Temperature Alarm on the Serial number MY26B016017, Model: RLN3MA, Center/right microblock case at the above-mentioned location. The alarm has been active beyond the configured threshold of 60 minutes.  BILL this call to TaVANt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</si>
  <si>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Per Jay B - Tech onsite 4/10 fixed Resource: ENCORE MECHANICAL LLC</t>
  </si>
  <si>
    <t>54872070-9833-f111-88b4-7c1e5257c77a</t>
  </si>
  <si>
    <t>zukOUUnvLKLXu/wdAcZm9rV5ePcUJt3rAccXSjo1YWXN27nZeF7P6QEytOidH/0S6pQWKMmCilp9tkQKVWQW9g==</t>
  </si>
  <si>
    <t>WO-0548822</t>
  </si>
  <si>
    <t xml:space="preserve">Dollar General #13338 </t>
  </si>
  <si>
    <t>McRae</t>
  </si>
  <si>
    <t>CAREL CONTROLLER, REPLACEMENT</t>
  </si>
  <si>
    <t>CAREL CONTROLLERS &amp; CABLING</t>
  </si>
  <si>
    <t>RLN2MA/MY26B013807, RLN3MA/MY26B013833, RMN5MA/MY26B013852</t>
  </si>
  <si>
    <t>o Store Hours: 8am – 9pm (store will not stay past closing)
o OT Approved
o PO: Tavant/Product Care
o Problem: Check In/Out with Store Manager on Duty &amp; Obtain Signature
Hussmann R290 Microblock Equipment ONLY: Replacement of Controllers on 4 Cases:  MY21G066701 (RFMN4)---dixel(does not require Tecumseh) ~MY26B013852 (RMN5MA)---Carel controllers, 2 med controllers Carel~MY26B013833 (RLN3MA)-- Carel controllers, 2 low controllers Carel~MY26B013807 (RLN2MA)--- Carel controller,1 low controllers Carel.  Tech must contact Store Connect via Microsoft Teams to “Vin” = Vinodrajan Paramasivam.
Tech must obtain a photo of the equipment tag that includes Model &amp; Serial Number on the case and Condensing Unit (Tecumseh). Please review and Confirm the Checklist items below.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</si>
  <si>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4/8/26Tech: kris clark  Arrived onsite and checked in. I walked the site and did not find the serial associated with the second part of my job scope, i signed into store connect and search the asset to find the asset with an address in arizona. I need to reach out to the care team as it appears 2 calls were accidentally merged into one. Parts are on order for the first part of the job scope and i will return when parts arrive. Resource: Kristopher Clark
4/15/26
Tech: Kris Clark
 beverage case 
HUSSMANN
MODEL: RMN4MA
SERIAL: MY26B013849
BEVERAGE LEFT
TECUMSEH
MODEL:TCX413U-DS1B01
SERIAL:04C0326120755
BEVERAGE RIGHT
TECUMSEH
MODEL: TCX413U-DS1B01
SERIAL:04C0226120754
FROZEN FOOD 4 CASE 
HUSSMANN
MODEL:RLN2MA
SERIAL:MY26B013807
FROZEN FOOD CONDENSER
TECUMSEH
MODEL:ALX440UDS3B01
SERIAL:04C0426120787
FROZEN FOOD 5 CASE 
HUSSMANN
MODEL:RLN3MA
SERIAL:MY26B013833
FROZEN FOOD 5 LEFT
TECUMSEH
MODEL:ALX440U-DS3B01
SERIAL:04C0426120785
FROZEN FOOD 5 RIGHT
TECUMSEH
MODEL:ALX440U-DS3B01
SERIAL:04C0426120780
DELI MEAT
HUSSMANN
MODEL:RFMN4
SERIAL:MY21G066701
FRESH FOOD CASE 
HUSSMANN
MODEL:RMN5MA
SERIAL:MY26B013852
FRESH FOOD LEFT
TECUMSEH
MODEL:TCX413U-DS1B01
SERIAL: 04C0226120736
FRESH FOOD RIGHT 
TECUMSEH
MODEL: TCX413U-DS1BO1
SERIAL: 04C0326120770
Arrived onsite and check in. I replaced the controllers on the effeccted cases,set the network addresses, removed and ran a new comm. loop for the store. the site is now online in store connect. job is complete. Resource: Kristopher Clark</t>
  </si>
  <si>
    <t>45db8177-6733-f111-88b3-6045bdebb2f7</t>
  </si>
  <si>
    <t>d/pHlKjkOUeFyWRTL1fvf8g/wl+kTDpPfFz3sIwVlwE+je58d15CvlOc9b2/yckW3b3OaZn1DHHMEp8wsA+4Ww==</t>
  </si>
  <si>
    <t>WO-0548436</t>
  </si>
  <si>
    <t>TAVANT/RPM - 4915951</t>
  </si>
  <si>
    <t>CASSETTE,  REPLACEMENTE</t>
  </si>
  <si>
    <t>CASSETTE - 2qty</t>
  </si>
  <si>
    <t>MY26B016515</t>
  </si>
  <si>
    <t>o Site Name/#: Dollar General 3270
o Address: 2934 N CHADBOURNE ST SAN ANGELO, TX 76903 US
o Store Hours:  8am – 9pm (store will not stay past closing)
o No Overtime
o PO: 4915951
o Problem: Check In/Out with Store Manager on Duty &amp; Obtain Signature
Hussmann R290 Microblock Equipment ONLY: MY26B016515, Not working at all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</si>
  <si>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Jay confirmed - call completed Resource: ENCORE MECHANICAL LLC</t>
  </si>
  <si>
    <t>fef3814b-ca32-f111-88b3-6045bddbb098</t>
  </si>
  <si>
    <t>AFd5bVF0BVhWOLVNOQ/lteu0SjGIaSsYVe4NqnOuMWtO2sF9Qc0upJpmPhbYEQYHXcFnO8fn9YUV9Uepy3ArmA==</t>
  </si>
  <si>
    <t>WO-0548123</t>
  </si>
  <si>
    <t>EVAPORATOR FAILURE</t>
  </si>
  <si>
    <t>RMN5MA/MY26B016546, LEFT</t>
  </si>
  <si>
    <t>Tech must contact Store Connect via Microsoft Teams to Vin – Vinodrajan Paramasivam before leaving the store to confirm reading/repair is fix.
2 BUS DAYS*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o Site Name/#: Dollar General 14858
o Address: 4750 W Fuqua St , HOUSTON , TX , US - 77045
o Store Hours:  8am – 9pm (store will not stay past closing)
o No Overtime
o PO: TAVANT/Product Care
o Problem: Check In/Out with Store Manager on Duty &amp; Obtain Signature
Hussmann R290 Microblock Equipment ONLY:  P2 – Medium (24-28 Hours)
Job Scope: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Checklist:
•	Verify the evaporator fan is active and running properly.
•	Confirm airflow direction and un-obstructed air circulation
•	If Evaporator Fan Found not active, Verify the Electrical Connection.(The Evaporator Fan should be Connected in NO3).
•	If any loose contact found, secure the Connection Properly.
•	Once Connection Secured, Verify the Fan operation again.
•	Inspect the evaporator coil for ice or frost accumulation
•	If ice is present: Perform a manual defrost to fully clear the evaporator coil
•	Confirm the condenser fan turns OFF during defrost.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</si>
  <si>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 RCortez - Arrived on site. Checked in with manager. Checked reach-in case and found door open. Found 4 out of five doors not closing automatically. Adjusted tension on torque rods. Found one evaporator fan motor not running dor left side of case. Right side is refrigerating normally. Could not access evaporator from top of unit. Will return to continue teoubleshooting. Left the left side of case deenergized to avoid compressor damage. Spoke with Tamara Jimmeson before leaving. Resource: Raymond Cortez
4/10/26 RCortez - Arrived on site. Checked in with manager. Removed product from shelving to gain access to evaporator fans and verify running/not running. Checked wiring above case. Found wires on Carel controller terminals extremely loose and wires disconnected from output "NO3" and "C1". Connected wiring and tightened connections. Secured wiring and restored power to skid. Verified evaporator fans running. Placed back shelving and product. Monitored case temp. Case pulled down to 36DF. No other issues found. Contacted Hussmann Tech support to complete WO. Spoke with Alvaro Perez before leaving. WO completed. Resource: Raymond Cortez</t>
  </si>
  <si>
    <t>3e79be73-f431-f111-88b4-7c1e5257c08f</t>
  </si>
  <si>
    <t>CRRZcykM6qcHaysrlKHTF188peoYB1BSUmVmOjUhlXF6+ARjpAIdKwz9Kwr81Dfsmgd0AxddA4sfHJwgI2VQwg==</t>
  </si>
  <si>
    <t>WO-0547346</t>
  </si>
  <si>
    <t xml:space="preserve">Dollar General #6827 </t>
  </si>
  <si>
    <t>Conway</t>
  </si>
  <si>
    <t>4910585</t>
  </si>
  <si>
    <t>RLN2MA/MY26b013811 ~ RLN3MA/MY26B013832</t>
  </si>
  <si>
    <t>Below are the details for a new service call.  
o Site Name/#: Dollar General 6827 
o Address:  1600 E Oak St Conway Arkansas 72032  
o Store Hours:  8am – 9pm (store will not stay past closing) 
o yes Overtime Approved 
o PO: 4910585 
o Problem: Check In/Out with Store Manager on Duty &amp; Obtain Signature 
Hussmann R290 Microblock Equipment ONLY: rl2ma – my26b013811 these freezers are not keeping temp.!!! - rln3ma- my26b013832 - temp just read 82 degrees now saying defrosting... but not resetting!!!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t>
  </si>
  <si>
    <t>4/7/26
Tech: kris clark 
 Frozen food 4
Condenser :
Model: ALX440U - DS3B01
Serial: 04B2826120722
Case:
Model:RLN2MA
Serial: MY26B013811
Frozen food 5
Left condenser:
Model:ALX440U- DS3B01
Serial:04B2826120723
Right condenser:
Model:ALX44OU -DS3B01
Serial: 04B2826120718
Case: 
Model:RLN3MA
serial:MY26B013832
Arrived onsite and spoke with the manager.  She stated that both frozen food 4 and 5 were going in and out of defrost and showing high temp and then randomly started working. I pulled the log in all 3 controllers and found that all 3 rose in temperature around 1030am on 4/6 with a call for cooling. They started to recover, went through a defrost and stayed in a high temperature state before pulling down. I have pulled as many graphs as i could and i will need to review it with technical support. I do see one of the coil temp sensor for frozen food 5 is at a higher temperature than expected.  I will need to investigate that. I forced a defrost and noticed i have a 10+/-2 degree difference in my compressor discharge temperatures while in defrost.  The system recovered fairly quick once it started cooling after defrost. I will speak with technical support and return. Resource: Kristopher Clark
4/8/26
Tech: Kris Clark
space temp:72
humidity:41%
Returned to the site and took frozen food microblocks covers off to check for ice, i found some ice buildup on the right unit but no ice on the coil. it was on the suction line around the sensing bulb and in the corner of the drain pan, i cleared the ice, checked the coil sensor with ice water and confirmed that it is reading correctly. i synced the times for the case and started a manual defrost to sync the defrosts together. I spoke with engineering about the compressor discharge temps showing a difference of 10+ degrees and it is normal for this setup. The box is cycling at temp. at this time and i do not see any issues. I will leave the ticket open for a day to monitor and return if needed. Resource: Kristopher Clark
reviewed the systems remotely and they are holding temp. job is complete Resource: Kristopher Clark</t>
  </si>
  <si>
    <t>598336bd-8e30-f111-88b4-000d3a1d8efd</t>
  </si>
  <si>
    <t>cNjEUbwAZ/U34ulNB2rJpNGTQXBqpJvPTlJDlnzAguLU4A+N9XLBXPhzv6aM3eEIViuQnO64WFrS+OGuXkiTLg==</t>
  </si>
  <si>
    <t>WO-0546538</t>
  </si>
  <si>
    <t>4906543</t>
  </si>
  <si>
    <t xml:space="preserve">RLN2MA/MY26B013812 </t>
  </si>
  <si>
    <t>Below are the details for a new service call. 
o Site Name/#: Dollar General 20876
o Address: 302 MAIN ST, ELAINE, AR 72333
o Store Hours:  8am – 9pm (store will not stay past closing)
o No Overtime
o PO: 4906543
o Problem: Check In/Out with Store Manager on Duty &amp; Obtain Signature
Hussmann R290 Microblock Equipment ONLY: RLN2MA / MY26B013812 Water is leaking under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</si>
  <si>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47/26  Tech: kris clark  Case: Model: RLN2MA  Serial: MY26B013812 Condenser skid: Serial: 04C0426120788 Model: ALX440U-DS3B01  Arrived onsite and checked in. I found no water around any of the cases, i spoke with the store manager and she stated it was multiple cases new and old across the store. The store is currently 71 degrees at 35% humidity. The site's service provider was onsite and mentioned the hvac was down but it was repaired recently and the site struggles with humidity. I put the system in defrost and checked all functions and everything is working as it should. Job is complete. Resource: Kristopher Clark</t>
  </si>
  <si>
    <t>1dc8eaa6-e12e-f111-88b4-6045bddb9d4c</t>
  </si>
  <si>
    <t>CVjRwWVmC3cNvQq/YVdTOo53SjNjQp7vuNxoqxRJskZwcV4b18ZNwpzNAPKDelr8sCLYWheLVFj8MixnubxmMQ==</t>
  </si>
  <si>
    <t>WO-0545463</t>
  </si>
  <si>
    <t xml:space="preserve">DOLLAR GENERAL #10369 </t>
  </si>
  <si>
    <t>Ajo</t>
  </si>
  <si>
    <t>TAVANT/PRODUCT CARE HUS-1118021</t>
  </si>
  <si>
    <t>WIRING/CONTROLLER</t>
  </si>
  <si>
    <t>RMN4MA/MY26B016036, LEFT</t>
  </si>
  <si>
    <t>Store Hours:  8am – 9pm (store will not stay past closing) 
o OT Approved
o PO: Tavant/Product Care
o Problem: Check In/Out with Store Manager on Duty &amp; Obtain Signature 
Hussmann R290 Microblock Equipment ONLY: Job Scope: Lack of Refrigerant
Tech must obtain a photo of the equipment tag that includes Model &amp; Serial Number on the case and Condensing Unit (Tecumseh). Please review and Confirm the Checklist items below. 
We are observing Low refrigerant Operating condition on the MY26B016036, RMN4MA,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t>
  </si>
  <si>
    <t>Made contact with the management, found the case was holding temp at 37⁰, found that one side ( left circuit ) of the case was not moving airflow, found the evaporator coil was iced up, found the evaporator fan wasn't running, found the power wire was not connected to the Carel controller. I connected the wire to the controller, checked amp draws ( 0.4 amps ), ran the circuit through four defrost cycles till the ice was fully melted, and allowed the case to drop temperature. The case is a time off defrost,  confirmed the condensing unit fully shuts down and the fan stays running. Confirmed the airflow direction. The case is now holding at 36⁰ on both circuits and is operating as it should at this time. Resource: Erich McGhee
Closing the tocket Resource: Erich McGhee</t>
  </si>
  <si>
    <t>c5b7f627-dd2e-f111-88b4-6045bddb9d4c</t>
  </si>
  <si>
    <t>L71wnIZ+H7uas6v5dQTAxjYgSlKhyj3Sr+QLH++xFb4rJlvoCSxjQLy66N0LR+7tavg6Tzso4m+YNOliq5NcAA==</t>
  </si>
  <si>
    <t>WO-0545426</t>
  </si>
  <si>
    <t xml:space="preserve">Dollar General #12879 </t>
  </si>
  <si>
    <t>Dickinson</t>
  </si>
  <si>
    <t xml:space="preserve">SENSOR </t>
  </si>
  <si>
    <t>RMN5MA/MY26B016549, LEFT</t>
  </si>
  <si>
    <t>o Store Hours:  8am – 9pm (store will not stay past closing) 
o Overtime Approved
o PO: Tavant/Product Care
o Problem: Check In/Out with Store Manager on Duty &amp; Obtain Signature 
Hussmann R290 Microblock Equipment ONLY: Sensor Swap - Defrost Terminate and Discharge Air
Tech must obtain a photo of the equipment tag that includes Model &amp; Serial Number on the case and Condensing Unit (Tecumseh). Please review and Confirm the Checklist items below.
 Dispatch Reason: Sensor Swap - Defrost Terminate
We are observing a Sensor Swap condition on the Serial number MY26B016549, Model: RMN5MA, LEFT Module between the Defrost Terminate Sensor and the Control Temperature Sensor on the Micro block refrigeration case at the above-mentioned location. The alarm has remained active beyond the configured threshold 60 minutes.
The store is currently operational and fully stocked with products. If this condition is not corrected in a timely manner, it may result in incorrect temperature control, improper defrost operation, energy wastage, potential product loss, and overall store operational impact, which could negatively affect case performance and product integrity.
To prevent escalation and potential equipment or product impact, we request a P2 (High) priority site visit.
Checklist:
•	Confirm that the Defrost Terminate Sensor is connected to the correct controller input terminal between S2 and Gnd.
•	Confirm that the Discharge Air Sensor is connected to its designated controller terminal between S1 and Gnd.
•	Verify that the Defrost Terminate probe is properly mounted at the evaporator coil termination/outlet point.
•	Verify the Discharge Air probe is mounted in the supply (discharge) air outlet path
•	Check for Discharge Air Sensor by:
•	Holding probe by hand and observing temperature response on the controller display
•	If a sensor swap is identified:
o	Correct the sensor wiring and probe positions
o	Verify normal defrost operation, accurate temperature readings,
o	Verify all the alarm clear (if any Present).
Tech MUST contact Hussmann Connect Solutions via TEAMS when on site &amp; before leaving the store:   &lt;insert names&gt;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</si>
  <si>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04-03-26 juan olvera tech dispatch send me one emergency service call, first in the morning i drove to site job upon arrival check-in with manager, then i located the case model RMN5MA, serial # MY26B016549, the case is a medium temperature and is a beer case, for next the controller on top of the case has one alarm E2 alarm which is related to the sensor, for next i set up my 6 foot ladder in order to open the controller box, then i found the defrost sensor S1, S2 wire lose in the terminal connection, i connected the wire sensor and connect the terminal wire back to the the controller, the case is not alarming for E2 sensor, and is working the case is set for 39 Fahrenheit cut-in and cut-out at 32 Fahrenheit, the termination defrost sensor is set for 48, and the  termination defrost sensor, discharge air sensor, and the evaporator sensor, all this sensor are working, i set the unit in defrost test, and the refrigeration is working form 32 Fahrenheit and 39 Fahrenheit, for last i explain to the manager my performance and this call is complete. Resource: Juan Olvera Mendoza</t>
  </si>
  <si>
    <t>37e83f7b-282d-f111-88b4-7c1e5257c290</t>
  </si>
  <si>
    <t>LRwgZeoi32phkmyAKdxdgwqjN+5GYfiRZEljduipTAV52ZmUoQgZswAhjUEnxoEBSrxHGc/E9sfYbP61c8/tWg==</t>
  </si>
  <si>
    <t>WO-0542512</t>
  </si>
  <si>
    <t xml:space="preserve">Dollar General #16435 </t>
  </si>
  <si>
    <t>4894014</t>
  </si>
  <si>
    <t>COMMUNICATION/STORE POWER ISSUE</t>
  </si>
  <si>
    <t>BILLABLE CALL – READ DIRECTIONS BELOW – INVOICE TO DG.SERVICE@HUSSMANN.COM
Hussmann Cases ONLY: 
Possible power surge/outage… Check all the existing/old Hussmann Cases to ensure operating correctly.  Take picture and/or picture of equipment tag (model/serial) of each case you work on with detail summary.   
RFMN3 - MY20H061115 Lights keep flickering on and off and the temperature reads 12 degrees and increasing but drinks are still cold. been ongoing for awhile. 
RFMN4- MY20H061125- Lights keep flickering on and off and the temperature reads 67 degrees and rising but product is still cold. been ongoing for awhile.
RFMN4- MY20H061124- Lights keep flickering on and off and the temperature reads 67 degrees and rising but product is still cold. been ongoing for awhile.
RFMN4- MY20H061125- I was contacted by someone from Hussman Corporation and was asked to submit another ticket to try to get contact information for previous service technicians for older coolers but there is no other option and theres three old cooler units out and one new cooler unit out.
Overtime Approved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</si>
  <si>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Insp coolers for not maintaining temp and found multiple coolers offline due to power issue.  Found 1 leg of 3 phase power to not have power causing cases to flicker when trying to start.  Verify dead power coming in and then cycle off all effected coolers.  Asked to return after power restored.  Inform store to contact aps to restore power Resource: Ryan Bugarin
Complete. Resource: Ryan Bugarin</t>
  </si>
  <si>
    <t>bafde50e-522c-f111-88b3-7c1e52ff753b</t>
  </si>
  <si>
    <t>cLmL4e1l+TVzk3tkhHHNJHQd6AmdWN38pa4i2UDrHOurNT/3SVCfCrS00TQwSEnb9QGc+weOVewwkWCbHFsFqw==</t>
  </si>
  <si>
    <t>WO-0541656</t>
  </si>
  <si>
    <t>TAVANT/PRODUCT CARE HUS-1118022</t>
  </si>
  <si>
    <t>RMN5MA/MY26B016046, LEFT</t>
  </si>
  <si>
    <t>Warranty end date: July 21, 2026
TECH must obtain a photo of the equipment tag that includes MODEL &amp; SERIAL number on the CASE &amp; CONDENSING UNIT (Tecumseh).  
Hussmann Equipment Dispatch Reason: High Temperature Alarm  
We are observing a High Temperature Alarm on the Serial number MY26B016046, Model: RMN5MA,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Tech – please review &amp; confirm the check list items listed below:  then contact "VIN" Vinodrajan Paramasivan/Store Connect via MS TEAMS when on site and before leaving the store.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</si>
  <si>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Check in with manager, tech found wire for c1 terminal on controller had become loose and was no longer connected, power off and secure wire to conecter and torque to spec. Start up unit and monitored operation untill setpoint. Perform checklist inspectio: no ice on evaporator, fan spinning correct direction, verify defrost operation as designed. Resource: Kelley Bruning</t>
  </si>
  <si>
    <t>fc119d6e-462c-f111-88b3-7c1e52ff753b</t>
  </si>
  <si>
    <t>5c43lzlj5xVdv5rezLYRg3m8Dh9LOeDiapV7bbXEdG9mlvCDbDg40XRnfWQLkM9uFl3f+CZ5F2ltidQuSktrrw==</t>
  </si>
  <si>
    <t>WO-0541572</t>
  </si>
  <si>
    <t xml:space="preserve">Dollar General 22799 </t>
  </si>
  <si>
    <t>4891201</t>
  </si>
  <si>
    <t>PRODUCT LOSS - 2 LT</t>
  </si>
  <si>
    <t>RLN2MA/MY26B014943</t>
  </si>
  <si>
    <t>TECH must obtain a photo of the equipment tag that includes MODEL &amp; SERIAL number on the CASE &amp; CONDENSING UNIT (Tecumseh).  
We are observing a High Temperature Alarm on the Serial 
Hussmann Equipment Rln2ma- My26b014943- Temp to high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</si>
  <si>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</si>
  <si>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ef7e2539-3c2c-f111-88b3-7c1e52ff753b</t>
  </si>
  <si>
    <t>Tk8UucczaJhCREjSPveolWqui5hQVamDmO2n8dRdwQKoozB1D75o/+uVnbnMp6ZWgKnFkaZniDVvy0MjheyDrw==</t>
  </si>
  <si>
    <t>5/15 Suzanne is waiting for Product Care team to respond</t>
  </si>
  <si>
    <t>WO-0541495</t>
  </si>
  <si>
    <t xml:space="preserve">Dollar General #22149 </t>
  </si>
  <si>
    <t>TAVANT/PRODUCT CARE TIM SMITH</t>
  </si>
  <si>
    <t>CAREL CONTROLLER</t>
  </si>
  <si>
    <t>RMN5MA/MY26B013852  RLN3MA/MY26B013833 ~ RLN2MA/MY26B013807 ~ RFMN4/MY21G066701</t>
  </si>
  <si>
    <t>TECH must obtain a photo of the equipment tag that includes MODEL &amp; SERIAL number on the CASE &amp; CONDENSING UNIT (Tecumseh).  
Hussmann Equipment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</si>
  <si>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spoke to management. Went to case and called store connect support Vinodrajan Paramasivan. checked all systems for proper addresses. All addresses correct. Checked wiring Across all cases and leading to store connect box. Wiring correct. Still only one case seen by store connect. Will have to return at later date to continue troubleshooting. All cases at operating temperatures. Resource: Joseph Daum
Checked over com loop with Vin made sure all com loop connections are correct and tightened. Check all addresses on controllers. They are all correct. Determine that we have bad controllers and will get new controller shipped out. Resource: Jake Hoppe</t>
  </si>
  <si>
    <t>0b15e0a8-3b2c-f111-88b3-7c1e52ff753b</t>
  </si>
  <si>
    <t>ZSSPEA9gcXVYAeHasTAXtnPEtGCdQ/PBUU6NjcjFUuTPfddoi2GM76/9hckE7rkrDNKwChwI3SNQdk/Xe6cong==</t>
  </si>
  <si>
    <t>WO-0541490</t>
  </si>
  <si>
    <t>N/A</t>
  </si>
  <si>
    <t>Warranty end date: July 14, 2026
TECH must obtain a photo of the equipment tag that includes MODEL &amp; SERIAL number on the CASE &amp; CONDENSING UNIT (Tecumseh).  
Hussmann Equipment Only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</si>
  <si>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Upon arrival to store checked in with MOD.  Contacted Hussmann at 1-800-922-1919 #3.
Talked with tech support.  Tech support had
Nate call me from Hussmann Missouri Store connect puluse team. Call me, reset store connect controller.  Back on line. Meet James from Hussmann, Part of Dollar General team at store. Checked out with MOD.    Call complete.  Jbd. Resource: Joseph DeFranco</t>
  </si>
  <si>
    <t>9e7b016e-fb29-f111-8341-6045bddb998a</t>
  </si>
  <si>
    <t>IgpO1qNYo0fOMUSTe41pUPs048R2s+G1rScqVl5k7t8dcBK5zJzpkui3XpHQI1eO+q8rMDFYn8Z1zOP919Cohw==</t>
  </si>
  <si>
    <t>WO-0540402</t>
  </si>
  <si>
    <t>4886013</t>
  </si>
  <si>
    <t>Hussmann Cases ONLY: MY20C021319, Invalid temperature reading +60  
non warranty  billable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</si>
  <si>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Techs onsite 3/30 completed Resource: CLIMATE COOL LLC</t>
  </si>
  <si>
    <t>183455c4-4125-f111-8341-7c1e5257c75c</t>
  </si>
  <si>
    <t>yESqzb61hOmh0kf63nvCEeeuoJBJQNoIkMd4kP32V36ngnR1bb1Jp4NU8OG0209WqzUdFYoKF6rLXXlcUBm2Fg==</t>
  </si>
  <si>
    <t>WO-0536941</t>
  </si>
  <si>
    <t>TAVANT/PRODUCT CARE 4889009</t>
  </si>
  <si>
    <t>TEMPERATURE ALARM</t>
  </si>
  <si>
    <t xml:space="preserve">CONDENSING UNIT </t>
  </si>
  <si>
    <t>RLN3MA/MY26B014956, LEFT ~ RLN2MA/ MY26B016476, LEFT</t>
  </si>
  <si>
    <t>UPDATE: 3/22:  another case RLN3MA/MY26B014956, left condensing unit appears to be having an issue.  Priority: P1 – Critical (Immediate) 
Sorry - change: Tech must contact "VIN" Vinodrajan Paramasivan/Store Connect via TEAMS, when on site and before leaving the store.
Dispatch Reason: High Temperature Alarm  
We are observing a High Temperature Alarm on the Serial number MY26B016476, Model: RLN2MA,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</si>
  <si>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3/21/26 I arrive in spoke with the manager. Found the location of the moisture in the entering the case. Washed the evaporator. Was not able to wash the backside of the evaporator, will let thaw out overnight and return in the morning to start the case back up. Resource: Thomas Waid
3/22/26 I arrived and spoke with the manager. Reassembled the case, fastening the ceiling panels to the canopy, setting in place: the shelves and lower deck pans. Removed the water that drained into the drain pan, whilst the case was powered down, using a wet vacuum. Sealed around the cassette with foam-o-fil, to prohibit moisture from entering in through gaps. Started it up the case, and it is pulling down to temperature setpoint. Currently it's at minus 1 degree fahrenheit. Was told to investigate the adjacent 3 door self contained freezer. Found that the evaporator needs to be defrosted. Spoke with the manager, they asked me to return tomorrow to power down the case after the product has been pulled. Cleaned up the area and picked up all trash. Resource: Thomas Waid
Arrived,  checked i. With the manager, spoke with the field engineer,  verified the evaporators had defrosted, verified slope on the drain lines, applied foam-o-fil to the front most edge of the cassete housing for both evaporators. Started up the unit.  Will return tomorrow to finish up Resource: Thomas Waid
3/25/26 I arrived and checked in with the manager. Worked on finding installation issues with the hussmann field engineer Resource: Thomas Waid
3/26/26 I arrived and spoke with the manager.  Did time tables of the line temperatures during defrost, took amperages of the solenoids during defrost. Helped the field engineer collect the information.  Currently both cases are hovering around temperature setpoint. Informed the manager it was safe to put the product back. Resource: Thomas Waid
3/27/26 I arrived and spoke with the manager. Helped the field engineer run tests, had the product pulled from the two door freezer and moved the three door freezer. Disconnected the power to the unit(two door), will return Monday to add propane to the two door unit. Resource: Thomas Waid
3/30/26 Leak tested self contained unit. Cassette, atop unit to be replaced.  Part is being sent by the factory. Will replace cassette after it arrives. Resource: Thomas Waid
Assisted tech on site Resource: Marques Pierre-Louis
case unit Resource: Devin Scott
4/2/26 I pucked up the replacement cassette.  I arrived and spoke with the manager.  Installed the replacement cassette. Applied butly-sealant around the all three cassettes: the newly replaced cassette and around the two on the unit that had not been replaced. Took amperage measurements for the new cassette during defrost, the amps indicate the unit has a full charge of propane.  Took temperature measurements for the new cassette during defrost, the temperature readings verify that the unit is reaching the critical pressure needed to defrost the evaporator coil during defrost. Tested the case itself for leaks in its seals using a fog machine, no leaks. Currently the case is at minus 2 degrees Fahrenheit and pulling down to temperature setpoint. Cleaned up the work area and picked up all trash.  Informed the manager to leave the freezer unstocked tonight and that they would be able to use the freezer tomorrow, and they are aware. 
Cassette 
Model# ALX44OU-DS3B01
Serial# 04C1726120983 Resource: Thomas Waid</t>
  </si>
  <si>
    <t>d90c8094-8524-f111-8341-000d3a1d8d04</t>
  </si>
  <si>
    <t>4iq7Qu+3ysAqeDYw3jArmoLgpbBcxrj5ieWGCEkPIhV58Txnfaw7+qQOKn2SpdI6POZkTNr1Mq8gUMOEIGc0RQ==</t>
  </si>
  <si>
    <t>WO-0536554</t>
  </si>
  <si>
    <t xml:space="preserve">Dollar General #31793 </t>
  </si>
  <si>
    <t>Clay</t>
  </si>
  <si>
    <t>AL</t>
  </si>
  <si>
    <t>4861471</t>
  </si>
  <si>
    <t>ASSESSMENT</t>
  </si>
  <si>
    <t>RFMN5/MY20D029393</t>
  </si>
  <si>
    <t>This is a billable/FEXA (existing Hussmann Equipment) call &amp; ignore the NTE amount; Perform a thorough inspection of the problem case(s). submit a proposal for repairs that require parts to be ordered.  Tech can proceed if parts are available on his truck, if not – must pull off &amp; submit proposal for approval to proceed.  Please note it doesn’t matter someone else install the cases &amp; are Hussmann cases.  Warranty end date: July 4, 2026
Hussmann Cases ONLY: my20d029393, Not keeping the specified temperature, Not working at all
. my20c024328, There is a strong smell inside the unit.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</si>
  <si>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My20d029393 case was at temp, freezer case no issue
My20c024328 smell, this was in all case but it's not out of the ordinary for older equipment to have an oder. This case also has 1 fan motor out was going to pick up new motor and installed on Wednesday the 25th of March, was told by store that was the next day someone would be on site. 
Jared wants to qoute a coil cleaning on the cases
My20c018770 was the only case not at temp, medium temp case, suspected low on gas, added 3 lbs of 448a to case and case was below 38 degrees at time of departure. Both king valve caps and service port caps were loose leaking small amount of refrigerant. 
All other cases were running without issue Resource: Andrew Harp
Went by united in the way to site and picked up new fan motor for first case. Once arrived at site removed lower panel and took fan assembly out. Changed out motor and reinstalled. Also picked up some odor neutralize spray form. Went through each medium temp case and sprayed length of case to remove smell. Leak checked back over case that gas was added to,  no leaks found. 2 cases were in alarm but it was due to vendors adding product. No other issues found.
*parts only used 1 of 2 motors used, wouldn't allow to only fulfill 1. Resource: Andrew Harp</t>
  </si>
  <si>
    <t>431e73b2-8324-f111-8341-000d3a1d8d04</t>
  </si>
  <si>
    <t>len/p2+Gpmgi1BHcE0z2mYLafOvBqo6Rn6D2/WPtq5qWPRiFLNsO3wayaYRtc61YtzRIJlwfGvGBmV4CLz8LoA==</t>
  </si>
  <si>
    <t>WO-0536547</t>
  </si>
  <si>
    <t xml:space="preserve">Dollar General 25565 </t>
  </si>
  <si>
    <t>Norton</t>
  </si>
  <si>
    <t>VA</t>
  </si>
  <si>
    <t>4869761</t>
  </si>
  <si>
    <t>THIS IS A BILLABLE CALL - Perform a thorough assessment of all the Hussmann Equipment, cases are out of warranty; installed back in March 2023, 3 years old. Take pictures of the cases, check the store temperature, ambient conditions &amp; quote repairs needed.   
Hussmann Cases ONLY: this location's entire lineup is down currently . We need a Hussmann technician to assist with completing an assessment and quote what will get us back up and running . Candace Robertson SSC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</si>
  <si>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Assisted Logan Hagood Resource: Dylan Yates
. Resource: Austin Artrip
Completed by Austin Artrip and Steve Marshall Resource: Dylan Yates
Finished cleaning condensers and installed pump.
Found another pump bad for a total of 3.
Sent Suzanne Basaca email and informed her of eta on parts and completion date on store.
4/!5- Arrived on site and installed heated pans. Made sure everything was working properly.
Will return on opening morning per managers request.
will return
Call has been completed. Resource: Steven Marshall
Complete Resource: Kenneth Hagood</t>
  </si>
  <si>
    <t>3f0bfbb9-cd23-f111-8341-7c1e52820356</t>
  </si>
  <si>
    <t>u8Ne2bfmtmSyI4i3XgTpw+vUZ7B1vzG691MT4ZDOyzpEIwW6I+dUfRsID1uvl1k3G7jROEXHZ3QDREWQX2j0aQ==</t>
  </si>
  <si>
    <t>WO-0536090</t>
  </si>
  <si>
    <t xml:space="preserve">Dollar General #04117 </t>
  </si>
  <si>
    <t>Warranty end date:
Hussmann Cases ONLY: New Hussmann R290 Cases are DOWN.  Tech must contact Tim Smith/Sales Rep @ 479-502-4290 when on site &amp; before leaving!  Or he will reach out to you.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</si>
  <si>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Meet with installation contractor and checked new cases.
Cases were not comming online in their ems system. 
Checked comm wiring, ran new comm wire and verified polarity, polarity in carell case controller was at the wrong connections points, corrected and , tested out , now all case controllers are online and all temperatures are normal.. Resource: German Castillo</t>
  </si>
  <si>
    <t>b7bb1362-f91e-f111-8341-6045bddb9d4c</t>
  </si>
  <si>
    <t>yt0SLX323Rcg0Z1h3CeV8C8fwcenfHG0cgZqenzr6LpQ1zcMy8BeAhTND3S37vRZo5aKlFFOPO8twUu5ykzMSQ==</t>
  </si>
  <si>
    <t>WO-0532764</t>
  </si>
  <si>
    <t xml:space="preserve">Dollar General #22515 </t>
  </si>
  <si>
    <t>Fort Smith</t>
  </si>
  <si>
    <t>4847185</t>
  </si>
  <si>
    <t>RMN5MA/MY26B013859</t>
  </si>
  <si>
    <t>Warranty end date: June 30, 2026
Hussmann Cases ONLY: RMN5MA, MY26B013859  there is water dripping from top inside the cooler, shelves have water standing and product is getting soaked. There is also a few doors that will not close right back they will stay open unless you force to close.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</si>
  <si>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</si>
  <si>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b1be78fc-871d-f111-8341-7c1e5257c290</t>
  </si>
  <si>
    <t>Sb9b19hspP2ZOd2Bq4JfDRA0MqWfO5duAJrlnjnVob7Ayvnv6WTE399TZdVItIL4u1X5S9F/l6/Y3ZPTti3teg==</t>
  </si>
  <si>
    <t>WO-0531599</t>
  </si>
  <si>
    <t xml:space="preserve">Dollar General #25554 </t>
  </si>
  <si>
    <t>Congress</t>
  </si>
  <si>
    <t>4829112</t>
  </si>
  <si>
    <t>RFLN3/MY24D034504</t>
  </si>
  <si>
    <t>Hussmann Cases ONLY: RFLN3/MY24D034504 Invalid Temperature – tech must thoroughly check &amp; repair case.  If technical support is needed, please call 800-922-1919; option #3 or FER Team:
Todd Green @ 210-346-0005, Jeff Fosnaugh  @ 314-501-8736 or Andrew Miller @  314-501-8698.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</si>
  <si>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Hussmann frozen case running warm. Model # RFLN3 Serial # MY24D034504. Manufacture date 4/22/24 not sure if case is under warranty. Tried calling tech support for warranty info and they were closed for the night. Did not work on case until further notice. Resource: Ramond Ramirez
Arrived on site, checked in with manager. Found 3 door freezer low or gas leaking from a loose compression fitting. Tightened fitting and stopped leak. Added 3 lbs of R-448A and monitored system operation and pressure while it dropped in temp. We are now running at proper temp with 7°F of superheat and 11°F of subcool. All operations in the green. Resource: Christian Billingsley</t>
  </si>
  <si>
    <t>d0abe02a-5d1d-f111-8341-000d3a9c89ad</t>
  </si>
  <si>
    <t>wn9InjAQwcPnVR8AdWsXr/msSfac5ynnq4ausAwaMKRbBJvPj6DIFq55vjKUhppUaDpE6pV3DSEGT1uN9P+AOw==</t>
  </si>
  <si>
    <t>WO-0531272</t>
  </si>
  <si>
    <t xml:space="preserve">Dollar General #21606 </t>
  </si>
  <si>
    <t>TAVANT/4838996</t>
  </si>
  <si>
    <t xml:space="preserve">RMN5MA/MY26B013853 </t>
  </si>
  <si>
    <t>Warranty end date: June 30, 2026
Hussmann Cases ONLY: RMN5MA, MY26B013853 Water is leaking under unit, The cooler is leaking a fair amount of water out of the bolt that connects the door to the rest of the machine. The water is leaking down the entirety of the inside of the door with no clear sign of it stopping. The bolt seems to be loos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</si>
  <si>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checked in. Cooler leaking water. Found condesnate line blocked due to aluminum tape being damaged causing water to build up in evaporator. Fixed this issue. All other self evaporation pans were almost full of water and store is very humid. Informed manager that high humidity can causing excessive water in pans. All equipment is operational and draining, evaporating normally. Issue resolved. Resource: Neil Sparks</t>
  </si>
  <si>
    <t>51dbb896-b61c-f111-8341-70a8a5462361</t>
  </si>
  <si>
    <t>lj/1jGbsad4GoEHJslmowQbJsZoURJhD4v64jtNgHX2Iv3pxP6JL5FsgUvV2iMTBYYM1vBOi40JWb/FB4ZcvmQ==</t>
  </si>
  <si>
    <t>WO-0530734</t>
  </si>
  <si>
    <t xml:space="preserve">Dollar General #23669 </t>
  </si>
  <si>
    <t>Falls City</t>
  </si>
  <si>
    <t>4834020</t>
  </si>
  <si>
    <t>Hussmann Cases ONLY: Serial #MY21M107766 - Invalid temp reading @ 60 degrees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</si>
  <si>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Good morning, on Thursday the 12th we went to the store and replaced the compressor fan on model: RFMN5 - MY21M107766 and it worked perfectly Resource: CLIMATE COOL LLC</t>
  </si>
  <si>
    <t>58eb6681-4d16-f111-8341-7c1e5257c75c</t>
  </si>
  <si>
    <t>DNawoT93gzfncNVzCryAJQazFndTXjyAZ5YsD1446ymHxamOzkPU7Mb7l18Ob4UX4jqyPAblNR1eOmNi4JQINw==</t>
  </si>
  <si>
    <t>WO-0524098</t>
  </si>
  <si>
    <t>4813913</t>
  </si>
  <si>
    <t>BILLABLE CALL – READ DIRECTIONS BELOW 
Warranty end date: (June 23,2026) Hussmann Cases ONLY: &lt; RFLN4 - MY20D029035 - ICE CREAM COOLER IS NOT WORKING OR KEEPING TEMP. THE TEMP IS CURRENTLY READING AT 12 DEGREES. AND ICE CREAM BOXES ARE GETTING SOFT.- RFMN5 - MY21M107766 - NEW COOLERS WERE PUT IN AND THE COOLERS WITH THE MILK IS NOT KEEPING TEMP. IT IS KEEPING THE MILK COOL BUT NOT COLD AND IT IS READING A TEMP OF 57 DEGREES. &gt;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DISPATCH
Below are the details for a new service call.
BILLABLE CALL – READ DIRECTIONS BELOW – INVOICE TO DG.SERVICE@HUSSMANN.COM
o Site Name/#: Dollar General
o Address:
o Store Hours: 8am – 9pm (store will not stay past closing)
o NTE: Cannot exceed $1500 (including sales tax &amp; freight). Proposal for increase must be submitted before the work is done.
o PO:
o Problem: Check In/Out with Store Manager on Duty
Hussmann Equipment ONLY: &lt;insert issue&gt;
· Tech can work on multiple Hussmann Cases with one ticket, confirm all cases are operating or diagnose before leaving the store.
· Tech must list or take pictures of the data tag of all equipment model/serial number repaired on service ticket and provide a detail work summary of each equipment repaired.
· If you need assistance, please contact Hussmann Technical Support @ 800-922-1919, option #3. If Parts are needed, contact Hussmann Warranty Parts @ 855-487-7778, option #6 – state it’s for Dollar General
· Copeland compressors are under warranty over the counter through United or Copeland Distributor. Sanhua TXV replacement is not available – source Sporlan. If parts are not available &amp; have long lead time, send us an e-mail @ dg.service@hussmann.com to help locate.
· Invoices must be submitted within 45 days of repair completion date through FEXA for payment. Reach out to April Marolf with any questions.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</si>
  <si>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We work on the 3-door freezer, Model RFL 4 Serial # MY20D029035
We replaced a damaged contactor; I'll be attaching photos. The job was completed successfully. Resource: CLIMATE COOL LLC</t>
  </si>
  <si>
    <t>4b89cb41-e215-f111-8341-7c1e5257ceaa</t>
  </si>
  <si>
    <t>IDn+podOq3bkeLb7H52ZXt5H2xbq1SR9cIpFNKhCxW4RWfXXsrzoT5Mf1+iYZn0j6q+tJK9C59XupzJtsbpz6A==</t>
  </si>
  <si>
    <t>WO-0522796</t>
  </si>
  <si>
    <t xml:space="preserve">Dollar General #13736 </t>
  </si>
  <si>
    <t>Beeville</t>
  </si>
  <si>
    <t>4812073</t>
  </si>
  <si>
    <t>BILLABLE CALL – READ DIRECTIONS BELOW – INVOICE TO FEXA 
Warranty end date: 6/23/2026
Hussmann Cases ONLY: MY20E035123 Temp is reading 58 and lights are blinking and it appears coolers turning off and on. // MY20E035123 Invalid temp reading +62°. // MY20E039971 Invalid temp reading +68°. //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</si>
  <si>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Tech on site. Electrician needed. Resource: ENCORE MECHANICAL LLC
Call completed Resource: ENCORE MECHANICAL LLC</t>
  </si>
  <si>
    <t>cc93cb6e-d515-f111-8341-7c1e5257ceaa</t>
  </si>
  <si>
    <t>rirjq/Z7LsRORQsViD4YlwS6IKBB8z5zmsEEp3eDskLAmM6As5eZ0/AdNWw/j0ewdUlW5EOhmYqOfTkF+2LB6A==</t>
  </si>
  <si>
    <t>WO-0522756</t>
  </si>
  <si>
    <t xml:space="preserve">Dollar General #20467 </t>
  </si>
  <si>
    <t>Slidell</t>
  </si>
  <si>
    <t>4811927</t>
  </si>
  <si>
    <t>RFMN5/MY19M090252</t>
  </si>
  <si>
    <t>MY19M090252 Not keeping cool and alarm is sounding temp is at 60
BILLABLE CALL – READ DIRECTIONS BELOW – INVOICE TO FEXA 
Warranty end date: 5/19/2026
Hussmann Cases ONLY: MY19F050586 Unit is leaking water.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</si>
  <si>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Travel to site and check in with Wil .Locate deli case iced up and have case uloaded..  Additional Work Resource: Christopher Casanovas
Travel back to site and deli case has thawed ,with normal air flow.Check pressure temperature and case has enough refrigerant.Note that case temperature sensor and test digital instrument are off .Dixell case sensor is off and make
a justment via Hussmann tech support.Also check and adjusted case superheat.Log store Emerson controler and case never reached target temperature 32 as far back as January. Witness case reach target temperature 32 and cycle back on at 38.Case is back to normal operation.
Check frozen pizza case and it had air leak causing drip on right side.Seal joining seam with air breach .Use foil gum tape preventing air penetration. Resource: Christopher Casanovas</t>
  </si>
  <si>
    <t>4004f35f-b915-f111-8341-7c1e5257ceaa</t>
  </si>
  <si>
    <t>1ZqQIdsU0fLzsyK4Nc6uQVCmtIt/BhtvMR+ECyWlrvr4AlcV24ToAR/iqO+zQDrdxGQSH9UCdDJaRjlIaZL1rg==</t>
  </si>
  <si>
    <t>WO-0522685</t>
  </si>
  <si>
    <t>Des Moines, IA (Urbandale)</t>
  </si>
  <si>
    <t xml:space="preserve">Dollar General #7398 </t>
  </si>
  <si>
    <t>Marion</t>
  </si>
  <si>
    <t>IA</t>
  </si>
  <si>
    <t>4812464</t>
  </si>
  <si>
    <t>BILLABLE CALL – READ DIRECTIONS BELOW – INVOICE TO FEXA 
Warranty end date: 6/23/2026
Hussmann Cases ONLY: MY19K071633 The cooler temp is at 80 degrees and reading a CA code. and there is an alarm going off as well.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WO Summary
3/1/26- arrived on site and got checked in with management and found out the case started running warm yesterday. He showed me the case that was running warm, they removed product before having to throw away. I found the E2 in the back room but do not have the user name and password to clear the alarms on the case. I couldn't get ahold of anyone who knew who Installed this case or who knew what the username/password is. I verified all evap fans were running, they are. I got on top of the case and found the condensing unit. I pulled the cover off the compressor and found it didn't have voltage going to it so it was wasn't being told to run. I tried to reset the dizell controller on top of the case but it was locked out with an alarm "CA" and wouldn't allow me to make any adjustments. I talked with management and they agreed for me to come back in the morning when I can get more information on the unit and the log in information for fhe E2 controller. He agreed. 
3/2/26- got ahold of my service manager this morning and gave him the information on the service call and store. He found out that hussmann did not install the cases and so he couldn't get the log in information for me. He also found out that the cases were not under warranty. I arrived on site and got checked in with management. I informed them that we did not install these hussmann cases and that they are not under warranty since they are refurbished and not brand new. They agreed to have me work on the case anyways. I called hussmann tech support and he was able to help me pull up the system on the E2 and check to see if it was online and communicating. We ended up finding it was offline, and the dixxel controller was not communicating with the E2, therefore the compressor wasn't being told to run. I had to reset the system and get the two controllers back online and communicating. Once I did that the condensing unit kicked on and the case began cooling down. I watched it get down to 40 before leaving. Going to let it run over night before putting product back into it.
3/3/26- back on site this morning following up to make sure the 5 door cooler is still running properly. It is. Cooler running at set point and I graphed it on the E2 it ran fine all night. I told store they can put product back into it. Issue is resolved. Checked out with management.</t>
  </si>
  <si>
    <t>Completed, summary attached  Resource: Max Chesmore</t>
  </si>
  <si>
    <t>Booking states 7/10 but no tech notes -Pinged Branch</t>
  </si>
  <si>
    <t>WO-0611639</t>
  </si>
  <si>
    <t>Dollar General #21257</t>
  </si>
  <si>
    <t>Kankakee</t>
  </si>
  <si>
    <t>Tavant/Product Care</t>
  </si>
  <si>
    <t>RLN3MA / MY26F047544</t>
  </si>
  <si>
    <t>Drain Pain issue</t>
  </si>
  <si>
    <t>WO-0610829</t>
  </si>
  <si>
    <t>5177787</t>
  </si>
  <si>
    <t>RLN3MA / MY26D028107</t>
  </si>
  <si>
    <t>There is a block of Ice on the inside at the top of unit</t>
  </si>
  <si>
    <t>7/10/26-Follow up. Case is dry and at temp this morning. Put into defrost to check drain. Still leaking. Believe interior portion of pan/drain line is cracked. Cannot be accessed without removing unit. Informed office of same. Someone will be out early next week to remove unit and take to shop for service. No new units in stock. Will see if office can order new drain pan assembly, as I'm not sure that it can be repaired.
7/10 - Right Side unit is problem side Per Trever, no new units to install. This unit will have to be repaired. Would try o get a new drain pan assembly if individual parts are available
7/9/26-PLEASE REFERENCE WO 0590766 FOR MORE PHOTOS AND INFORMATION. Case empty. Shut down and clean up all ice and water. Interior is completely dry now. Break away foam sealant to expose "drain line". Cannot tell if foam or foil tape was blocking drainage. Restart case. Will follow up in A.M. to make sure that drain functions, there may be other issues. I cannot check without allowing case to make water. Cannot access coil area to pour water into interior drain pan. More to follow. Case is back on, but store is not reloading until I am complete.</t>
  </si>
  <si>
    <t>ETA 7/9 - No tech notes - Pinged branch</t>
  </si>
  <si>
    <t>WO-0610807</t>
  </si>
  <si>
    <t>WO-0609997</t>
  </si>
  <si>
    <t>TAVANT/PRODUCT CARE 5162403</t>
  </si>
  <si>
    <t>High Temperature Alarm / Invalid Temp reading +48</t>
  </si>
  <si>
    <t>Equipment: Tecumseh condensing unit Model: ALK440U-DS3B01 Serial: 04E0826121814 Work Performed: * Diagnosed system as being low on refrigerant. * Added R-290 refrigerant to restore the proper charge. * Sealed the system after charging. * Monitored operation and verified the unit returned to normal operation. * Box temperature pulled down to -5°F and was operating properly upon departure. * Verified refrigerant circuit and unit operation before leaving the site. Status: Unit running normally at -5°F at completion of</t>
  </si>
  <si>
    <t>WO-0614619</t>
  </si>
  <si>
    <t>5195296</t>
  </si>
  <si>
    <t>LEAKING WATER</t>
  </si>
  <si>
    <t>RLN3MA / MY26C025307</t>
  </si>
  <si>
    <t>Leaking into the freezer onto the product freezing it together</t>
  </si>
  <si>
    <t>WO-0614010</t>
  </si>
  <si>
    <t>Dollar General #10095</t>
  </si>
  <si>
    <t>Noonday</t>
  </si>
  <si>
    <t>SENSOR</t>
  </si>
  <si>
    <t>RMN3MA/MY26D026813</t>
  </si>
  <si>
    <t>Sensor Failure Alarm</t>
  </si>
  <si>
    <t>07/14/26; Check beer case, sn MY26D026813. E1 alarm, power cycle case controller, no change. Pull cover on the controller, found S1&amp;S2 plug unpluged. Wiring extremely tight. Get slack in wiring and pluge back in. Restart unit, alarm cleared and unit came on. Temp dropping. E3 screen blank and won't come on, advise store mgr.</t>
  </si>
  <si>
    <t>ETA 7/15</t>
  </si>
  <si>
    <t>WO-0613989</t>
  </si>
  <si>
    <t>Dollar General #12959</t>
  </si>
  <si>
    <t>5188500</t>
  </si>
  <si>
    <t>COMPRESSOR</t>
  </si>
  <si>
    <t>RLN2MA/MY26E034934</t>
  </si>
  <si>
    <t>Compressor is out making it smell like something is burning</t>
  </si>
  <si>
    <t>WO-0613796</t>
  </si>
  <si>
    <t>Dollar General #20021</t>
  </si>
  <si>
    <t>San Antonio</t>
  </si>
  <si>
    <t>5189787</t>
  </si>
  <si>
    <t>DOOR ISSUE</t>
  </si>
  <si>
    <t>RMN3MA / MY26C025322</t>
  </si>
  <si>
    <t xml:space="preserve"> The Hinge on the top of door is broken . Can not open door all the way .</t>
  </si>
  <si>
    <t>I got to store and check3d in with manager. I found door hold open not attached to door on middle door of 3 door case. I took a closer look and saw the door hold open was broken. I went to my truck and got a new door hold open. Took off the old one and installed the new one. I tested for proper operation. Checked out with manager.</t>
  </si>
  <si>
    <t>ETA 7/14</t>
  </si>
  <si>
    <t>WO-0613652</t>
  </si>
  <si>
    <t>Dollar General #22425</t>
  </si>
  <si>
    <t>Theodore</t>
  </si>
  <si>
    <t>5183783</t>
  </si>
  <si>
    <t>RLN3MA / MY26F047552</t>
  </si>
  <si>
    <t>Unit not holding temp. Blinking HI</t>
  </si>
  <si>
    <t>WO-0613360</t>
  </si>
  <si>
    <t>Dollar General #21742</t>
  </si>
  <si>
    <t>Thoreau</t>
  </si>
  <si>
    <t>NM</t>
  </si>
  <si>
    <t>RLN3MA / MY26E034942</t>
  </si>
  <si>
    <t>WO-0612961</t>
  </si>
  <si>
    <t>Dollar General #12377</t>
  </si>
  <si>
    <t>RMN4MA / MY26D028118</t>
  </si>
  <si>
    <t>7/12/26 I arrived and spoke with the manager. Located the case, was informed that the door on the case was left open last night, noted that all the doors would— stay open, tightened the torque rods on all four doors on the case, and now the doors on the case close automatically— after they are opened. Checked amp draw on the compressors, amp draw is good, checked fof ice on the evaporators, and there is no ice. Everything is working</t>
  </si>
  <si>
    <t xml:space="preserve">NEED SUB/BRANCH to Run - Sent to Suzanne </t>
  </si>
  <si>
    <t>WO-0612947</t>
  </si>
  <si>
    <t>Dollar General #3359</t>
  </si>
  <si>
    <t>Littlefield</t>
  </si>
  <si>
    <t>RLN3MA / MY26B016010</t>
  </si>
  <si>
    <t>WO-0612914</t>
  </si>
  <si>
    <t>Dolalr General #22040</t>
  </si>
  <si>
    <t>Midland City</t>
  </si>
  <si>
    <t>RMN4MA / MY26F048133</t>
  </si>
  <si>
    <t>Found and repaired leak. Added 1 can r290 and confirmed operation and airflow</t>
  </si>
  <si>
    <t>WO-0612908</t>
  </si>
  <si>
    <t>07/12/26 Robert Miller drive out to Thoreau arrived on site check in with store manager Audrey. She stated that all the Refrigeration equipment is running ok but there A/C has been down for three weeks store temperature was above 90°.We walk the cases found the Mod #RLN3MA
Ser#MY26E034942 on workorder three glass doors frezzer. Temperature was at -05 troubleshoot per check list good airflow no ice build up on evap coils all fans are running. Check condenser unit the condenser coil was a little dirty clean coil put system in deforst check operation hot gas fans stop.Check operation of the three glass doors to make sure they was closing be of the store be so hot.All doors was operation closing good.Che k temperature drop down blow -02 after deforst. Check programming on the Carel controller all with spec. 
07/11/26 Robert Miller got the call call the site talk with store manager Leona about Refrigeration cases.She stated that there was no alarms and the store would be closed before I get there not to come tonight morning service. </t>
  </si>
  <si>
    <t>WO-0612878</t>
  </si>
  <si>
    <t>Dollar General #21548</t>
  </si>
  <si>
    <t>Wills Point</t>
  </si>
  <si>
    <t>TIM SMITh</t>
  </si>
  <si>
    <t xml:space="preserve">Request Dallas Branch to repair RLNMA Low Temp Microblock not pulling to temp. We received confirmation a freezer that will not pull down to temp upon startup today. Model Serial TBD by technician. // This store is behind schedule and we are requesting priority service to repair asap. Suspect R290 units low on charge.  // </t>
  </si>
  <si>
    <t>Checked in and out withanager Amanda. Call was for new case running warm. At arrival the only case in alarm on the controller was the right microblock on the case i have attached data tag. This is a medium temperature case. Case is running 48°. Access microblock compressor. Suction line is not cold. Discharge lime is only warm. Shut power off to case. Leak checked. No leaks were found. No way to tell what pressure is on the system. Cut the sealed ends off of lone at compressor. Very little pressure came out. Added access fittings. Pulled vacuum. After vacuum i added 3.5 oz of R290 from truck stock. Turned unit on. Pressure was good and case dropped to temperature. Leak checked again now knowing the pressure of system. No leaks found. Case was likely shipped with correct charge. Attached pictures of all data tags found. Filled out refrigerant tracking. Added refrigerant from truck.stock to work order. Call complete.</t>
  </si>
  <si>
    <t>WO-0612734</t>
  </si>
  <si>
    <t>07-11-2026 HUSSMANN MODEL ID: RLN3MA SERIAL- MY26E039362 COMPRESSOR MICROBLOCK MOD ALX440U-DS3B01 SER 04F0526122254 BM CRS0000675 Arrived on site and spoke with the manager. The manager showed me the freezer that was not cooling properly. The case temperature was 19°F and displaying a high-temperature alarm. Upon arrival, I immediately noticed that one of the freezer doors was being held open by a box of product lodged between the door and the door frame. I also observed that the right side of the freezer was overstocked, restricting proper airflow. I initiated several manual defrost cycles to clear any potential ice accumulation on the evaporator coils. While monitoring the unit, I also noticed extremely high ambient temperatures around the condenser section on top of the freezer. The condenser air intake temperature measured approximately 93°F. The compressors in the lineup were working continuously to reject heat, but the hot air was becoming trapped in the area, resulting in poor condenser performance and reduced subcooling. To improve heat rejection, I asked the store manager if a portable fan was available. The manager provided one, and the fan was store-used for this application. I positioned the fan on top of the lineup to move air across the condensers and exhaust the trapped heat. The improvement was immediate. Condenser temperatures dropped, subcooling increased, and the freezer temperature began pulling down into the negative range. The unit was operating normally upon departure. I also advised the manager to keep the freezer doors fully closed and avoid overstocking the case to maintain proper airflow and cooling performance.</t>
  </si>
  <si>
    <t>WO-0612539</t>
  </si>
  <si>
    <t>Dollar General #22086</t>
  </si>
  <si>
    <t>Oreana</t>
  </si>
  <si>
    <t>5185715</t>
  </si>
  <si>
    <t>RLN3MA MY26E039361</t>
  </si>
  <si>
    <t>Invalid Temperature reading +61</t>
  </si>
  <si>
    <t>WO-0612255</t>
  </si>
  <si>
    <t>5185090</t>
  </si>
  <si>
    <t xml:space="preserve"> TEMPERATURE / BURNT SMELL</t>
  </si>
  <si>
    <t>Please look over cases and if needed recharge R290 Equipment. Freezer has a burnt/burning smell. Not holding temp, currently at 12 degrees</t>
  </si>
  <si>
    <t>7/13/26 Service call for microblock freezer high temp. Drove to site, checked in, gained access to freezer, freezer was in a defrost, no signs of burnt wiring, inspected case further, let defrost terminate, and case pulled down to temp., no issues were found. Case is opersting as it should as of now. Model: RLN3MA Serial: MY26E039362 Checked out with manager</t>
  </si>
  <si>
    <t>WO-0612151</t>
  </si>
  <si>
    <t>RMN4MA / MY26F048132</t>
  </si>
  <si>
    <t>7/13/2026 - Returned to Store case maintaining temperature no alarms present at this time
7/11/26 On arrival space temperature 85 degrees.ac units were offline another contractorworking on ac units.case temp 45 degrees.i did clean both condensers.high humidity in area.follow up work needed will return.</t>
  </si>
  <si>
    <t>NEED SUB/BRANCH to Run - Sent to Suzanne</t>
  </si>
  <si>
    <t>WO-0611903</t>
  </si>
  <si>
    <t>Dollar General #2606</t>
  </si>
  <si>
    <t>Logansport</t>
  </si>
  <si>
    <t>5180847/PRODUCT CARE</t>
  </si>
  <si>
    <t>RMN3MA / MY26E039395</t>
  </si>
  <si>
    <t>Door Hinge Does not work and Door stays open until manually shut</t>
  </si>
  <si>
    <t>Summary - one line per root-cause pick</t>
  </si>
  <si>
    <t>Visible classified lines:</t>
  </si>
  <si>
    <t>Filter Root Cause to read this count.</t>
  </si>
  <si>
    <t>Call Date</t>
  </si>
  <si>
    <t>Work Order</t>
  </si>
  <si>
    <t>Store</t>
  </si>
  <si>
    <t>Commission Date</t>
  </si>
  <si>
    <t>Root Cause</t>
  </si>
  <si>
    <t>Notes</t>
  </si>
  <si>
    <t>After Clean Point</t>
  </si>
  <si>
    <t>Case Serial (from Raw)</t>
  </si>
  <si>
    <t>Column1</t>
  </si>
  <si>
    <t>Door Torque</t>
  </si>
  <si>
    <t>Tech found door torque issue and adjusted it</t>
  </si>
  <si>
    <t>Drain tube blocked</t>
  </si>
  <si>
    <t>High Store RH</t>
  </si>
  <si>
    <t>Ref. leak/ Low charge</t>
  </si>
  <si>
    <t>Enclosure Seal</t>
  </si>
  <si>
    <t>Communication problem</t>
  </si>
  <si>
    <t>Microblock</t>
  </si>
  <si>
    <t>Component Failure</t>
  </si>
  <si>
    <t>Incorrect Program</t>
  </si>
  <si>
    <t>Wrong / Loose wiring</t>
  </si>
  <si>
    <t>False Alarm</t>
  </si>
  <si>
    <t>Defrost Sync</t>
  </si>
  <si>
    <t>Return Air blocked</t>
  </si>
  <si>
    <t>Unknown</t>
  </si>
  <si>
    <t>Freedom</t>
  </si>
  <si>
    <t>Door - general</t>
  </si>
  <si>
    <t>No comments from tech. but looking at the data, this is a door not closing issue which is most likely because of door torque</t>
  </si>
  <si>
    <t>DG Installation issue</t>
  </si>
  <si>
    <t>Case End Seal</t>
  </si>
  <si>
    <t>Overstocking</t>
  </si>
  <si>
    <t>Unidentified air leak</t>
  </si>
  <si>
    <t>Heavy case load</t>
  </si>
  <si>
    <t>Door frame heater</t>
  </si>
  <si>
    <t>Disaster - move cases</t>
  </si>
  <si>
    <t>Program change - Hussmann</t>
  </si>
  <si>
    <t>NA</t>
  </si>
  <si>
    <t>All MB cases in one store</t>
  </si>
  <si>
    <t>No case noms. But before clean point</t>
  </si>
  <si>
    <t>Setpoint change</t>
  </si>
  <si>
    <t xml:space="preserve">One unit was set 5 degress higher than the other. </t>
  </si>
  <si>
    <t>Door not closed (Overnight)</t>
  </si>
  <si>
    <t>Per data the door was open. But tech has cleaned the evaporator to deiced</t>
  </si>
  <si>
    <t>Cassettes were replaced. Tech pierced cassettes and figured they are low on refrigerant</t>
  </si>
  <si>
    <t>Found issue with pumps on freedom cases</t>
  </si>
  <si>
    <t xml:space="preserve">Tech notes about cassette replacement. No more details. </t>
  </si>
  <si>
    <t>Case data seems good. Tech's comments say he cant find anything wrong with the case</t>
  </si>
  <si>
    <t>fexa</t>
  </si>
  <si>
    <t>Door heater plug was not fully plugged in</t>
  </si>
  <si>
    <t>Store connect cancelled this dispatch</t>
  </si>
  <si>
    <t>Worked perfectly fine until the door never got closed on Jun 9th. Door Closed on jun 10th and its working fine after that</t>
  </si>
  <si>
    <t>No power to hot gas defrost solenoid. Tech fixed it and everything worked fine</t>
  </si>
  <si>
    <t xml:space="preserve">Tech notes: Found case lights wired into the door heater controller fixed wiring and got lights on and door hearts wired correctly </t>
  </si>
  <si>
    <t>Door Gasket</t>
  </si>
  <si>
    <t>Notes mentioned a new gasket is needed.</t>
  </si>
  <si>
    <t xml:space="preserve">Tech says he observed low ref. operation condition. But this MT case has been pulling down to temp before tech got there and the compressor is also cycling. </t>
  </si>
  <si>
    <t xml:space="preserve">Store connect dispatched this. Store was running high ambient then. No more such dispatches will happen until store ambient is fixed. </t>
  </si>
  <si>
    <t>Cant see any issue with this. Defrost seems fine, case seems to be pulling down. All tech did was force a defrost and left. Everything running exactly how it did before.</t>
  </si>
  <si>
    <t>All cases freedom and MD lost communication from Jun 10 4pm to jun 13 1pm</t>
  </si>
  <si>
    <t>All freedom/MB cases in store are disconnected</t>
  </si>
  <si>
    <t>Has been getting good defrost for sure. Case temp is good too. No info from tech. Only thing I can think of that can cause water leak is blocked drain tube</t>
  </si>
  <si>
    <t>Comm loss. All cases lost connection at the same time on all cases</t>
  </si>
  <si>
    <t>Eng sent this. Tech didn’t do any air leak testing which is why he was sent in the first place. 
He adjusted the defrost time but I have seen 45min defrost on this case from before he came in. There are some remote defrost changes done from pulse on jun 3. I'll check with Chris tomorrow.</t>
  </si>
  <si>
    <t>All cases (Freedom/Microblock) had power loss starting April 1st. Tech was able to get the power back on for the microblock cases but freedom still does not show any data. Tech's comments were that DG should have their contractors come take a look at the electrical</t>
  </si>
  <si>
    <t>Tech had to adjust door torque on 3 doors MT Case. The drain pan was full of water (probably because of excessive humidity into the case). The compressor discharge seems to be steady from the beginning. Don’t see any issues</t>
  </si>
  <si>
    <t>Data looks okay. Pulling down to -10 pretty much and defrost is about 32. Could be icing. Notes say improper door seal. Could be the door gasket. And they also say waiting for parts so may be new gaskets were ordered?</t>
  </si>
  <si>
    <t>A box was not letting the door to close.</t>
  </si>
  <si>
    <t>Store ambient sensor disconnected. Cant get the actual store ambient but tech notes say store ambient is high. Let controls team know about it.</t>
  </si>
  <si>
    <t>Appears door was left open overnight.</t>
  </si>
  <si>
    <t>Cases were not leveled at all per tech. They were leaning forward. Doors were also not sealing well. Could be door torque as well but cant confirm.</t>
  </si>
  <si>
    <t xml:space="preserve">Tech says all the cases are meeting temps. </t>
  </si>
  <si>
    <t>sc</t>
  </si>
  <si>
    <t>Data shows a sudden rise in temp and not getting back down. Door most likely did not close. The tech went ahead and recharged the cassette when that was not an issue here. Case pulled back down before he came in</t>
  </si>
  <si>
    <t>Recalled the dispatch since the case was returning the normal</t>
  </si>
  <si>
    <t>Door gasket got uninstalled on one door.</t>
  </si>
  <si>
    <t>FEXA flase alarm. Data shows the case is running perfectly fine</t>
  </si>
  <si>
    <t>Notes say major ice build up on doors and water on floor. Could be the door frame heater wiring issue</t>
  </si>
  <si>
    <t>Tech noticed the doors not closing all by themselves. Adjusted the torque. Everything else seemed okay.</t>
  </si>
  <si>
    <t>Double defrost issue</t>
  </si>
  <si>
    <t>From notes. It looks like the door was left open</t>
  </si>
  <si>
    <t>Cassette didn’t function correctly from the beginning. Cassette was returned. Don’t know the root cause yet</t>
  </si>
  <si>
    <t>Door was left open</t>
  </si>
  <si>
    <t>Double defrost issue.</t>
  </si>
  <si>
    <t>Door not closed</t>
  </si>
  <si>
    <t>HG valve not working</t>
  </si>
  <si>
    <t>Door not closed.</t>
  </si>
  <si>
    <t>Appears to be a door opening issue. Alarm self-cleared</t>
  </si>
  <si>
    <t>Door torque. Tech repaired it
Alarm lasted for 40 min before self-clearing</t>
  </si>
  <si>
    <t>RH is over 60% for over 16hours</t>
  </si>
  <si>
    <t>Appears door was left open overnight.
WO canceled</t>
  </si>
  <si>
    <t>Water leaking. Don’t know why, everything seems</t>
  </si>
  <si>
    <t>Door not closed overnight</t>
  </si>
  <si>
    <t>Case running high superheat. Will keep monitoring it for the root cause</t>
  </si>
  <si>
    <t>Door Torsion rod</t>
  </si>
  <si>
    <t>Nothing wrong with case performance.
All sensors were reading correct.
Tech found a bad torque rod.
The only case not making temp is a RFLN4</t>
  </si>
  <si>
    <t>Incident was caused by heavy shopping.
WO was canceled</t>
  </si>
  <si>
    <t>Unknown. Left unit is running at ~50°
Dispatch was rejected for Dallas branch</t>
  </si>
  <si>
    <t>RH Sensor (One connect box)</t>
  </si>
  <si>
    <t>Tech found wiring issue on the MB. Does not say what is wrong but notes say he fixed it and case is pulled down fine after</t>
  </si>
  <si>
    <t>Left the door open. Had defrost after 3hrs of door opening. Further increased the alarm turn on time. Had to dispatch. Door remained open for 7hours</t>
  </si>
  <si>
    <t>High temp alarm self cleared.</t>
  </si>
  <si>
    <t>Frame heater for doors not wired correctly</t>
  </si>
  <si>
    <t>Wrong program</t>
  </si>
  <si>
    <t xml:space="preserve">LT unit had MT program from the beginning. </t>
  </si>
  <si>
    <t>Issue with drain line leaking into case</t>
  </si>
  <si>
    <t>Unknown cause. Will need to wait for tech's notes</t>
  </si>
  <si>
    <t>Case started pulling back down after door was closed. but on July 9th, tech shut case off for 11min, I don't know what the service tech did on the last one. They stated the added R-290 to restore proper charge. The case was not shut down long enough to pull a vacuum and recharge the system. I'm assuming they added charge to increase the suction pressure where they thought it should be. The case is no longer meeting temperature.</t>
  </si>
  <si>
    <t>Unable to determine the source of this leak from one connect</t>
  </si>
  <si>
    <t>Sensors unplugged from controller during install. Got 15min data then got disconnected</t>
  </si>
  <si>
    <t>Store ambient was 113F</t>
  </si>
  <si>
    <t>Door hold open was broken</t>
  </si>
  <si>
    <t>Call was placed during the install. Case was not connected to SC</t>
  </si>
  <si>
    <t>Store ambient went upto 90F</t>
  </si>
  <si>
    <t>Door was left open overnight. Tech mentioned that door torque actually fixed the issue</t>
  </si>
  <si>
    <t>Store ambient went upto 95F</t>
  </si>
  <si>
    <t>Case had higher discharge air temp. Tech recharged the case and it started pulling down</t>
  </si>
  <si>
    <t>Store ambient going upto 90F</t>
  </si>
  <si>
    <t>Overstocking the product prevented the door from closing all the way</t>
  </si>
  <si>
    <t xml:space="preserve">FEXA called about case temp reading 61degrees. The SC data doesn’t show that. </t>
  </si>
  <si>
    <t xml:space="preserve">High temp alarm. Overstocking the case prevented the door from closing. </t>
  </si>
  <si>
    <t>Store ambient reaching 93F</t>
  </si>
  <si>
    <t>Drain tube was leaking into the case</t>
  </si>
  <si>
    <t>Root Cause Settings - dropdown source and clean-point rules</t>
  </si>
  <si>
    <t>Group</t>
  </si>
  <si>
    <t>Owner</t>
  </si>
  <si>
    <t>Status</t>
  </si>
  <si>
    <t>Clean-Point Date</t>
  </si>
  <si>
    <t>Clean-Point Serial</t>
  </si>
  <si>
    <t>Display Order</t>
  </si>
  <si>
    <t>Tecumseh</t>
  </si>
  <si>
    <t>Closed</t>
  </si>
  <si>
    <t>Doors</t>
  </si>
  <si>
    <t>Hussmann MTY</t>
  </si>
  <si>
    <t>HSM MTY/RPM</t>
  </si>
  <si>
    <t>HSM MTY</t>
  </si>
  <si>
    <t>HSM MTY/ RPM</t>
  </si>
  <si>
    <t>HSM</t>
  </si>
  <si>
    <t>04G0926122771</t>
  </si>
  <si>
    <t>RPM</t>
  </si>
  <si>
    <t>Open</t>
  </si>
  <si>
    <t>DG</t>
  </si>
  <si>
    <t>HSM BGN</t>
  </si>
  <si>
    <t>Counts - list line and group rollups</t>
  </si>
  <si>
    <t>Total Lines</t>
  </si>
  <si>
    <t>Visible Lines</t>
  </si>
  <si>
    <t>Commission week by root cause</t>
  </si>
  <si>
    <t>Week Start</t>
  </si>
  <si>
    <t>Total</t>
  </si>
  <si>
    <t>Commission week by root cause - after clean point</t>
  </si>
  <si>
    <t>Call week by root cause</t>
  </si>
  <si>
    <t>Commission week by group</t>
  </si>
  <si>
    <t>Week Label</t>
  </si>
  <si>
    <t>Check</t>
  </si>
  <si>
    <t>Count</t>
  </si>
  <si>
    <t>What to fix</t>
  </si>
  <si>
    <t>Formula scope</t>
  </si>
  <si>
    <t>Summary</t>
  </si>
  <si>
    <t>Root causes in Settings</t>
  </si>
  <si>
    <t>Root Cause Settings</t>
  </si>
  <si>
    <t>Root causes not in Settings</t>
  </si>
  <si>
    <t>Pick a valid Root Cause from the dropdown.</t>
  </si>
  <si>
    <t>Summary vs Settings</t>
  </si>
  <si>
    <t>Entered WOs with blank root cause</t>
  </si>
  <si>
    <t>Pick a Root Cause from the dropdown.</t>
  </si>
  <si>
    <t>Classified lines missing commission date</t>
  </si>
  <si>
    <t>Add the store once to Store List.</t>
  </si>
  <si>
    <t>Summary vs Store List</t>
  </si>
  <si>
    <t>Source reconciliation note</t>
  </si>
  <si>
    <t>Info</t>
  </si>
  <si>
    <t>121 classified WOs; v2 also has one unmarked orphan WO-0573679 and duplicate listed rows.</t>
  </si>
  <si>
    <t>v2 Summary</t>
  </si>
  <si>
    <t>Store List - one row per store with commission date</t>
  </si>
  <si>
    <t>DG Store #</t>
  </si>
  <si>
    <t>Store Commission Date</t>
  </si>
  <si>
    <t>City</t>
  </si>
  <si>
    <t>State</t>
  </si>
  <si>
    <t>Dollar General #13338</t>
  </si>
  <si>
    <t>Dollar General #20876</t>
  </si>
  <si>
    <t>Dollar General #22515</t>
  </si>
  <si>
    <t>Dollar General #6827</t>
  </si>
  <si>
    <t>DOLLAR GENERAL #10369</t>
  </si>
  <si>
    <t>Dollar General #19997</t>
  </si>
  <si>
    <t>Dollar General #21377</t>
  </si>
  <si>
    <t>Dollar General #6099</t>
  </si>
  <si>
    <t>Dollar General #21130</t>
  </si>
  <si>
    <t>Dollar General #04117</t>
  </si>
  <si>
    <t>Dollar General #12879</t>
  </si>
  <si>
    <t>Dollar General #20407</t>
  </si>
  <si>
    <t>Dollar General #21016</t>
  </si>
  <si>
    <t>Dollar General 22799</t>
  </si>
  <si>
    <t>Unknown legacy store</t>
  </si>
  <si>
    <t>Dollar general #21257</t>
  </si>
  <si>
    <t>Dollar General #22187</t>
  </si>
  <si>
    <t>Essex</t>
  </si>
  <si>
    <t>Dollar General 21548</t>
  </si>
  <si>
    <t>Dollar General #20339</t>
  </si>
  <si>
    <t>Porter</t>
  </si>
  <si>
    <t>Dollar General #05805</t>
  </si>
  <si>
    <t>New Caney</t>
  </si>
  <si>
    <t>Dollar General #22040</t>
  </si>
  <si>
    <t>Dollar General #21303</t>
  </si>
  <si>
    <t>Rangely</t>
  </si>
  <si>
    <t>Dollar General #11114</t>
  </si>
  <si>
    <t>Delta</t>
  </si>
  <si>
    <t>UT</t>
  </si>
  <si>
    <t>Dollar General #20981</t>
  </si>
  <si>
    <t>Cortez</t>
  </si>
  <si>
    <t>Dollar General #04608</t>
  </si>
  <si>
    <t>Henderson</t>
  </si>
  <si>
    <t>Dollar General #22523</t>
  </si>
  <si>
    <t>Kilgore</t>
  </si>
  <si>
    <t>Dollar General #10864</t>
  </si>
  <si>
    <t>Montrose</t>
  </si>
  <si>
    <t>Dollar General #20375</t>
  </si>
  <si>
    <t>Pearland</t>
  </si>
  <si>
    <t>Dollar General #03397</t>
  </si>
  <si>
    <t>Dollar General #24075</t>
  </si>
  <si>
    <t>Laplace</t>
  </si>
  <si>
    <t>Dollar General #10605</t>
  </si>
  <si>
    <t>Show low</t>
  </si>
  <si>
    <t>Dollar General #7408</t>
  </si>
  <si>
    <t>Purcell</t>
  </si>
  <si>
    <t>Dollar General #21316</t>
  </si>
  <si>
    <t>Tahlequah</t>
  </si>
  <si>
    <t>Dollar General #06827</t>
  </si>
  <si>
    <t>Dollar General #03359</t>
  </si>
  <si>
    <t>Dollar general #12449</t>
  </si>
  <si>
    <t>Pasadena</t>
  </si>
  <si>
    <t>Dollar General #21300</t>
  </si>
  <si>
    <t>Duncan</t>
  </si>
  <si>
    <t>Dollar general #8985</t>
  </si>
  <si>
    <t>Mount Vernon</t>
  </si>
  <si>
    <t>Dollar General # 21409</t>
  </si>
  <si>
    <t>Zeigler</t>
  </si>
  <si>
    <t>Dollar General #21072</t>
  </si>
  <si>
    <t>Dahlgren</t>
  </si>
  <si>
    <t>Dollar General #09239</t>
  </si>
  <si>
    <t>Conover</t>
  </si>
  <si>
    <t>Dollar General #06099</t>
  </si>
  <si>
    <t>Dollar General #21029</t>
  </si>
  <si>
    <t>Lexa</t>
  </si>
  <si>
    <t>Dollar General #21541</t>
  </si>
  <si>
    <t>Montevalo</t>
  </si>
  <si>
    <t>Dollar General #12870</t>
  </si>
  <si>
    <t>Wooster</t>
  </si>
  <si>
    <t>Dollar General #22196</t>
  </si>
  <si>
    <t>Brent</t>
  </si>
  <si>
    <t>Dollar General #00209</t>
  </si>
  <si>
    <t>Augusta</t>
  </si>
  <si>
    <t>Dollar General #19907</t>
  </si>
  <si>
    <t>Crossville</t>
  </si>
  <si>
    <t>TN</t>
  </si>
  <si>
    <t>Dollar General #22901</t>
  </si>
  <si>
    <t>Norfolk</t>
  </si>
  <si>
    <t>NE</t>
  </si>
  <si>
    <t>Dollar General #22840</t>
  </si>
  <si>
    <t>Lindsay</t>
  </si>
  <si>
    <t>Dollar General #03270</t>
  </si>
  <si>
    <t>Dollar General #11624</t>
  </si>
  <si>
    <t>amarillo</t>
  </si>
  <si>
    <t>Dollar General #31881</t>
  </si>
  <si>
    <t>Bryans Road</t>
  </si>
  <si>
    <t>MD</t>
  </si>
  <si>
    <t>Dollar General #21590</t>
  </si>
  <si>
    <t>Estancia</t>
  </si>
  <si>
    <t>Dollar General #21685</t>
  </si>
  <si>
    <t>Cuba</t>
  </si>
  <si>
    <t>Dollar General #03637</t>
  </si>
  <si>
    <t>Booneville</t>
  </si>
  <si>
    <t>Dollar general #22949</t>
  </si>
  <si>
    <t>Wright City</t>
  </si>
  <si>
    <t>Dollar General #13064</t>
  </si>
  <si>
    <t>Mobile</t>
  </si>
  <si>
    <t>Dollar General #07231</t>
  </si>
  <si>
    <t>Dollar General #06987</t>
  </si>
  <si>
    <t>Dollar General #02324</t>
  </si>
  <si>
    <t>Dollar General #20783</t>
  </si>
  <si>
    <t>Del Rio</t>
  </si>
  <si>
    <t>Dollar General #14509</t>
  </si>
  <si>
    <t>Mesa</t>
  </si>
  <si>
    <t>Dollar General #22122</t>
  </si>
  <si>
    <t>Velva</t>
  </si>
  <si>
    <t>ND</t>
  </si>
  <si>
    <t>Dollar General #10215</t>
  </si>
  <si>
    <t>Show Low</t>
  </si>
  <si>
    <t>Dollar General #11365</t>
  </si>
  <si>
    <t>Pine Bluff</t>
  </si>
  <si>
    <t>Dollar General #22925</t>
  </si>
  <si>
    <t>Black Hawk</t>
  </si>
  <si>
    <t>SD</t>
  </si>
  <si>
    <t>Dollar General #22074</t>
  </si>
  <si>
    <t>Lockhart</t>
  </si>
  <si>
    <t>Dollar General #23202</t>
  </si>
  <si>
    <t>Colfax</t>
  </si>
  <si>
    <t>Dollar General #13548</t>
  </si>
  <si>
    <t>Dollar General #21274</t>
  </si>
  <si>
    <t>Dequincy</t>
  </si>
  <si>
    <t>Dollar General #20721</t>
  </si>
  <si>
    <t>Harrisville</t>
  </si>
  <si>
    <t>MI</t>
  </si>
  <si>
    <t>Dollar General #06996</t>
  </si>
  <si>
    <t>Dollar General #21322</t>
  </si>
  <si>
    <t>Hickory</t>
  </si>
  <si>
    <t>KY</t>
  </si>
  <si>
    <t>Dollar General #03277</t>
  </si>
  <si>
    <t>Dollar General #01768</t>
  </si>
  <si>
    <t>Dollar General #21589</t>
  </si>
  <si>
    <t>Vidalia</t>
  </si>
  <si>
    <t>Dollar General #21070</t>
  </si>
  <si>
    <t>Cisne</t>
  </si>
  <si>
    <t>Dollar General #22334</t>
  </si>
  <si>
    <t>Lake Charles</t>
  </si>
  <si>
    <t>Dollar General #20732</t>
  </si>
  <si>
    <t>Bloomburg</t>
  </si>
  <si>
    <t>Dollar General #07285</t>
  </si>
  <si>
    <t>Dollar General #22419</t>
  </si>
  <si>
    <t>Beaumont</t>
  </si>
  <si>
    <t>Dollar General #21516</t>
  </si>
  <si>
    <t>Anderson</t>
  </si>
  <si>
    <t>Dollar General #00731</t>
  </si>
  <si>
    <t>Searcy</t>
  </si>
  <si>
    <t>Dollar General #02600</t>
  </si>
  <si>
    <t>Dollar General #31839</t>
  </si>
  <si>
    <t>Dollar General #13953</t>
  </si>
  <si>
    <t>Allen</t>
  </si>
  <si>
    <t>Dollar General #06559</t>
  </si>
  <si>
    <t>Gardendale</t>
  </si>
  <si>
    <t>Dollar General #06314</t>
  </si>
  <si>
    <t>Northport</t>
  </si>
  <si>
    <t>Dollar General #06550</t>
  </si>
  <si>
    <t>Jacinto</t>
  </si>
  <si>
    <t>Dollar General #13693</t>
  </si>
  <si>
    <t>Maryland Heights</t>
  </si>
  <si>
    <t>Dollar General #21829</t>
  </si>
  <si>
    <t>Hazelwood</t>
  </si>
  <si>
    <t>Dollar General #24159</t>
  </si>
  <si>
    <t>Herculaneum</t>
  </si>
  <si>
    <t>Dollar General #21783</t>
  </si>
  <si>
    <t>East Bethel</t>
  </si>
  <si>
    <t>MN</t>
  </si>
  <si>
    <t>Dollar General #00279</t>
  </si>
  <si>
    <t>Fouke</t>
  </si>
  <si>
    <t>Dollar General #22107</t>
  </si>
  <si>
    <t>Waubun</t>
  </si>
  <si>
    <t>Dollar General #09806</t>
  </si>
  <si>
    <t>Scottsville</t>
  </si>
  <si>
    <t>Dollar General #25692</t>
  </si>
  <si>
    <t>Dollar General #08790</t>
  </si>
  <si>
    <t>Lafayette</t>
  </si>
  <si>
    <t>Dollar General #30977</t>
  </si>
  <si>
    <t>Scottsboro</t>
  </si>
  <si>
    <t>Dollar General #10884</t>
  </si>
  <si>
    <t>Cullman</t>
  </si>
  <si>
    <t>Dollar General #03217</t>
  </si>
  <si>
    <t>Lillington</t>
  </si>
  <si>
    <t>Dollar General #02332</t>
  </si>
  <si>
    <t>Sylacauga</t>
  </si>
  <si>
    <t>Dollar General #03000</t>
  </si>
  <si>
    <t>Florissant</t>
  </si>
  <si>
    <t>Dollar General #06026</t>
  </si>
  <si>
    <t>Overland</t>
  </si>
  <si>
    <t>Graphs — right-click a chart → Copy → Paste as Picture into PowerPoint</t>
  </si>
  <si>
    <t>From:</t>
  </si>
  <si>
    <t>← blank = from the very first call</t>
  </si>
  <si>
    <t>Dispatch by store commission week (by cause group)</t>
  </si>
  <si>
    <t>To:</t>
  </si>
  <si>
    <t>← blank = through the latest call</t>
  </si>
  <si>
    <t>Dispatch by call week (by root cause)</t>
  </si>
  <si>
    <t>Period:</t>
  </si>
  <si>
    <t>Issues</t>
  </si>
  <si>
    <t>After clean</t>
  </si>
  <si>
    <t>Multi-cause group:</t>
  </si>
  <si>
    <t>Members:</t>
  </si>
  <si>
    <t>Before / at clean point</t>
  </si>
  <si>
    <t>Case Nomenclature</t>
  </si>
  <si>
    <t>RLN2MA</t>
  </si>
  <si>
    <t>RLN3MA</t>
  </si>
  <si>
    <t>RLN4MA</t>
  </si>
  <si>
    <t>RMN3MA</t>
  </si>
  <si>
    <t>RMN4MA</t>
  </si>
  <si>
    <t>RMN5MA</t>
  </si>
  <si>
    <t>From date</t>
  </si>
  <si>
    <t>To date</t>
  </si>
  <si>
    <t>Cause Color (hex)</t>
  </si>
  <si>
    <t>Group Color (hex)</t>
  </si>
  <si>
    <t>70AD47</t>
  </si>
  <si>
    <t>FFC000</t>
  </si>
  <si>
    <t>4472C4</t>
  </si>
  <si>
    <t>ED7D31</t>
  </si>
  <si>
    <t>5B9BD5</t>
  </si>
  <si>
    <t>A5A5A5</t>
  </si>
  <si>
    <t>9E480E</t>
  </si>
  <si>
    <t>43682B</t>
  </si>
  <si>
    <t>698ED0</t>
  </si>
  <si>
    <t>F1975A</t>
  </si>
  <si>
    <t>B7B7B7</t>
  </si>
  <si>
    <t>1F4E79</t>
  </si>
  <si>
    <t>C00000</t>
  </si>
  <si>
    <t>7030A0</t>
  </si>
  <si>
    <t>2E75B6</t>
  </si>
  <si>
    <t>BF9000</t>
  </si>
  <si>
    <t>T-S2 Constants</t>
  </si>
  <si>
    <t>Label</t>
  </si>
  <si>
    <t>Value</t>
  </si>
  <si>
    <t>Name</t>
  </si>
  <si>
    <t>Max Summary rows</t>
  </si>
  <si>
    <t>set_maxSummaryRow</t>
  </si>
  <si>
    <t>Max Raw rows</t>
  </si>
  <si>
    <t>set_maxRawRow</t>
  </si>
  <si>
    <t>Max causes</t>
  </si>
  <si>
    <t>set_maxCauses</t>
  </si>
  <si>
    <t>Weeks shown</t>
  </si>
  <si>
    <t>set_weeksShown</t>
  </si>
  <si>
    <t>Tiebreak divisor</t>
  </si>
  <si>
    <t>set_tiebreakDivisor</t>
  </si>
  <si>
    <t>T-S3 Serial prefixes</t>
  </si>
  <si>
    <t>Prefix</t>
  </si>
  <si>
    <t>DG Service-Call Dashboard</t>
  </si>
  <si>
    <t>From</t>
  </si>
  <si>
    <t>To</t>
  </si>
  <si>
    <t>Period</t>
  </si>
  <si>
    <t>Checks needing review</t>
  </si>
  <si>
    <t>Calc_Charts</t>
  </si>
  <si>
    <t>T1. Cause totals (filtered)</t>
  </si>
  <si>
    <t>Mirrors Graphs K:N; filtered cause counts and after-clean counts; feeds group/rank calculations.</t>
  </si>
  <si>
    <t>Total in window</t>
  </si>
  <si>
    <t>After clean point</t>
  </si>
  <si>
    <t>Tiebreak</t>
  </si>
  <si>
    <t>T2. Group totals (filtered)</t>
  </si>
  <si>
    <t>Mirrors Graphs P:U plus dedup helper; unique groups, totals, after-clean totals, and sort helpers.</t>
  </si>
  <si>
    <t>First-occurrence row</t>
  </si>
  <si>
    <t>Total tiebreak</t>
  </si>
  <si>
    <t>After tiebreak</t>
  </si>
  <si>
    <t>T3. Ranked by total</t>
  </si>
  <si>
    <t>Mirrors Graphs V:W; sorted desc with zero-bar hiding through ch1_cats/ch1_vals.</t>
  </si>
  <si>
    <t>Ranked group</t>
  </si>
  <si>
    <t>T4. Ranked by after-clean</t>
  </si>
  <si>
    <t>Mirrors Graphs X:Y; sorted desc with zero-bar hiding through ch3_cats/ch3_vals.</t>
  </si>
  <si>
    <t>T5. Chart-5 stack feed</t>
  </si>
  <si>
    <t>Mirrors Graphs DD:DG; ranked group, after, before, and total; feeds c5 categories and labels.</t>
  </si>
  <si>
    <t>After</t>
  </si>
  <si>
    <t>Before</t>
  </si>
  <si>
    <t>T6. Chart-5 diagonal matrix</t>
  </si>
  <si>
    <t>Series n = After value only at rank n; fixed bar-rank colors while labels follow ranking; feeds ch5_seg01...ch5_seg25.</t>
  </si>
  <si>
    <t>T7. Week labels + totals for charts 2 &amp; 4</t>
  </si>
  <si>
    <t>Labels derive from Calc_Weekly week-start dates; replaces hardcoded Graphs AN:AO labels and feeds total label series.</t>
  </si>
  <si>
    <t>Commission label</t>
  </si>
  <si>
    <t>Commission total</t>
  </si>
  <si>
    <t>Call label</t>
  </si>
  <si>
    <t>Call total</t>
  </si>
  <si>
    <t>T8. Group rollup (from old Counts)</t>
  </si>
  <si>
    <t>Mirrors Counts group rollup; total, visible, and after-clean lines by group.</t>
  </si>
  <si>
    <t>T9. Case nomenclature counts</t>
  </si>
  <si>
    <t>Uses Settings serial prefixes and SEARCH-based count formulas; feeds Chart 6.</t>
  </si>
  <si>
    <t>Serial prefix</t>
  </si>
  <si>
    <t>T10. Chart titles</t>
  </si>
  <si>
    <t>Dynamic title formulas linked to chart title StrRefs.</t>
  </si>
  <si>
    <t>Chart</t>
  </si>
  <si>
    <t>Title</t>
  </si>
  <si>
    <t>Chart 1</t>
  </si>
  <si>
    <t>Chart 2</t>
  </si>
  <si>
    <t>Chart 3</t>
  </si>
  <si>
    <t>Chart 4</t>
  </si>
  <si>
    <t>Chart 5</t>
  </si>
  <si>
    <t>Chart 6</t>
  </si>
  <si>
    <t>Edit blue-input columns only: Work Order, Root Cause, and Notes. Formula columns classify/store/date/after-clean status.</t>
  </si>
  <si>
    <t>T-W1/T-W2/T-W3 Weekly pivots</t>
  </si>
  <si>
    <t>Three stacked pivots: commission week by root cause, call week by root cause, and commission week by group. Week rows remain capped by Settings!Weeks shown.</t>
  </si>
  <si>
    <t>Data Checks</t>
  </si>
  <si>
    <t>Classified Summary lines</t>
  </si>
  <si>
    <t>Informational count of classified cause lines.</t>
  </si>
  <si>
    <t>Settings should contain the active root-cause list.</t>
  </si>
  <si>
    <t>Week-label desync</t>
  </si>
  <si>
    <t>Chart week labels should match computed week-start dates.</t>
  </si>
  <si>
    <t>Causes missing a color</t>
  </si>
  <si>
    <t>Fill Cause Color (hex) for any active cause.</t>
  </si>
  <si>
    <t>DG-template workbook guide</t>
  </si>
  <si>
    <t>Purpose</t>
  </si>
  <si>
    <t>Tracks service-call root causes and feeds six dashboard charts with timeline filtering, zero-bar hiding, sorted rankings, and stable chart colors.</t>
  </si>
  <si>
    <t>Weekly update workflow</t>
  </si>
  <si>
    <t>Paste CRM rows into Raw Data, classify lines in Summary, review Data Checks, then use Dashboard. From/To blanks mean all data.</t>
  </si>
  <si>
    <t>Color legend</t>
  </si>
  <si>
    <t>Blue text = user input; black = formula; gray fill = helper/sort columns; yellow fill = dashboard timeline inputs.</t>
  </si>
  <si>
    <t>Limit</t>
  </si>
  <si>
    <t>Settings name</t>
  </si>
  <si>
    <t>Calc table</t>
  </si>
  <si>
    <t>Description</t>
  </si>
  <si>
    <t>T1</t>
  </si>
  <si>
    <t>Cause totals filtered by Dashboard date window.</t>
  </si>
  <si>
    <t>T2</t>
  </si>
  <si>
    <t>Unique group totals with dedup helper and sort helpers.</t>
  </si>
  <si>
    <t>T3</t>
  </si>
  <si>
    <t>Ranked groups by total; feeds Chart 1 names.</t>
  </si>
  <si>
    <t>T4</t>
  </si>
  <si>
    <t>Ranked groups by after-clean count; feeds Chart 3 names.</t>
  </si>
  <si>
    <t>T5</t>
  </si>
  <si>
    <t>Chart 5 stacked after/before feed.</t>
  </si>
  <si>
    <t>T6</t>
  </si>
  <si>
    <t>Chart 5 diagonal matrix for stable rank colors.</t>
  </si>
  <si>
    <t>T7</t>
  </si>
  <si>
    <t>Formula-driven week labels and total-label series.</t>
  </si>
  <si>
    <t>T8</t>
  </si>
  <si>
    <t>Counts rollup by group.</t>
  </si>
  <si>
    <t>T9</t>
  </si>
  <si>
    <t>Case serial-prefix counts for Chart 6.</t>
  </si>
  <si>
    <t>T10</t>
  </si>
  <si>
    <t>Dynamic chart title cells.</t>
  </si>
  <si>
    <t>T11. RLN3MA - after vs before by group</t>
  </si>
  <si>
    <t>Prefix from cell below; filters Summary by serial prefix + timeline; feeds Chart 7 via ch*.</t>
  </si>
  <si>
    <t>Nomenclature:</t>
  </si>
  <si>
    <t>First group row</t>
  </si>
  <si>
    <t>Chart 7 title</t>
  </si>
  <si>
    <t>T12. RLN2MA - after vs before by group</t>
  </si>
  <si>
    <t>Prefix from cell below; filters Summary by serial prefix + timeline; feeds Chart 8 via ch*.</t>
  </si>
  <si>
    <t>Chart 8 title</t>
  </si>
  <si>
    <t>T13. RMN4MA - after vs before by group</t>
  </si>
  <si>
    <t>Prefix from cell below; filters Summary by serial prefix + timeline; feeds Chart 9 via ch*.</t>
  </si>
  <si>
    <t>Chart 9 title</t>
  </si>
  <si>
    <t>Phase 3 charts</t>
  </si>
  <si>
    <t>Charts 7-9</t>
  </si>
  <si>
    <t>Per-nomenclature after-vs-before clean point charts for RLN3MA, RLN2MA, and RMN4MA. Add another prefix by copying one T-block, cloning the chN_* names, and cloning Chart 5.</t>
  </si>
  <si>
    <t>Prefix correction</t>
  </si>
  <si>
    <t>Settings T-S3 corrected RMN2MA to RMN4MA after confirming RMN2MA has no serial matches and RMN4MA has matches.</t>
  </si>
  <si>
    <t>RLN3MA total check</t>
  </si>
  <si>
    <t>RLN2MA total check</t>
  </si>
  <si>
    <t>RMN4MA total check</t>
  </si>
  <si>
    <t>New nomenclature chart total must match Chart 6/T9 prefix count.</t>
  </si>
  <si>
    <t>Calc_Charts T11-T13 vs T9</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</si>
</sst>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yyyy\-mm\-dd\ h:mm"/>
    <numFmt numFmtId="165" formatCode="yyyy\-mm\-dd"/>
    <numFmt numFmtId="166" formatCode="mm/dd/yy;@"/>
    <numFmt numFmtId="167" formatCode="yyyy\-mm\-dd;@"/>
  </numFmts>
  <fonts count="33">
    <font>
      <sz val="11"/>
      <name val="Carlito"/>
    </font>
    <font>
      <b/>
      <sz val="14"/>
      <color rgb="FFFFFFFF"/>
      <name val="Carlito"/>
    </font>
    <font>
      <sz val="11"/>
      <color rgb="FF1F2937"/>
      <name val="Carlito"/>
    </font>
    <font>
      <b/>
      <sz val="11"/>
      <color rgb="FF17365D"/>
      <name val="Carlito"/>
    </font>
    <font>
      <b/>
      <sz val="11"/>
      <color rgb="FF1F2937"/>
      <name val="Carlito"/>
    </font>
    <font>
      <b/>
      <sz val="14"/>
      <color rgb="FF17365D"/>
      <name val="Arial"/>
      <family val="2"/>
    </font>
    <font>
      <b/>
      <sz val="11"/>
      <name val="Arial"/>
      <family val="2"/>
    </font>
    <font>
      <i/>
      <sz val="11"/>
      <color rgb="FF808080"/>
      <name val="Arial"/>
      <family val="2"/>
    </font>
    <font>
      <b/>
      <sz val="11"/>
      <color rgb="FF17365D"/>
      <name val="Arial"/>
      <family val="2"/>
    </font>
    <font>
      <b/>
      <sz val="11"/>
      <color rgb="FFFFFFFF"/>
      <name val="Arial"/>
      <family val="2"/>
    </font>
    <font>
      <sz val="8"/>
      <color rgb="FFFFFFFF"/>
      <name val="Arial"/>
      <family val="2"/>
    </font>
    <font>
      <sz val="11"/>
      <name val="Aptos Display"/>
      <family val="2"/>
    </font>
    <font>
      <sz val="11"/>
      <color rgb="FF000000"/>
      <name val="Aptos"/>
      <family val="2"/>
    </font>
    <font>
      <sz val="12"/>
      <color rgb="FF000000"/>
      <name val="Aptos"/>
      <family val="2"/>
    </font>
    <font>
      <b/>
      <sz val="10"/>
      <color rgb="FFFFFFFF"/>
      <name val="Carlito"/>
    </font>
    <font>
      <sz val="10"/>
      <name val="Carlito"/>
    </font>
    <font>
      <b/>
      <sz val="10"/>
      <color rgb="FF1F2937"/>
      <name val="Carlito"/>
    </font>
    <font>
      <sz val="10"/>
      <color rgb="FF1F2937"/>
      <name val="Carlito"/>
    </font>
    <font>
      <sz val="10"/>
      <name val="Aptos Display"/>
      <family val="2"/>
    </font>
    <font>
      <b/>
      <sz val="10"/>
      <color rgb="FFFF0000"/>
      <name val="Aptos Display"/>
      <family val="2"/>
    </font>
    <font>
      <sz val="10"/>
      <color rgb="FF242424"/>
      <name val="Aptos Display"/>
      <family val="2"/>
    </font>
    <font>
      <sz val="10"/>
      <color rgb="FF242424"/>
      <name val="Calibri Light"/>
      <family val="2"/>
      <scheme val="major"/>
    </font>
    <font>
      <sz val="8"/>
      <color rgb="FF1A1A1A"/>
      <name val="Noto Sans"/>
      <family val="2"/>
    </font>
    <font>
      <sz val="10"/>
      <color rgb="FF242424"/>
      <name val="Calibri Light"/>
      <family val="2"/>
      <scheme val="major"/>
    </font>
    <font>
      <sz val="10"/>
      <name val="Calibri"/>
      <family val="2"/>
    </font>
    <font>
      <b/>
      <sz val="11"/>
      <name val="Carlito"/>
    </font>
    <font>
      <b/>
      <sz val="11"/>
      <color rgb="FFFFFFFF"/>
      <name val="Carlito"/>
    </font>
    <font>
      <b/>
      <sz val="16"/>
      <name val="Calibri"/>
      <family val="2"/>
    </font>
    <font>
      <b/>
      <sz val="10"/>
      <name val="Calibri"/>
      <family val="2"/>
    </font>
    <font>
      <b/>
      <sz val="14"/>
      <name val="Calibri"/>
      <family val="2"/>
    </font>
    <font>
      <b/>
      <sz val="10"/>
      <color rgb="FFFFFFFF"/>
      <name val="Calibri"/>
      <family val="2"/>
    </font>
    <font>
      <i/>
      <sz val="10"/>
      <name val="Calibri"/>
      <family val="2"/>
    </font>
    <font>
      <i/>
      <sz val="11"/>
      <name val="Carlito"/>
    </font>
  </fonts>
  <fills count="35">
    <fill>
      <patternFill patternType="none"/>
    </fill>
    <fill>
      <patternFill patternType="gray125"/>
    </fill>
    <fill>
      <patternFill patternType="solid">
        <fgColor rgb="FF17365D"/>
      </patternFill>
    </fill>
    <fill>
      <patternFill patternType="solid">
        <fgColor rgb="FFD9EAF7"/>
      </patternFill>
    </fill>
    <fill>
      <patternFill patternType="solid">
        <fgColor rgb="FFEAF3F8"/>
      </patternFill>
    </fill>
    <fill>
      <patternFill patternType="solid">
        <fgColor rgb="FFFFF2CC"/>
      </patternFill>
    </fill>
    <fill>
      <patternFill patternType="solid">
        <fgColor rgb="FF1F4E78"/>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8" tint="0.79998168889431442"/>
        <bgColor indexed="64"/>
      </patternFill>
    </fill>
    <fill>
      <patternFill patternType="solid">
        <fgColor rgb="FF444444"/>
        <bgColor indexed="64"/>
      </patternFill>
    </fill>
    <fill>
      <patternFill patternType="solid">
        <fgColor rgb="FF70AD47"/>
        <bgColor indexed="64"/>
      </patternFill>
    </fill>
    <fill>
      <patternFill patternType="solid">
        <fgColor rgb="FF4472C4"/>
        <bgColor indexed="64"/>
      </patternFill>
    </fill>
    <fill>
      <patternFill patternType="solid">
        <fgColor rgb="FFED7D31"/>
        <bgColor indexed="64"/>
      </patternFill>
    </fill>
    <fill>
      <patternFill patternType="solid">
        <fgColor rgb="FF5B9BD5"/>
        <bgColor indexed="64"/>
      </patternFill>
    </fill>
    <fill>
      <patternFill patternType="solid">
        <fgColor rgb="FFA5A5A5"/>
        <bgColor indexed="64"/>
      </patternFill>
    </fill>
    <fill>
      <patternFill patternType="solid">
        <fgColor rgb="FF264478"/>
        <bgColor indexed="64"/>
      </patternFill>
    </fill>
    <fill>
      <patternFill patternType="solid">
        <fgColor rgb="FF9E480E"/>
        <bgColor indexed="64"/>
      </patternFill>
    </fill>
    <fill>
      <patternFill patternType="solid">
        <fgColor rgb="FF636363"/>
        <bgColor indexed="64"/>
      </patternFill>
    </fill>
    <fill>
      <patternFill patternType="solid">
        <fgColor rgb="FF997300"/>
        <bgColor indexed="64"/>
      </patternFill>
    </fill>
    <fill>
      <patternFill patternType="solid">
        <fgColor rgb="FF255E91"/>
        <bgColor indexed="64"/>
      </patternFill>
    </fill>
    <fill>
      <patternFill patternType="solid">
        <fgColor rgb="FF43682B"/>
        <bgColor indexed="64"/>
      </patternFill>
    </fill>
    <fill>
      <patternFill patternType="solid">
        <fgColor rgb="FF698ED0"/>
        <bgColor indexed="64"/>
      </patternFill>
    </fill>
    <fill>
      <patternFill patternType="solid">
        <fgColor rgb="FFF1975A"/>
        <bgColor indexed="64"/>
      </patternFill>
    </fill>
    <fill>
      <patternFill patternType="solid">
        <fgColor rgb="FFB7B7B7"/>
        <bgColor indexed="64"/>
      </patternFill>
    </fill>
    <fill>
      <patternFill patternType="solid">
        <fgColor rgb="FF1F4E79"/>
        <bgColor indexed="64"/>
      </patternFill>
    </fill>
    <fill>
      <patternFill patternType="solid">
        <fgColor rgb="FFC00000"/>
        <bgColor indexed="64"/>
      </patternFill>
    </fill>
    <fill>
      <patternFill patternType="solid">
        <fgColor rgb="FF7030A0"/>
        <bgColor indexed="64"/>
      </patternFill>
    </fill>
    <fill>
      <patternFill patternType="solid">
        <fgColor rgb="FF2E75B6"/>
        <bgColor indexed="64"/>
      </patternFill>
    </fill>
    <fill>
      <patternFill patternType="solid">
        <fgColor rgb="FFBF9000"/>
        <bgColor indexed="64"/>
      </patternFill>
    </fill>
    <fill>
      <patternFill patternType="solid">
        <fgColor rgb="FFFFFF99"/>
        <bgColor indexed="64"/>
      </patternFill>
    </fill>
    <fill>
      <patternFill patternType="solid">
        <fgColor rgb="FF555555"/>
        <bgColor indexed="64"/>
      </patternFill>
    </fill>
    <fill>
      <patternFill patternType="solid">
        <fgColor rgb="FFE6E6E6"/>
        <bgColor indexed="64"/>
      </patternFill>
    </fill>
  </fills>
  <borders count="14">
    <border>
      <left/>
      <right/>
      <top/>
      <bottom/>
      <diagonal/>
    </border>
    <border>
      <left style="thin">
        <color rgb="FFD9E2EC"/>
      </left>
      <right/>
      <top style="thin">
        <color rgb="FFD9E2EC"/>
      </top>
      <bottom/>
      <diagonal/>
    </border>
    <border>
      <left/>
      <right style="thin">
        <color rgb="FFD9E2EC"/>
      </right>
      <top style="thin">
        <color rgb="FFD9E2EC"/>
      </top>
      <bottom/>
      <diagonal/>
    </border>
    <border>
      <left style="thin">
        <color rgb="FFD9E2EC"/>
      </left>
      <right/>
      <top/>
      <bottom/>
      <diagonal/>
    </border>
    <border>
      <left/>
      <right style="thin">
        <color rgb="FFD9E2EC"/>
      </right>
      <top/>
      <bottom/>
      <diagonal/>
    </border>
    <border>
      <left style="thin">
        <color rgb="FFD9E2EC"/>
      </left>
      <right/>
      <top/>
      <bottom style="thin">
        <color rgb="FFD9E2EC"/>
      </bottom>
      <diagonal/>
    </border>
    <border>
      <left/>
      <right style="thin">
        <color rgb="FFD9E2EC"/>
      </right>
      <top/>
      <bottom style="thin">
        <color rgb="FFD9E2EC"/>
      </bottom>
      <diagonal/>
    </border>
    <border>
      <left/>
      <right/>
      <top style="thin">
        <color rgb="FFD9E2EC"/>
      </top>
      <bottom/>
      <diagonal/>
    </border>
    <border>
      <left/>
      <right/>
      <top/>
      <bottom style="thin">
        <color rgb="FFD9E2EC"/>
      </bottom>
      <diagonal/>
    </border>
    <border>
      <left style="thin">
        <color rgb="FFBFBFBF"/>
      </left>
      <right style="thin">
        <color rgb="FFBFBFBF"/>
      </right>
      <top style="thin">
        <color rgb="FFBFBFBF"/>
      </top>
      <bottom style="thin">
        <color rgb="FFBFBFBF"/>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28">
    <xf numFmtId="0" fontId="0" fillId="0" borderId="0" xfId="0"/>
    <xf numFmtId="0" fontId="1" fillId="2" borderId="0" xfId="0" applyFont="1" applyFill="1"/>
    <xf numFmtId="0" fontId="2" fillId="0" borderId="0" xfId="0" applyFont="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8" xfId="0" applyFont="1" applyBorder="1"/>
    <xf numFmtId="0" fontId="3" fillId="3" borderId="0" xfId="0" applyFont="1" applyFill="1" applyAlignment="1">
      <alignment wrapText="1"/>
    </xf>
    <xf numFmtId="0" fontId="4" fillId="3" borderId="1" xfId="0" applyFont="1" applyFill="1" applyBorder="1" applyAlignment="1">
      <alignment wrapText="1"/>
    </xf>
    <xf numFmtId="0" fontId="4" fillId="3" borderId="7" xfId="0" applyFont="1" applyFill="1" applyBorder="1" applyAlignment="1">
      <alignment wrapText="1"/>
    </xf>
    <xf numFmtId="0" fontId="4" fillId="3" borderId="2" xfId="0" applyFont="1" applyFill="1" applyBorder="1" applyAlignment="1">
      <alignment wrapText="1"/>
    </xf>
    <xf numFmtId="0" fontId="3" fillId="4" borderId="5" xfId="0" applyFont="1" applyFill="1" applyBorder="1"/>
    <xf numFmtId="0" fontId="3" fillId="4" borderId="8" xfId="0" applyFont="1" applyFill="1" applyBorder="1"/>
    <xf numFmtId="0" fontId="3" fillId="4" borderId="6" xfId="0" applyFont="1" applyFill="1" applyBorder="1"/>
    <xf numFmtId="165" fontId="2" fillId="0" borderId="0" xfId="0" applyNumberFormat="1" applyFont="1"/>
    <xf numFmtId="165" fontId="2" fillId="0" borderId="8" xfId="0" applyNumberFormat="1" applyFont="1" applyBorder="1"/>
    <xf numFmtId="0" fontId="9" fillId="6" borderId="9" xfId="0" applyFont="1" applyFill="1" applyBorder="1" applyAlignment="1">
      <alignment horizontal="center" vertical="center" wrapText="1"/>
    </xf>
    <xf numFmtId="165" fontId="2" fillId="0" borderId="3" xfId="0" applyNumberFormat="1" applyFont="1" applyBorder="1"/>
    <xf numFmtId="165" fontId="2" fillId="0" borderId="5" xfId="0" applyNumberFormat="1" applyFont="1" applyBorder="1"/>
    <xf numFmtId="165" fontId="2" fillId="0" borderId="4" xfId="0" applyNumberFormat="1" applyFont="1" applyBorder="1"/>
    <xf numFmtId="165" fontId="2" fillId="0" borderId="6" xfId="0" applyNumberFormat="1" applyFont="1" applyBorder="1"/>
    <xf numFmtId="0" fontId="5" fillId="0" borderId="0" xfId="0" applyFont="1"/>
    <xf numFmtId="0" fontId="10" fillId="0" borderId="0" xfId="0" applyFont="1"/>
    <xf numFmtId="0" fontId="6" fillId="0" borderId="0" xfId="0" applyFont="1"/>
    <xf numFmtId="14" fontId="0" fillId="5" borderId="9" xfId="0" applyNumberFormat="1" applyFill="1" applyBorder="1"/>
    <xf numFmtId="0" fontId="7" fillId="0" borderId="0" xfId="0" applyFont="1"/>
    <xf numFmtId="0" fontId="8" fillId="0" borderId="0" xfId="0" applyFont="1"/>
    <xf numFmtId="0" fontId="0" fillId="0" borderId="4" xfId="0" applyBorder="1"/>
    <xf numFmtId="0" fontId="11" fillId="0" borderId="10" xfId="0" applyFont="1" applyBorder="1" applyAlignment="1">
      <alignment horizontal="left"/>
    </xf>
    <xf numFmtId="0" fontId="11" fillId="0" borderId="11" xfId="0" applyFont="1" applyBorder="1" applyAlignment="1">
      <alignment horizontal="left"/>
    </xf>
    <xf numFmtId="0" fontId="12" fillId="0" borderId="0" xfId="0" applyFont="1"/>
    <xf numFmtId="0" fontId="12" fillId="0" borderId="0" xfId="0" applyFont="1" applyAlignment="1">
      <alignment vertical="center"/>
    </xf>
    <xf numFmtId="0" fontId="13" fillId="0" borderId="0" xfId="0" applyFont="1"/>
    <xf numFmtId="0" fontId="14" fillId="2" borderId="0" xfId="0" applyFont="1" applyFill="1"/>
    <xf numFmtId="0" fontId="15" fillId="0" borderId="0" xfId="0" applyFont="1"/>
    <xf numFmtId="0" fontId="15" fillId="0" borderId="12" xfId="0" applyFont="1" applyBorder="1"/>
    <xf numFmtId="0" fontId="17" fillId="0" borderId="3" xfId="0" applyFont="1" applyBorder="1"/>
    <xf numFmtId="0" fontId="17" fillId="0" borderId="0" xfId="0" applyFont="1"/>
    <xf numFmtId="164" fontId="17" fillId="0" borderId="12" xfId="0" applyNumberFormat="1" applyFont="1" applyBorder="1"/>
    <xf numFmtId="0" fontId="17" fillId="0" borderId="12" xfId="0" applyFont="1" applyBorder="1"/>
    <xf numFmtId="165" fontId="17" fillId="0" borderId="12" xfId="0" applyNumberFormat="1" applyFont="1" applyBorder="1"/>
    <xf numFmtId="0" fontId="17" fillId="0" borderId="5" xfId="0" applyFont="1" applyBorder="1"/>
    <xf numFmtId="0" fontId="17" fillId="0" borderId="8" xfId="0" applyFont="1" applyBorder="1"/>
    <xf numFmtId="22" fontId="18" fillId="0" borderId="12" xfId="0" applyNumberFormat="1" applyFont="1" applyBorder="1"/>
    <xf numFmtId="0" fontId="18" fillId="0" borderId="12" xfId="0" applyFont="1" applyBorder="1" applyAlignment="1">
      <alignment horizontal="left"/>
    </xf>
    <xf numFmtId="49" fontId="18" fillId="0" borderId="12" xfId="0" applyNumberFormat="1" applyFont="1" applyBorder="1" applyAlignment="1">
      <alignment horizontal="left"/>
    </xf>
    <xf numFmtId="166" fontId="18" fillId="0" borderId="12" xfId="0" applyNumberFormat="1" applyFont="1" applyBorder="1" applyAlignment="1">
      <alignment horizontal="center"/>
    </xf>
    <xf numFmtId="49" fontId="18" fillId="0" borderId="12" xfId="0" applyNumberFormat="1" applyFont="1" applyBorder="1" applyAlignment="1">
      <alignment horizontal="left" wrapText="1"/>
    </xf>
    <xf numFmtId="49" fontId="18" fillId="0" borderId="12" xfId="0" applyNumberFormat="1" applyFont="1" applyBorder="1" applyAlignment="1">
      <alignment horizontal="center"/>
    </xf>
    <xf numFmtId="49" fontId="19" fillId="0" borderId="12" xfId="0" applyNumberFormat="1" applyFont="1" applyBorder="1"/>
    <xf numFmtId="49" fontId="18" fillId="0" borderId="12" xfId="0" applyNumberFormat="1" applyFont="1" applyBorder="1"/>
    <xf numFmtId="0" fontId="20" fillId="0" borderId="12" xfId="0" applyFont="1" applyBorder="1" applyAlignment="1">
      <alignment wrapText="1"/>
    </xf>
    <xf numFmtId="0" fontId="21" fillId="0" borderId="12" xfId="0" applyFont="1" applyBorder="1" applyAlignment="1">
      <alignment vertical="top"/>
    </xf>
    <xf numFmtId="165" fontId="2" fillId="0" borderId="0" xfId="0" applyNumberFormat="1" applyFont="1" applyAlignment="1">
      <alignment horizontal="center"/>
    </xf>
    <xf numFmtId="165" fontId="2" fillId="0" borderId="8" xfId="0" applyNumberFormat="1" applyFont="1" applyBorder="1" applyAlignment="1">
      <alignment horizontal="center"/>
    </xf>
    <xf numFmtId="167" fontId="0" fillId="0" borderId="0" xfId="0" applyNumberFormat="1" applyAlignment="1">
      <alignment horizontal="center"/>
    </xf>
    <xf numFmtId="167" fontId="22" fillId="0" borderId="0" xfId="0" applyNumberFormat="1" applyFont="1" applyAlignment="1">
      <alignment horizontal="center"/>
    </xf>
    <xf numFmtId="49" fontId="18" fillId="0" borderId="12" xfId="0" applyNumberFormat="1" applyFont="1" applyBorder="1" applyAlignment="1">
      <alignment wrapText="1"/>
    </xf>
    <xf numFmtId="0" fontId="23" fillId="0" borderId="12" xfId="0" applyFont="1" applyBorder="1" applyAlignment="1">
      <alignment vertical="top"/>
    </xf>
    <xf numFmtId="22" fontId="18" fillId="0" borderId="13" xfId="0" applyNumberFormat="1" applyFont="1" applyBorder="1"/>
    <xf numFmtId="0" fontId="18" fillId="0" borderId="13" xfId="0" applyFont="1" applyBorder="1" applyAlignment="1">
      <alignment horizontal="left"/>
    </xf>
    <xf numFmtId="49" fontId="18" fillId="0" borderId="13" xfId="0" applyNumberFormat="1" applyFont="1" applyBorder="1" applyAlignment="1">
      <alignment horizontal="left"/>
    </xf>
    <xf numFmtId="166" fontId="18" fillId="0" borderId="13" xfId="0" applyNumberFormat="1" applyFont="1" applyBorder="1" applyAlignment="1">
      <alignment horizontal="center"/>
    </xf>
    <xf numFmtId="49" fontId="18" fillId="0" borderId="13" xfId="0" applyNumberFormat="1" applyFont="1" applyBorder="1" applyAlignment="1">
      <alignment horizontal="left" wrapText="1"/>
    </xf>
    <xf numFmtId="49" fontId="18" fillId="0" borderId="13" xfId="0" applyNumberFormat="1" applyFont="1" applyBorder="1" applyAlignment="1">
      <alignment horizontal="center"/>
    </xf>
    <xf numFmtId="49" fontId="19" fillId="0" borderId="13" xfId="0" applyNumberFormat="1" applyFont="1" applyBorder="1"/>
    <xf numFmtId="49" fontId="18" fillId="0" borderId="13" xfId="0" applyNumberFormat="1" applyFont="1" applyBorder="1" applyAlignment="1">
      <alignment horizontal="left" vertical="top" wrapText="1"/>
    </xf>
    <xf numFmtId="0" fontId="0" fillId="0" borderId="8" xfId="0" applyBorder="1"/>
    <xf numFmtId="0" fontId="0" fillId="3" borderId="0" xfId="0" applyFill="1" applyAlignment="1">
      <alignment wrapText="1"/>
    </xf>
    <xf numFmtId="165" fontId="0" fillId="0" borderId="3" xfId="0" applyNumberFormat="1" applyBorder="1"/>
    <xf numFmtId="0" fontId="2" fillId="7" borderId="0" xfId="0" applyFont="1" applyFill="1"/>
    <xf numFmtId="0" fontId="2" fillId="8" borderId="0" xfId="0" applyFont="1" applyFill="1"/>
    <xf numFmtId="0" fontId="2" fillId="9" borderId="0" xfId="0" applyFont="1" applyFill="1"/>
    <xf numFmtId="0" fontId="0" fillId="9" borderId="0" xfId="0" applyFill="1"/>
    <xf numFmtId="0" fontId="2" fillId="10" borderId="0" xfId="0" applyFont="1" applyFill="1"/>
    <xf numFmtId="0" fontId="0" fillId="11" borderId="0" xfId="0" applyFill="1"/>
    <xf numFmtId="0" fontId="16" fillId="6" borderId="1" xfId="0" applyFont="1" applyFill="1" applyBorder="1" applyAlignment="1">
      <alignment wrapText="1"/>
    </xf>
    <xf numFmtId="0" fontId="16" fillId="6" borderId="7" xfId="0" applyFont="1" applyFill="1" applyBorder="1" applyAlignment="1">
      <alignment wrapText="1"/>
    </xf>
    <xf numFmtId="0" fontId="16" fillId="6" borderId="12" xfId="0" applyFont="1" applyFill="1" applyBorder="1" applyAlignment="1">
      <alignment wrapText="1"/>
    </xf>
    <xf numFmtId="0" fontId="4" fillId="6" borderId="1" xfId="0" applyFont="1" applyFill="1" applyBorder="1" applyAlignment="1">
      <alignment wrapText="1"/>
    </xf>
    <xf numFmtId="0" fontId="4" fillId="6" borderId="7" xfId="0" applyFont="1" applyFill="1" applyBorder="1" applyAlignment="1">
      <alignment wrapText="1"/>
    </xf>
    <xf numFmtId="0" fontId="4" fillId="6" borderId="2" xfId="0" applyFont="1" applyFill="1" applyBorder="1" applyAlignment="1">
      <alignment wrapText="1"/>
    </xf>
    <xf numFmtId="0" fontId="4" fillId="6" borderId="3" xfId="0" applyFont="1" applyFill="1" applyBorder="1" applyAlignment="1">
      <alignment wrapText="1"/>
    </xf>
    <xf numFmtId="0" fontId="4" fillId="6" borderId="0" xfId="0" applyFont="1" applyFill="1" applyAlignment="1">
      <alignment wrapText="1"/>
    </xf>
    <xf numFmtId="0" fontId="4" fillId="6" borderId="4" xfId="0" applyFont="1" applyFill="1" applyBorder="1" applyAlignment="1">
      <alignment wrapText="1"/>
    </xf>
    <xf numFmtId="49" fontId="18" fillId="0" borderId="12" xfId="0" applyNumberFormat="1" applyFont="1" applyBorder="1" applyAlignment="1"/>
    <xf numFmtId="0" fontId="24" fillId="0" borderId="0" xfId="0" applyFont="1"/>
    <xf numFmtId="0" fontId="25" fillId="0" borderId="0" xfId="0" applyFont="1"/>
    <xf numFmtId="0" fontId="26" fillId="12" borderId="1" xfId="0" applyFont="1" applyFill="1" applyBorder="1" applyAlignment="1">
      <alignment wrapText="1"/>
    </xf>
    <xf numFmtId="0" fontId="26" fillId="12" borderId="7" xfId="0" applyFont="1" applyFill="1" applyBorder="1" applyAlignment="1">
      <alignment wrapText="1"/>
    </xf>
    <xf numFmtId="0" fontId="26" fillId="12" borderId="2" xfId="0" applyFont="1" applyFill="1" applyBorder="1" applyAlignment="1">
      <alignment wrapText="1"/>
    </xf>
    <xf numFmtId="0" fontId="26" fillId="12" borderId="0" xfId="0" applyFont="1" applyFill="1"/>
    <xf numFmtId="0" fontId="0" fillId="13" borderId="0" xfId="0" applyFill="1"/>
    <xf numFmtId="0" fontId="0" fillId="8"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11" fontId="0" fillId="19" borderId="0" xfId="0" applyNumberFormat="1" applyFill="1"/>
    <xf numFmtId="0" fontId="0" fillId="20" borderId="0" xfId="0" applyFill="1"/>
    <xf numFmtId="0" fontId="0" fillId="21" borderId="0" xfId="0" applyFill="1"/>
    <xf numFmtId="11" fontId="0" fillId="22" borderId="0" xfId="0" applyNumberFormat="1"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27" fillId="0" borderId="0" xfId="0" applyFont="1"/>
    <xf numFmtId="0" fontId="24" fillId="32" borderId="0" xfId="0" applyFont="1" applyFill="1"/>
    <xf numFmtId="14" fontId="24" fillId="7" borderId="0" xfId="0" applyNumberFormat="1" applyFont="1" applyFill="1"/>
    <xf numFmtId="0" fontId="28" fillId="7" borderId="0" xfId="0" applyFont="1" applyFill="1"/>
    <xf numFmtId="0" fontId="28" fillId="32" borderId="0" xfId="0" applyFont="1" applyFill="1"/>
    <xf numFmtId="0" fontId="29" fillId="0" borderId="0" xfId="0" applyFont="1"/>
    <xf numFmtId="0" fontId="30" fillId="12" borderId="0" xfId="0" applyFont="1" applyFill="1"/>
    <xf numFmtId="0" fontId="28" fillId="0" borderId="0" xfId="0" applyFont="1"/>
    <xf numFmtId="0" fontId="25" fillId="34" borderId="0" xfId="0" applyFont="1" applyFill="1"/>
    <xf numFmtId="0" fontId="0" fillId="0" borderId="0" xfId="0"/>
    <xf numFmtId="0" fontId="1" fillId="33" borderId="0" xfId="0" applyFont="1" applyFill="1"/>
    <xf numFmtId="0" fontId="32" fillId="34" borderId="0" xfId="0" applyFont="1" applyFill="1"/>
    <xf numFmtId="0" fontId="31" fillId="34" borderId="0" xfId="0" applyFont="1" applyFill="1"/>
    <xf numFmtId="0" fontId="30" fillId="33" borderId="0" xfId="0" applyFont="1" applyFill="1"/>
    <xf numFmtId="0" fontId="24" fillId="0" borderId="0" xfId="0" applyFont="1"/>
  </cellXfs>
  <cellStyles count="1">
    <cellStyle name="Normal" xfId="0" builtinId="0"/>
  </cellStyles>
  <dxfs count="30">
    <dxf>
      <font>
        <b val="0"/>
        <i val="0"/>
        <strike val="0"/>
        <condense val="0"/>
        <extend val="0"/>
        <outline val="0"/>
        <shadow val="0"/>
        <u val="none"/>
        <vertAlign val="baseline"/>
        <sz val="11"/>
        <color rgb="FF1F2937"/>
        <name val="Carlito"/>
        <scheme val="none"/>
      </font>
      <border diagonalUp="0" diagonalDown="0">
        <left/>
        <right style="thin">
          <color rgb="FFD9E2EC"/>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left/>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numFmt numFmtId="165" formatCode="yyyy\-mm\-dd"/>
      <alignment horizontal="center" vertical="bottom" textRotation="0" wrapText="0" indent="0" justifyLastLine="0" shrinkToFit="0" readingOrder="0"/>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border diagonalUp="0" diagonalDown="0" outline="0">
        <left style="thin">
          <color rgb="FFD9E2EC"/>
        </left>
        <right/>
        <top/>
        <bottom style="thin">
          <color rgb="FFD9E2EC"/>
        </bottom>
      </border>
    </dxf>
    <dxf>
      <font>
        <b/>
        <color rgb="FFFFFFFF"/>
      </font>
      <fill>
        <patternFill>
          <fgColor indexed="64"/>
          <bgColor rgb="FF444444"/>
        </patternFill>
      </fill>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Calc_Charts!$B$256</c:f>
          <c:strCache>
            <c:ptCount val="1"/>
            <c:pt idx="0">
              <c:v>Issues by root cause  (Jun 1 to Jul 15)</c:v>
            </c:pt>
          </c:strCache>
        </c:strRef>
      </c:tx>
      <c:layout/>
      <c:overlay val="1"/>
    </c:title>
    <c:autoTitleDeleted val="0"/>
    <c:plotArea>
      <c:layout/>
      <c:barChart>
        <c:barDir val="col"/>
        <c:grouping val="clustered"/>
        <c:varyColors val="1"/>
        <c:ser>
          <c:idx val="0"/>
          <c:order val="0"/>
          <c:tx>
            <c:strRef>
              <c:f>Calc_Charts!$D$256</c:f>
              <c:strCache>
                <c:ptCount val="1"/>
              </c:strCache>
            </c:strRef>
          </c:tx>
          <c:spPr>
            <a:solidFill>
              <a:srgbClr val="17365D"/>
            </a:solidFill>
            <a:ln>
              <a:prstDash val="solid"/>
            </a:ln>
          </c:spPr>
          <c:invertIfNegative val="1"/>
          <c:dPt>
            <c:idx val="0"/>
            <c:invertIfNegative val="1"/>
            <c:bubble3D val="0"/>
            <c:spPr>
              <a:solidFill>
                <a:srgbClr val="70AD47"/>
              </a:solidFill>
              <a:ln>
                <a:prstDash val="solid"/>
              </a:ln>
            </c:spPr>
            <c:extLst xmlns:c16r2="http://schemas.microsoft.com/office/drawing/2015/06/chart">
              <c:ext xmlns:c16="http://schemas.microsoft.com/office/drawing/2014/chart" uri="{C3380CC4-5D6E-409C-BE32-E72D297353CC}">
                <c16:uniqueId val="{00000001-9198-43C4-8D79-079A94DA35B9}"/>
              </c:ext>
            </c:extLst>
          </c:dPt>
          <c:dPt>
            <c:idx val="1"/>
            <c:invertIfNegative val="1"/>
            <c:bubble3D val="0"/>
            <c:spPr>
              <a:solidFill>
                <a:srgbClr val="FFC000"/>
              </a:solidFill>
              <a:ln>
                <a:prstDash val="solid"/>
              </a:ln>
            </c:spPr>
            <c:extLst xmlns:c16r2="http://schemas.microsoft.com/office/drawing/2015/06/chart">
              <c:ext xmlns:c16="http://schemas.microsoft.com/office/drawing/2014/chart" uri="{C3380CC4-5D6E-409C-BE32-E72D297353CC}">
                <c16:uniqueId val="{00000003-9198-43C4-8D79-079A94DA35B9}"/>
              </c:ext>
            </c:extLst>
          </c:dPt>
          <c:dPt>
            <c:idx val="2"/>
            <c:invertIfNegative val="1"/>
            <c:bubble3D val="0"/>
            <c:spPr>
              <a:solidFill>
                <a:srgbClr val="4472C4"/>
              </a:solidFill>
              <a:ln>
                <a:prstDash val="solid"/>
              </a:ln>
            </c:spPr>
            <c:extLst xmlns:c16r2="http://schemas.microsoft.com/office/drawing/2015/06/chart">
              <c:ext xmlns:c16="http://schemas.microsoft.com/office/drawing/2014/chart" uri="{C3380CC4-5D6E-409C-BE32-E72D297353CC}">
                <c16:uniqueId val="{00000005-9198-43C4-8D79-079A94DA35B9}"/>
              </c:ext>
            </c:extLst>
          </c:dPt>
          <c:dPt>
            <c:idx val="3"/>
            <c:invertIfNegative val="1"/>
            <c:bubble3D val="0"/>
            <c:spPr>
              <a:solidFill>
                <a:srgbClr val="ED7D31"/>
              </a:solidFill>
              <a:ln>
                <a:prstDash val="solid"/>
              </a:ln>
            </c:spPr>
            <c:extLst xmlns:c16r2="http://schemas.microsoft.com/office/drawing/2015/06/chart">
              <c:ext xmlns:c16="http://schemas.microsoft.com/office/drawing/2014/chart" uri="{C3380CC4-5D6E-409C-BE32-E72D297353CC}">
                <c16:uniqueId val="{00000007-9198-43C4-8D79-079A94DA35B9}"/>
              </c:ext>
            </c:extLst>
          </c:dPt>
          <c:dPt>
            <c:idx val="4"/>
            <c:invertIfNegative val="1"/>
            <c:bubble3D val="0"/>
            <c:spPr>
              <a:solidFill>
                <a:srgbClr val="5B9BD5"/>
              </a:solidFill>
              <a:ln>
                <a:prstDash val="solid"/>
              </a:ln>
            </c:spPr>
            <c:extLst xmlns:c16r2="http://schemas.microsoft.com/office/drawing/2015/06/chart">
              <c:ext xmlns:c16="http://schemas.microsoft.com/office/drawing/2014/chart" uri="{C3380CC4-5D6E-409C-BE32-E72D297353CC}">
                <c16:uniqueId val="{00000009-9198-43C4-8D79-079A94DA35B9}"/>
              </c:ext>
            </c:extLst>
          </c:dPt>
          <c:dPt>
            <c:idx val="5"/>
            <c:invertIfNegative val="1"/>
            <c:bubble3D val="0"/>
            <c:spPr>
              <a:solidFill>
                <a:srgbClr val="A5A5A5"/>
              </a:solidFill>
              <a:ln>
                <a:prstDash val="solid"/>
              </a:ln>
            </c:spPr>
            <c:extLst xmlns:c16r2="http://schemas.microsoft.com/office/drawing/2015/06/chart">
              <c:ext xmlns:c16="http://schemas.microsoft.com/office/drawing/2014/chart" uri="{C3380CC4-5D6E-409C-BE32-E72D297353CC}">
                <c16:uniqueId val="{0000000B-9198-43C4-8D79-079A94DA35B9}"/>
              </c:ext>
            </c:extLst>
          </c:dPt>
          <c:dPt>
            <c:idx val="6"/>
            <c:invertIfNegative val="1"/>
            <c:bubble3D val="0"/>
            <c:spPr>
              <a:solidFill>
                <a:srgbClr val="264478"/>
              </a:solidFill>
              <a:ln>
                <a:prstDash val="solid"/>
              </a:ln>
            </c:spPr>
            <c:extLst xmlns:c16r2="http://schemas.microsoft.com/office/drawing/2015/06/chart">
              <c:ext xmlns:c16="http://schemas.microsoft.com/office/drawing/2014/chart" uri="{C3380CC4-5D6E-409C-BE32-E72D297353CC}">
                <c16:uniqueId val="{0000000D-9198-43C4-8D79-079A94DA35B9}"/>
              </c:ext>
            </c:extLst>
          </c:dPt>
          <c:dPt>
            <c:idx val="7"/>
            <c:invertIfNegative val="1"/>
            <c:bubble3D val="0"/>
            <c:spPr>
              <a:solidFill>
                <a:srgbClr val="9E480E"/>
              </a:solidFill>
              <a:ln>
                <a:prstDash val="solid"/>
              </a:ln>
            </c:spPr>
            <c:extLst xmlns:c16r2="http://schemas.microsoft.com/office/drawing/2015/06/chart">
              <c:ext xmlns:c16="http://schemas.microsoft.com/office/drawing/2014/chart" uri="{C3380CC4-5D6E-409C-BE32-E72D297353CC}">
                <c16:uniqueId val="{0000000F-9198-43C4-8D79-079A94DA35B9}"/>
              </c:ext>
            </c:extLst>
          </c:dPt>
          <c:dPt>
            <c:idx val="8"/>
            <c:invertIfNegative val="1"/>
            <c:bubble3D val="0"/>
            <c:spPr>
              <a:solidFill>
                <a:srgbClr val="636363"/>
              </a:solidFill>
              <a:ln>
                <a:prstDash val="solid"/>
              </a:ln>
            </c:spPr>
            <c:extLst xmlns:c16r2="http://schemas.microsoft.com/office/drawing/2015/06/chart">
              <c:ext xmlns:c16="http://schemas.microsoft.com/office/drawing/2014/chart" uri="{C3380CC4-5D6E-409C-BE32-E72D297353CC}">
                <c16:uniqueId val="{00000011-9198-43C4-8D79-079A94DA35B9}"/>
              </c:ext>
            </c:extLst>
          </c:dPt>
          <c:dPt>
            <c:idx val="9"/>
            <c:invertIfNegative val="1"/>
            <c:bubble3D val="0"/>
            <c:spPr>
              <a:solidFill>
                <a:srgbClr val="997300"/>
              </a:solidFill>
              <a:ln>
                <a:prstDash val="solid"/>
              </a:ln>
            </c:spPr>
            <c:extLst xmlns:c16r2="http://schemas.microsoft.com/office/drawing/2015/06/chart">
              <c:ext xmlns:c16="http://schemas.microsoft.com/office/drawing/2014/chart" uri="{C3380CC4-5D6E-409C-BE32-E72D297353CC}">
                <c16:uniqueId val="{00000013-9198-43C4-8D79-079A94DA35B9}"/>
              </c:ext>
            </c:extLst>
          </c:dPt>
          <c:dPt>
            <c:idx val="10"/>
            <c:invertIfNegative val="1"/>
            <c:bubble3D val="0"/>
            <c:spPr>
              <a:solidFill>
                <a:srgbClr val="255E91"/>
              </a:solidFill>
              <a:ln>
                <a:prstDash val="solid"/>
              </a:ln>
            </c:spPr>
            <c:extLst xmlns:c16r2="http://schemas.microsoft.com/office/drawing/2015/06/chart">
              <c:ext xmlns:c16="http://schemas.microsoft.com/office/drawing/2014/chart" uri="{C3380CC4-5D6E-409C-BE32-E72D297353CC}">
                <c16:uniqueId val="{00000015-9198-43C4-8D79-079A94DA35B9}"/>
              </c:ext>
            </c:extLst>
          </c:dPt>
          <c:dPt>
            <c:idx val="11"/>
            <c:invertIfNegative val="1"/>
            <c:bubble3D val="0"/>
            <c:spPr>
              <a:solidFill>
                <a:srgbClr val="43682B"/>
              </a:solidFill>
              <a:ln>
                <a:prstDash val="solid"/>
              </a:ln>
            </c:spPr>
            <c:extLst xmlns:c16r2="http://schemas.microsoft.com/office/drawing/2015/06/chart">
              <c:ext xmlns:c16="http://schemas.microsoft.com/office/drawing/2014/chart" uri="{C3380CC4-5D6E-409C-BE32-E72D297353CC}">
                <c16:uniqueId val="{00000017-9198-43C4-8D79-079A94DA35B9}"/>
              </c:ext>
            </c:extLst>
          </c:dPt>
          <c:dPt>
            <c:idx val="12"/>
            <c:invertIfNegative val="1"/>
            <c:bubble3D val="0"/>
            <c:spPr>
              <a:solidFill>
                <a:srgbClr val="698ED0"/>
              </a:solidFill>
              <a:ln>
                <a:prstDash val="solid"/>
              </a:ln>
            </c:spPr>
            <c:extLst xmlns:c16r2="http://schemas.microsoft.com/office/drawing/2015/06/chart">
              <c:ext xmlns:c16="http://schemas.microsoft.com/office/drawing/2014/chart" uri="{C3380CC4-5D6E-409C-BE32-E72D297353CC}">
                <c16:uniqueId val="{00000019-9198-43C4-8D79-079A94DA35B9}"/>
              </c:ext>
            </c:extLst>
          </c:dPt>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[0]!ch1_vals</c:f>
              <c:numCache>
                <c:formatCode>General</c:formatCode>
                <c:ptCount val="15"/>
                <c:pt idx="0">
                  <c:v>29</c:v>
                </c:pt>
                <c:pt idx="1">
                  <c:v>11</c:v>
                </c:pt>
                <c:pt idx="2">
                  <c:v>9</c:v>
                </c:pt>
                <c:pt idx="3">
                  <c:v>5</c:v>
                </c:pt>
                <c:pt idx="4">
                  <c:v>5</c:v>
                </c:pt>
                <c:pt idx="5">
                  <c:v>4</c:v>
                </c:pt>
                <c:pt idx="6">
                  <c:v>4</c:v>
                </c:pt>
                <c:pt idx="7">
                  <c:v>3</c:v>
                </c:pt>
                <c:pt idx="8">
                  <c:v>3</c:v>
                </c:pt>
                <c:pt idx="9">
                  <c:v>2</c:v>
                </c:pt>
                <c:pt idx="10">
                  <c:v>2</c:v>
                </c:pt>
                <c:pt idx="11">
                  <c:v>1</c:v>
                </c:pt>
                <c:pt idx="12">
                  <c:v>1</c:v>
                </c:pt>
                <c:pt idx="13">
                  <c:v>1</c:v>
                </c:pt>
                <c:pt idx="14">
                  <c:v>1</c:v>
                </c:pt>
              </c:numCache>
            </c:numRef>
          </c:val>
          <c:extLst xmlns:c16r2="http://schemas.microsoft.com/office/drawing/2015/06/chart">
            <c:ext xmlns:c16="http://schemas.microsoft.com/office/drawing/2014/chart" uri="{C3380CC4-5D6E-409C-BE32-E72D297353CC}">
              <c16:uniqueId val="{00000032-9198-43C4-8D79-079A94DA35B9}"/>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1"/>
          <c:showCatName val="0"/>
          <c:showSerName val="0"/>
          <c:showPercent val="0"/>
          <c:showBubbleSize val="0"/>
        </c:dLbls>
        <c:gapWidth val="40"/>
        <c:axId val="205052544"/>
        <c:axId val="205786112"/>
      </c:barChart>
      <c:catAx>
        <c:axId val="205052544"/>
        <c:scaling>
          <c:orientation val="minMax"/>
        </c:scaling>
        <c:delete val="0"/>
        <c:axPos val="b"/>
        <c:title>
          <c:tx>
            <c:rich>
              <a:bodyPr/>
              <a:lstStyle/>
              <a:p>
                <a:pPr>
                  <a:defRPr sz="1000" b="1"/>
                </a:pPr>
                <a:r>
                  <a:rPr lang="en-US"/>
                  <a:t>Root cause</a:t>
                </a:r>
              </a:p>
            </c:rich>
          </c:tx>
          <c:layout/>
          <c:overlay val="0"/>
        </c:title>
        <c:numFmt formatCode="General" sourceLinked="0"/>
        <c:majorTickMark val="none"/>
        <c:minorTickMark val="none"/>
        <c:tickLblPos val="nextTo"/>
        <c:crossAx val="205786112"/>
        <c:crosses val="autoZero"/>
        <c:auto val="1"/>
        <c:lblAlgn val="ctr"/>
        <c:lblOffset val="100"/>
        <c:noMultiLvlLbl val="1"/>
      </c:catAx>
      <c:valAx>
        <c:axId val="205786112"/>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05052544"/>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Calc_Charts!$B$257</c:f>
          <c:strCache>
            <c:ptCount val="1"/>
            <c:pt idx="0">
              <c:v>Dispatch by store commission week (by cause group)</c:v>
            </c:pt>
          </c:strCache>
        </c:strRef>
      </c:tx>
      <c:layout/>
      <c:overlay val="1"/>
    </c:title>
    <c:autoTitleDeleted val="0"/>
    <c:plotArea>
      <c:layout/>
      <c:barChart>
        <c:barDir val="col"/>
        <c:grouping val="stacked"/>
        <c:varyColors val="1"/>
        <c:ser>
          <c:idx val="0"/>
          <c:order val="0"/>
          <c:tx>
            <c:strRef>
              <c:f>Calc_Weekly!$C$154</c:f>
              <c:strCache>
                <c:ptCount val="1"/>
                <c:pt idx="0">
                  <c:v>Ref. leak/ Low charge</c:v>
                </c:pt>
              </c:strCache>
            </c:strRef>
          </c:tx>
          <c:spPr>
            <a:solidFill>
              <a:srgbClr val="70AD47"/>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Calc_Weekly!$C$155:$C$174</c:f>
              <c:numCache>
                <c:formatCode>General</c:formatCode>
                <c:ptCount val="20"/>
                <c:pt idx="0">
                  <c:v>0</c:v>
                </c:pt>
                <c:pt idx="1">
                  <c:v>0</c:v>
                </c:pt>
                <c:pt idx="2">
                  <c:v>3</c:v>
                </c:pt>
                <c:pt idx="3">
                  <c:v>0</c:v>
                </c:pt>
                <c:pt idx="4">
                  <c:v>0</c:v>
                </c:pt>
                <c:pt idx="5">
                  <c:v>5</c:v>
                </c:pt>
                <c:pt idx="6">
                  <c:v>1</c:v>
                </c:pt>
                <c:pt idx="7">
                  <c:v>0</c:v>
                </c:pt>
                <c:pt idx="8">
                  <c:v>0</c:v>
                </c:pt>
                <c:pt idx="9">
                  <c:v>0</c:v>
                </c:pt>
                <c:pt idx="10">
                  <c:v>0</c:v>
                </c:pt>
                <c:pt idx="11">
                  <c:v>0</c:v>
                </c:pt>
                <c:pt idx="12">
                  <c:v>0</c:v>
                </c:pt>
                <c:pt idx="13">
                  <c:v>2</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Calc_Weekly!$D$154</c:f>
              <c:strCache>
                <c:ptCount val="1"/>
                <c:pt idx="0">
                  <c:v>Doors</c:v>
                </c:pt>
              </c:strCache>
            </c:strRef>
          </c:tx>
          <c:spPr>
            <a:solidFill>
              <a:srgbClr val="FFC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Calc_Weekly!$D$155:$D$174</c:f>
              <c:numCache>
                <c:formatCode>General</c:formatCode>
                <c:ptCount val="20"/>
                <c:pt idx="0">
                  <c:v>2</c:v>
                </c:pt>
                <c:pt idx="1">
                  <c:v>4</c:v>
                </c:pt>
                <c:pt idx="2">
                  <c:v>6</c:v>
                </c:pt>
                <c:pt idx="3">
                  <c:v>6</c:v>
                </c:pt>
                <c:pt idx="4">
                  <c:v>0</c:v>
                </c:pt>
                <c:pt idx="5">
                  <c:v>0</c:v>
                </c:pt>
                <c:pt idx="6">
                  <c:v>5</c:v>
                </c:pt>
                <c:pt idx="7">
                  <c:v>3</c:v>
                </c:pt>
                <c:pt idx="8">
                  <c:v>1</c:v>
                </c:pt>
                <c:pt idx="9">
                  <c:v>3</c:v>
                </c:pt>
                <c:pt idx="10">
                  <c:v>1</c:v>
                </c:pt>
                <c:pt idx="11">
                  <c:v>3</c:v>
                </c:pt>
                <c:pt idx="12">
                  <c:v>2</c:v>
                </c:pt>
                <c:pt idx="13">
                  <c:v>0</c:v>
                </c:pt>
                <c:pt idx="14">
                  <c:v>1</c:v>
                </c:pt>
                <c:pt idx="15">
                  <c:v>2</c:v>
                </c:pt>
                <c:pt idx="16">
                  <c:v>0</c:v>
                </c:pt>
                <c:pt idx="17">
                  <c:v>1</c:v>
                </c:pt>
                <c:pt idx="18">
                  <c:v>1</c:v>
                </c:pt>
                <c:pt idx="19">
                  <c:v>0</c:v>
                </c:pt>
              </c:numCache>
            </c:numRef>
          </c:val>
          <c:extLst xmlns:c16r2="http://schemas.microsoft.com/office/drawing/2015/06/chart">
            <c:ext xmlns:c16="http://schemas.microsoft.com/office/drawing/2014/chart" uri="{C3380CC4-5D6E-409C-BE32-E72D297353CC}">
              <c16:uniqueId val="{0000000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Calc_Weekly!$E$154</c:f>
              <c:strCache>
                <c:ptCount val="1"/>
                <c:pt idx="0">
                  <c:v>Drain tube blocked</c:v>
                </c:pt>
              </c:strCache>
            </c:strRef>
          </c:tx>
          <c:spPr>
            <a:solidFill>
              <a:srgbClr val="4472C4"/>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Calc_Weekly!$E$155:$E$174</c:f>
              <c:numCache>
                <c:formatCode>General</c:formatCode>
                <c:ptCount val="20"/>
                <c:pt idx="0">
                  <c:v>1</c:v>
                </c:pt>
                <c:pt idx="1">
                  <c:v>1</c:v>
                </c:pt>
                <c:pt idx="2">
                  <c:v>0</c:v>
                </c:pt>
                <c:pt idx="3">
                  <c:v>1</c:v>
                </c:pt>
                <c:pt idx="4">
                  <c:v>0</c:v>
                </c:pt>
                <c:pt idx="5">
                  <c:v>0</c:v>
                </c:pt>
                <c:pt idx="6">
                  <c:v>1</c:v>
                </c:pt>
                <c:pt idx="7">
                  <c:v>1</c:v>
                </c:pt>
                <c:pt idx="8">
                  <c:v>1</c:v>
                </c:pt>
                <c:pt idx="9">
                  <c:v>3</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0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Calc_Weekly!$F$154</c:f>
              <c:strCache>
                <c:ptCount val="1"/>
                <c:pt idx="0">
                  <c:v>Wrong / Loose wiring</c:v>
                </c:pt>
              </c:strCache>
            </c:strRef>
          </c:tx>
          <c:spPr>
            <a:solidFill>
              <a:srgbClr val="ED7D31"/>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Calc_Weekly!$F$155:$F$174</c:f>
              <c:numCache>
                <c:formatCode>General</c:formatCode>
                <c:ptCount val="20"/>
                <c:pt idx="0">
                  <c:v>0</c:v>
                </c:pt>
                <c:pt idx="1">
                  <c:v>0</c:v>
                </c:pt>
                <c:pt idx="2">
                  <c:v>2</c:v>
                </c:pt>
                <c:pt idx="3">
                  <c:v>3</c:v>
                </c:pt>
                <c:pt idx="4">
                  <c:v>0</c:v>
                </c:pt>
                <c:pt idx="5">
                  <c:v>0</c:v>
                </c:pt>
                <c:pt idx="6">
                  <c:v>0</c:v>
                </c:pt>
                <c:pt idx="7">
                  <c:v>1</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0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Calc_Weekly!$G$154</c:f>
              <c:strCache>
                <c:ptCount val="1"/>
                <c:pt idx="0">
                  <c:v>Communication problem</c:v>
                </c:pt>
              </c:strCache>
            </c:strRef>
          </c:tx>
          <c:spPr>
            <a:solidFill>
              <a:srgbClr val="5B9BD5"/>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Calc_Weekly!$G$155:$G$174</c:f>
              <c:numCache>
                <c:formatCode>General</c:formatCode>
                <c:ptCount val="20"/>
                <c:pt idx="0">
                  <c:v>0</c:v>
                </c:pt>
                <c:pt idx="1">
                  <c:v>0</c:v>
                </c:pt>
                <c:pt idx="2">
                  <c:v>4</c:v>
                </c:pt>
                <c:pt idx="3">
                  <c:v>0</c:v>
                </c:pt>
                <c:pt idx="4">
                  <c:v>1</c:v>
                </c:pt>
                <c:pt idx="5">
                  <c:v>2</c:v>
                </c:pt>
                <c:pt idx="6">
                  <c:v>0</c:v>
                </c:pt>
                <c:pt idx="7">
                  <c:v>0</c:v>
                </c:pt>
                <c:pt idx="8">
                  <c:v>1</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04-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Calc_Weekly!$H$154</c:f>
              <c:strCache>
                <c:ptCount val="1"/>
                <c:pt idx="0">
                  <c:v>High Store RH</c:v>
                </c:pt>
              </c:strCache>
            </c:strRef>
          </c:tx>
          <c:spPr>
            <a:solidFill>
              <a:srgbClr val="A5A5A5"/>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Calc_Weekly!$H$155:$H$174</c:f>
              <c:numCache>
                <c:formatCode>General</c:formatCode>
                <c:ptCount val="20"/>
                <c:pt idx="0">
                  <c:v>1</c:v>
                </c:pt>
                <c:pt idx="1">
                  <c:v>0</c:v>
                </c:pt>
                <c:pt idx="2">
                  <c:v>0</c:v>
                </c:pt>
                <c:pt idx="3">
                  <c:v>0</c:v>
                </c:pt>
                <c:pt idx="4">
                  <c:v>3</c:v>
                </c:pt>
                <c:pt idx="5">
                  <c:v>0</c:v>
                </c:pt>
                <c:pt idx="6">
                  <c:v>1</c:v>
                </c:pt>
                <c:pt idx="7">
                  <c:v>0</c:v>
                </c:pt>
                <c:pt idx="8">
                  <c:v>2</c:v>
                </c:pt>
                <c:pt idx="9">
                  <c:v>0</c:v>
                </c:pt>
                <c:pt idx="10">
                  <c:v>1</c:v>
                </c:pt>
                <c:pt idx="11">
                  <c:v>0</c:v>
                </c:pt>
                <c:pt idx="12">
                  <c:v>0</c:v>
                </c:pt>
                <c:pt idx="13">
                  <c:v>0</c:v>
                </c:pt>
                <c:pt idx="14">
                  <c:v>0</c:v>
                </c:pt>
                <c:pt idx="15">
                  <c:v>2</c:v>
                </c:pt>
                <c:pt idx="16">
                  <c:v>0</c:v>
                </c:pt>
                <c:pt idx="17">
                  <c:v>0</c:v>
                </c:pt>
                <c:pt idx="18">
                  <c:v>2</c:v>
                </c:pt>
                <c:pt idx="19">
                  <c:v>0</c:v>
                </c:pt>
              </c:numCache>
            </c:numRef>
          </c:val>
          <c:extLst xmlns:c16r2="http://schemas.microsoft.com/office/drawing/2015/06/chart">
            <c:ext xmlns:c16="http://schemas.microsoft.com/office/drawing/2014/chart" uri="{C3380CC4-5D6E-409C-BE32-E72D297353CC}">
              <c16:uniqueId val="{00000005-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Calc_Weekly!$I$154</c:f>
              <c:strCache>
                <c:ptCount val="1"/>
                <c:pt idx="0">
                  <c:v>Enclosure Seal</c:v>
                </c:pt>
              </c:strCache>
            </c:strRef>
          </c:tx>
          <c:spPr>
            <a:solidFill>
              <a:srgbClr val="264478"/>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Calc_Weekly!$I$155:$I$174</c:f>
              <c:numCache>
                <c:formatCode>General</c:formatCode>
                <c:ptCount val="20"/>
                <c:pt idx="0">
                  <c:v>0</c:v>
                </c:pt>
                <c:pt idx="1">
                  <c:v>0</c:v>
                </c:pt>
                <c:pt idx="2">
                  <c:v>2</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6-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Calc_Weekly!$J$154</c:f>
              <c:strCache>
                <c:ptCount val="1"/>
                <c:pt idx="0">
                  <c:v>Component Failure</c:v>
                </c:pt>
              </c:strCache>
            </c:strRef>
          </c:tx>
          <c:spPr>
            <a:solidFill>
              <a:srgbClr val="9E480E"/>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Calc_Weekly!$J$155:$J$174</c:f>
              <c:numCache>
                <c:formatCode>General</c:formatCode>
                <c:ptCount val="20"/>
                <c:pt idx="0">
                  <c:v>0</c:v>
                </c:pt>
                <c:pt idx="1">
                  <c:v>2</c:v>
                </c:pt>
                <c:pt idx="2">
                  <c:v>0</c:v>
                </c:pt>
                <c:pt idx="3">
                  <c:v>0</c:v>
                </c:pt>
                <c:pt idx="4">
                  <c:v>0</c:v>
                </c:pt>
                <c:pt idx="5">
                  <c:v>1</c:v>
                </c:pt>
                <c:pt idx="6">
                  <c:v>1</c:v>
                </c:pt>
                <c:pt idx="7">
                  <c:v>0</c:v>
                </c:pt>
                <c:pt idx="8">
                  <c:v>0</c:v>
                </c:pt>
                <c:pt idx="9">
                  <c:v>0</c:v>
                </c:pt>
                <c:pt idx="10">
                  <c:v>0</c:v>
                </c:pt>
                <c:pt idx="11">
                  <c:v>0</c:v>
                </c:pt>
                <c:pt idx="12">
                  <c:v>0</c:v>
                </c:pt>
                <c:pt idx="13">
                  <c:v>0</c:v>
                </c:pt>
                <c:pt idx="14">
                  <c:v>1</c:v>
                </c:pt>
                <c:pt idx="15">
                  <c:v>1</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7-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Calc_Weekly!$K$154</c:f>
              <c:strCache>
                <c:ptCount val="1"/>
                <c:pt idx="0">
                  <c:v>Defrost Sync</c:v>
                </c:pt>
              </c:strCache>
            </c:strRef>
          </c:tx>
          <c:spPr>
            <a:solidFill>
              <a:srgbClr val="636363"/>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Calc_Weekly!$K$155:$K$174</c:f>
              <c:numCache>
                <c:formatCode>General</c:formatCode>
                <c:ptCount val="20"/>
                <c:pt idx="0">
                  <c:v>1</c:v>
                </c:pt>
                <c:pt idx="1">
                  <c:v>0</c:v>
                </c:pt>
                <c:pt idx="2">
                  <c:v>1</c:v>
                </c:pt>
                <c:pt idx="3">
                  <c:v>0</c:v>
                </c:pt>
                <c:pt idx="4">
                  <c:v>0</c:v>
                </c:pt>
                <c:pt idx="5">
                  <c:v>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8-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Calc_Weekly!$L$154</c:f>
              <c:strCache>
                <c:ptCount val="1"/>
                <c:pt idx="0">
                  <c:v>False Alarm</c:v>
                </c:pt>
              </c:strCache>
            </c:strRef>
          </c:tx>
          <c:spPr>
            <a:solidFill>
              <a:srgbClr val="9973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Calc_Weekly!$L$155:$L$174</c:f>
              <c:numCache>
                <c:formatCode>General</c:formatCode>
                <c:ptCount val="20"/>
                <c:pt idx="0">
                  <c:v>1</c:v>
                </c:pt>
                <c:pt idx="1">
                  <c:v>0</c:v>
                </c:pt>
                <c:pt idx="2">
                  <c:v>2</c:v>
                </c:pt>
                <c:pt idx="3">
                  <c:v>2</c:v>
                </c:pt>
                <c:pt idx="4">
                  <c:v>0</c:v>
                </c:pt>
                <c:pt idx="5">
                  <c:v>1</c:v>
                </c:pt>
                <c:pt idx="6">
                  <c:v>2</c:v>
                </c:pt>
                <c:pt idx="7">
                  <c:v>0</c:v>
                </c:pt>
                <c:pt idx="8">
                  <c:v>0</c:v>
                </c:pt>
                <c:pt idx="9">
                  <c:v>1</c:v>
                </c:pt>
                <c:pt idx="10">
                  <c:v>0</c:v>
                </c:pt>
                <c:pt idx="11">
                  <c:v>0</c:v>
                </c:pt>
                <c:pt idx="12">
                  <c:v>1</c:v>
                </c:pt>
                <c:pt idx="13">
                  <c:v>0</c:v>
                </c:pt>
                <c:pt idx="14">
                  <c:v>0</c:v>
                </c:pt>
                <c:pt idx="15">
                  <c:v>2</c:v>
                </c:pt>
                <c:pt idx="16">
                  <c:v>2</c:v>
                </c:pt>
                <c:pt idx="17">
                  <c:v>0</c:v>
                </c:pt>
                <c:pt idx="18">
                  <c:v>0</c:v>
                </c:pt>
                <c:pt idx="19">
                  <c:v>0</c:v>
                </c:pt>
              </c:numCache>
            </c:numRef>
          </c:val>
          <c:extLst xmlns:c16r2="http://schemas.microsoft.com/office/drawing/2015/06/chart">
            <c:ext xmlns:c16="http://schemas.microsoft.com/office/drawing/2014/chart" uri="{C3380CC4-5D6E-409C-BE32-E72D297353CC}">
              <c16:uniqueId val="{00000009-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Calc_Weekly!$M$154</c:f>
              <c:strCache>
                <c:ptCount val="1"/>
                <c:pt idx="0">
                  <c:v>Incorrect Program</c:v>
                </c:pt>
              </c:strCache>
            </c:strRef>
          </c:tx>
          <c:spPr>
            <a:solidFill>
              <a:srgbClr val="255E91"/>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Calc_Weekly!$M$155:$M$174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A-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Calc_Weekly!$N$154</c:f>
              <c:strCache>
                <c:ptCount val="1"/>
                <c:pt idx="0">
                  <c:v>Overstocking</c:v>
                </c:pt>
              </c:strCache>
            </c:strRef>
          </c:tx>
          <c:spPr>
            <a:solidFill>
              <a:srgbClr val="43682B"/>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Calc_Weekly!$N$155:$N$174</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2</c:v>
                </c:pt>
                <c:pt idx="17">
                  <c:v>0</c:v>
                </c:pt>
                <c:pt idx="18">
                  <c:v>0</c:v>
                </c:pt>
                <c:pt idx="19">
                  <c:v>0</c:v>
                </c:pt>
              </c:numCache>
            </c:numRef>
          </c:val>
          <c:extLst xmlns:c16r2="http://schemas.microsoft.com/office/drawing/2015/06/chart">
            <c:ext xmlns:c16="http://schemas.microsoft.com/office/drawing/2014/chart" uri="{C3380CC4-5D6E-409C-BE32-E72D297353CC}">
              <c16:uniqueId val="{0000000B-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Calc_Weekly!$O$154</c:f>
              <c:strCache>
                <c:ptCount val="1"/>
                <c:pt idx="0">
                  <c:v>Case End Seal</c:v>
                </c:pt>
              </c:strCache>
            </c:strRef>
          </c:tx>
          <c:spPr>
            <a:solidFill>
              <a:srgbClr val="698ED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Calc_Weekly!$O$155:$O$174</c:f>
              <c:numCache>
                <c:formatCode>General</c:formatCode>
                <c:ptCount val="20"/>
                <c:pt idx="0">
                  <c:v>0</c:v>
                </c:pt>
                <c:pt idx="1">
                  <c:v>0</c:v>
                </c:pt>
                <c:pt idx="2">
                  <c:v>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C-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Calc_Weekly!$P$154</c:f>
              <c:strCache>
                <c:ptCount val="1"/>
                <c:pt idx="0">
                  <c:v>Return Air blocked</c:v>
                </c:pt>
              </c:strCache>
            </c:strRef>
          </c:tx>
          <c:spPr>
            <a:solidFill>
              <a:srgbClr val="F1975A"/>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Calc_Weekly!$P$155:$P$174</c:f>
              <c:numCache>
                <c:formatCode>General</c:formatCode>
                <c:ptCount val="20"/>
                <c:pt idx="0">
                  <c:v>0</c:v>
                </c:pt>
                <c:pt idx="1">
                  <c:v>0</c:v>
                </c:pt>
                <c:pt idx="2">
                  <c:v>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D-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Calc_Weekly!$Q$154</c:f>
              <c:strCache>
                <c:ptCount val="1"/>
                <c:pt idx="0">
                  <c:v>Unidentified air leak</c:v>
                </c:pt>
              </c:strCache>
            </c:strRef>
          </c:tx>
          <c:spPr>
            <a:solidFill>
              <a:srgbClr val="B7B7B7"/>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Calc_Weekly!$Q$155:$Q$174</c:f>
              <c:numCache>
                <c:formatCode>General</c:formatCode>
                <c:ptCount val="20"/>
                <c:pt idx="0">
                  <c:v>0</c:v>
                </c:pt>
                <c:pt idx="1">
                  <c:v>0</c:v>
                </c:pt>
                <c:pt idx="2">
                  <c:v>1</c:v>
                </c:pt>
                <c:pt idx="3">
                  <c:v>1</c:v>
                </c:pt>
                <c:pt idx="4">
                  <c:v>0</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E-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Calc_Weekly!$R$154</c:f>
              <c:strCache>
                <c:ptCount val="1"/>
                <c:pt idx="0">
                  <c:v>Freedom</c:v>
                </c:pt>
              </c:strCache>
            </c:strRef>
          </c:tx>
          <c:spPr>
            <a:solidFill>
              <a:srgbClr val="1F4E79"/>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Calc_Weekly!$R$155:$R$174</c:f>
              <c:numCache>
                <c:formatCode>General</c:formatCode>
                <c:ptCount val="20"/>
                <c:pt idx="0">
                  <c:v>0</c:v>
                </c:pt>
                <c:pt idx="1">
                  <c:v>0</c:v>
                </c:pt>
                <c:pt idx="2">
                  <c:v>0</c:v>
                </c:pt>
                <c:pt idx="3">
                  <c:v>1</c:v>
                </c:pt>
                <c:pt idx="4">
                  <c:v>0</c:v>
                </c:pt>
                <c:pt idx="5">
                  <c:v>1</c:v>
                </c:pt>
                <c:pt idx="6">
                  <c:v>0</c:v>
                </c:pt>
                <c:pt idx="7">
                  <c:v>1</c:v>
                </c:pt>
                <c:pt idx="8">
                  <c:v>0</c:v>
                </c:pt>
                <c:pt idx="9">
                  <c:v>0</c:v>
                </c:pt>
                <c:pt idx="10">
                  <c:v>0</c:v>
                </c:pt>
                <c:pt idx="11">
                  <c:v>0</c:v>
                </c:pt>
                <c:pt idx="12">
                  <c:v>1</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F-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Calc_Weekly!$S$154</c:f>
              <c:strCache>
                <c:ptCount val="1"/>
                <c:pt idx="0">
                  <c:v>Heavy case load</c:v>
                </c:pt>
              </c:strCache>
            </c:strRef>
          </c:tx>
          <c:spPr>
            <a:solidFill>
              <a:srgbClr val="C00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Calc_Weekly!$S$155:$S$174</c:f>
              <c:numCache>
                <c:formatCode>General</c:formatCode>
                <c:ptCount val="20"/>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Calc_Weekly!$T$154</c:f>
              <c:strCache>
                <c:ptCount val="1"/>
                <c:pt idx="0">
                  <c:v>DG Installation issue</c:v>
                </c:pt>
              </c:strCache>
            </c:strRef>
          </c:tx>
          <c:spPr>
            <a:solidFill>
              <a:srgbClr val="7030A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Calc_Weekly!$T$155:$T$174</c:f>
              <c:numCache>
                <c:formatCode>General</c:formatCode>
                <c:ptCount val="20"/>
                <c:pt idx="0">
                  <c:v>0</c:v>
                </c:pt>
                <c:pt idx="1">
                  <c:v>0</c:v>
                </c:pt>
                <c:pt idx="2">
                  <c:v>0</c:v>
                </c:pt>
                <c:pt idx="3">
                  <c:v>1</c:v>
                </c:pt>
                <c:pt idx="4">
                  <c:v>0</c:v>
                </c:pt>
                <c:pt idx="5">
                  <c:v>1</c:v>
                </c:pt>
                <c:pt idx="6">
                  <c:v>2</c:v>
                </c:pt>
                <c:pt idx="7">
                  <c:v>0</c:v>
                </c:pt>
                <c:pt idx="8">
                  <c:v>0</c:v>
                </c:pt>
                <c:pt idx="9">
                  <c:v>0</c:v>
                </c:pt>
                <c:pt idx="10">
                  <c:v>0</c:v>
                </c:pt>
                <c:pt idx="11">
                  <c:v>2</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Calc_Weekly!$U$154</c:f>
              <c:strCache>
                <c:ptCount val="1"/>
                <c:pt idx="0">
                  <c:v>Unknown</c:v>
                </c:pt>
              </c:strCache>
            </c:strRef>
          </c:tx>
          <c:spPr>
            <a:solidFill>
              <a:srgbClr val="2E75B6"/>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Calc_Weekly!$U$155:$U$174</c:f>
              <c:numCache>
                <c:formatCode>General</c:formatCode>
                <c:ptCount val="20"/>
                <c:pt idx="0">
                  <c:v>0</c:v>
                </c:pt>
                <c:pt idx="1">
                  <c:v>0</c:v>
                </c:pt>
                <c:pt idx="2">
                  <c:v>1</c:v>
                </c:pt>
                <c:pt idx="3">
                  <c:v>0</c:v>
                </c:pt>
                <c:pt idx="4">
                  <c:v>0</c:v>
                </c:pt>
                <c:pt idx="5">
                  <c:v>2</c:v>
                </c:pt>
                <c:pt idx="6">
                  <c:v>3</c:v>
                </c:pt>
                <c:pt idx="7">
                  <c:v>0</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1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Calc_Weekly!$V$154</c:f>
              <c:strCache>
                <c:ptCount val="1"/>
                <c:pt idx="0">
                  <c:v>Program change - Hussmann</c:v>
                </c:pt>
              </c:strCache>
            </c:strRef>
          </c:tx>
          <c:spPr>
            <a:solidFill>
              <a:srgbClr val="BF9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Calc_Weekly!$V$155:$V$174</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30"/>
        <c:overlap val="100"/>
        <c:axId val="206025088"/>
        <c:axId val="206027008"/>
      </c:barChart>
      <c:lineChart>
        <c:grouping val="standard"/>
        <c:varyColors val="1"/>
        <c:ser>
          <c:idx val="20"/>
          <c:order val="20"/>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Calc_Charts!$B$187:$B$206</c:f>
              <c:numCache>
                <c:formatCode>General</c:formatCode>
                <c:ptCount val="20"/>
                <c:pt idx="0">
                  <c:v>6</c:v>
                </c:pt>
                <c:pt idx="1">
                  <c:v>7</c:v>
                </c:pt>
                <c:pt idx="2">
                  <c:v>24</c:v>
                </c:pt>
                <c:pt idx="3">
                  <c:v>16</c:v>
                </c:pt>
                <c:pt idx="4">
                  <c:v>4</c:v>
                </c:pt>
                <c:pt idx="5">
                  <c:v>15</c:v>
                </c:pt>
                <c:pt idx="6">
                  <c:v>17</c:v>
                </c:pt>
                <c:pt idx="7">
                  <c:v>6</c:v>
                </c:pt>
                <c:pt idx="8">
                  <c:v>7</c:v>
                </c:pt>
                <c:pt idx="9">
                  <c:v>8</c:v>
                </c:pt>
                <c:pt idx="10">
                  <c:v>2</c:v>
                </c:pt>
                <c:pt idx="11">
                  <c:v>5</c:v>
                </c:pt>
                <c:pt idx="12">
                  <c:v>4</c:v>
                </c:pt>
                <c:pt idx="13">
                  <c:v>2</c:v>
                </c:pt>
                <c:pt idx="14">
                  <c:v>2</c:v>
                </c:pt>
                <c:pt idx="15">
                  <c:v>8</c:v>
                </c:pt>
                <c:pt idx="16">
                  <c:v>4</c:v>
                </c:pt>
                <c:pt idx="17">
                  <c:v>4</c:v>
                </c:pt>
                <c:pt idx="18">
                  <c:v>5</c:v>
                </c:pt>
                <c:pt idx="19">
                  <c:v>0</c:v>
                </c:pt>
              </c:numCache>
            </c:numRef>
          </c:val>
          <c:smooth val="1"/>
          <c:extLst xmlns:c16r2="http://schemas.microsoft.com/office/drawing/2015/06/chart">
            <c:ext xmlns:c16="http://schemas.microsoft.com/office/drawing/2014/chart" uri="{C3380CC4-5D6E-409C-BE32-E72D297353CC}">
              <c16:uniqueId val="{00000014-D3BA-43F9-AA37-2158B182D92C}"/>
            </c:ext>
          </c:extLst>
        </c:ser>
        <c:dLbls>
          <c:showLegendKey val="0"/>
          <c:showVal val="0"/>
          <c:showCatName val="0"/>
          <c:showSerName val="0"/>
          <c:showPercent val="0"/>
          <c:showBubbleSize val="0"/>
        </c:dLbls>
        <c:marker val="1"/>
        <c:smooth val="0"/>
        <c:axId val="206025088"/>
        <c:axId val="206027008"/>
      </c:lineChart>
      <c:catAx>
        <c:axId val="206025088"/>
        <c:scaling>
          <c:orientation val="minMax"/>
        </c:scaling>
        <c:delete val="0"/>
        <c:axPos val="b"/>
        <c:title>
          <c:tx>
            <c:rich>
              <a:bodyPr/>
              <a:lstStyle/>
              <a:p>
                <a:pPr>
                  <a:defRPr sz="1000" b="1"/>
                </a:pPr>
                <a:r>
                  <a:rPr lang="en-US"/>
                  <a:t>Store commission week</a:t>
                </a:r>
              </a:p>
            </c:rich>
          </c:tx>
          <c:layout/>
          <c:overlay val="0"/>
        </c:title>
        <c:numFmt formatCode="General" sourceLinked="0"/>
        <c:majorTickMark val="none"/>
        <c:minorTickMark val="none"/>
        <c:tickLblPos val="low"/>
        <c:crossAx val="206027008"/>
        <c:crosses val="autoZero"/>
        <c:auto val="1"/>
        <c:lblAlgn val="ctr"/>
        <c:lblOffset val="100"/>
        <c:noMultiLvlLbl val="1"/>
      </c:catAx>
      <c:valAx>
        <c:axId val="206027008"/>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06025088"/>
        <c:crosses val="autoZero"/>
        <c:crossBetween val="between"/>
      </c:valAx>
    </c:plotArea>
    <c:legend>
      <c:legendPos val="r"/>
      <c:layout/>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Calc_Charts!$B$258</c:f>
          <c:strCache>
            <c:ptCount val="1"/>
            <c:pt idx="0">
              <c:v>Issues after clean point  (Jun 1 to Jul 15)</c:v>
            </c:pt>
          </c:strCache>
        </c:strRef>
      </c:tx>
      <c:layout/>
      <c:overlay val="1"/>
    </c:title>
    <c:autoTitleDeleted val="0"/>
    <c:plotArea>
      <c:layout/>
      <c:barChart>
        <c:barDir val="col"/>
        <c:grouping val="clustered"/>
        <c:varyColors val="1"/>
        <c:ser>
          <c:idx val="0"/>
          <c:order val="0"/>
          <c:tx>
            <c:strRef>
              <c:f>Calc_Charts!$D$258</c:f>
              <c:strCache>
                <c:ptCount val="1"/>
              </c:strCache>
            </c:strRef>
          </c:tx>
          <c:spPr>
            <a:solidFill>
              <a:srgbClr val="17365D"/>
            </a:solidFill>
            <a:ln>
              <a:prstDash val="solid"/>
            </a:ln>
          </c:spPr>
          <c:invertIfNegative val="1"/>
          <c:dPt>
            <c:idx val="0"/>
            <c:invertIfNegative val="1"/>
            <c:bubble3D val="0"/>
            <c:spPr>
              <a:solidFill>
                <a:srgbClr val="70AD47"/>
              </a:solidFill>
              <a:ln>
                <a:prstDash val="solid"/>
              </a:ln>
            </c:spPr>
            <c:extLst xmlns:c16r2="http://schemas.microsoft.com/office/drawing/2015/06/chart">
              <c:ext xmlns:c16="http://schemas.microsoft.com/office/drawing/2014/chart" uri="{C3380CC4-5D6E-409C-BE32-E72D297353CC}">
                <c16:uniqueId val="{00000001-BDDF-4E00-B631-D5B5FFAF89EF}"/>
              </c:ext>
            </c:extLst>
          </c:dPt>
          <c:dPt>
            <c:idx val="1"/>
            <c:invertIfNegative val="1"/>
            <c:bubble3D val="0"/>
            <c:spPr>
              <a:solidFill>
                <a:srgbClr val="FFC000"/>
              </a:solidFill>
              <a:ln>
                <a:prstDash val="solid"/>
              </a:ln>
            </c:spPr>
            <c:extLst xmlns:c16r2="http://schemas.microsoft.com/office/drawing/2015/06/chart">
              <c:ext xmlns:c16="http://schemas.microsoft.com/office/drawing/2014/chart" uri="{C3380CC4-5D6E-409C-BE32-E72D297353CC}">
                <c16:uniqueId val="{00000003-BDDF-4E00-B631-D5B5FFAF89EF}"/>
              </c:ext>
            </c:extLst>
          </c:dPt>
          <c:dPt>
            <c:idx val="2"/>
            <c:invertIfNegative val="1"/>
            <c:bubble3D val="0"/>
            <c:spPr>
              <a:solidFill>
                <a:srgbClr val="4472C4"/>
              </a:solidFill>
              <a:ln>
                <a:prstDash val="solid"/>
              </a:ln>
            </c:spPr>
            <c:extLst xmlns:c16r2="http://schemas.microsoft.com/office/drawing/2015/06/chart">
              <c:ext xmlns:c16="http://schemas.microsoft.com/office/drawing/2014/chart" uri="{C3380CC4-5D6E-409C-BE32-E72D297353CC}">
                <c16:uniqueId val="{00000005-BDDF-4E00-B631-D5B5FFAF89EF}"/>
              </c:ext>
            </c:extLst>
          </c:dPt>
          <c:dPt>
            <c:idx val="3"/>
            <c:invertIfNegative val="1"/>
            <c:bubble3D val="0"/>
            <c:spPr>
              <a:solidFill>
                <a:srgbClr val="ED7D31"/>
              </a:solidFill>
              <a:ln>
                <a:prstDash val="solid"/>
              </a:ln>
            </c:spPr>
            <c:extLst xmlns:c16r2="http://schemas.microsoft.com/office/drawing/2015/06/chart">
              <c:ext xmlns:c16="http://schemas.microsoft.com/office/drawing/2014/chart" uri="{C3380CC4-5D6E-409C-BE32-E72D297353CC}">
                <c16:uniqueId val="{00000007-BDDF-4E00-B631-D5B5FFAF89EF}"/>
              </c:ext>
            </c:extLst>
          </c:dPt>
          <c:dPt>
            <c:idx val="4"/>
            <c:invertIfNegative val="1"/>
            <c:bubble3D val="0"/>
            <c:spPr>
              <a:solidFill>
                <a:srgbClr val="5B9BD5"/>
              </a:solidFill>
              <a:ln>
                <a:prstDash val="solid"/>
              </a:ln>
            </c:spPr>
            <c:extLst xmlns:c16r2="http://schemas.microsoft.com/office/drawing/2015/06/chart">
              <c:ext xmlns:c16="http://schemas.microsoft.com/office/drawing/2014/chart" uri="{C3380CC4-5D6E-409C-BE32-E72D297353CC}">
                <c16:uniqueId val="{00000009-BDDF-4E00-B631-D5B5FFAF89EF}"/>
              </c:ext>
            </c:extLst>
          </c:dPt>
          <c:dPt>
            <c:idx val="5"/>
            <c:invertIfNegative val="1"/>
            <c:bubble3D val="0"/>
            <c:spPr>
              <a:solidFill>
                <a:srgbClr val="A5A5A5"/>
              </a:solidFill>
              <a:ln>
                <a:prstDash val="solid"/>
              </a:ln>
            </c:spPr>
            <c:extLst xmlns:c16r2="http://schemas.microsoft.com/office/drawing/2015/06/chart">
              <c:ext xmlns:c16="http://schemas.microsoft.com/office/drawing/2014/chart" uri="{C3380CC4-5D6E-409C-BE32-E72D297353CC}">
                <c16:uniqueId val="{0000000B-BDDF-4E00-B631-D5B5FFAF89EF}"/>
              </c:ext>
            </c:extLst>
          </c:dPt>
          <c:dPt>
            <c:idx val="6"/>
            <c:invertIfNegative val="1"/>
            <c:bubble3D val="0"/>
            <c:spPr>
              <a:solidFill>
                <a:srgbClr val="264478"/>
              </a:solidFill>
              <a:ln>
                <a:prstDash val="solid"/>
              </a:ln>
            </c:spPr>
            <c:extLst xmlns:c16r2="http://schemas.microsoft.com/office/drawing/2015/06/chart">
              <c:ext xmlns:c16="http://schemas.microsoft.com/office/drawing/2014/chart" uri="{C3380CC4-5D6E-409C-BE32-E72D297353CC}">
                <c16:uniqueId val="{0000000D-BDDF-4E00-B631-D5B5FFAF89EF}"/>
              </c:ext>
            </c:extLst>
          </c:dPt>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[0]!ch3_vals</c:f>
              <c:numCache>
                <c:formatCode>General</c:formatCode>
                <c:ptCount val="9"/>
                <c:pt idx="0">
                  <c:v>5</c:v>
                </c:pt>
                <c:pt idx="1">
                  <c:v>5</c:v>
                </c:pt>
                <c:pt idx="2">
                  <c:v>4</c:v>
                </c:pt>
                <c:pt idx="3">
                  <c:v>3</c:v>
                </c:pt>
                <c:pt idx="4">
                  <c:v>2</c:v>
                </c:pt>
                <c:pt idx="5">
                  <c:v>2</c:v>
                </c:pt>
                <c:pt idx="6">
                  <c:v>1</c:v>
                </c:pt>
                <c:pt idx="7">
                  <c:v>1</c:v>
                </c:pt>
                <c:pt idx="8">
                  <c:v>1</c:v>
                </c:pt>
              </c:numCache>
            </c:numRef>
          </c:val>
          <c:extLst xmlns:c16r2="http://schemas.microsoft.com/office/drawing/2015/06/chart">
            <c:ext xmlns:c16="http://schemas.microsoft.com/office/drawing/2014/chart" uri="{C3380CC4-5D6E-409C-BE32-E72D297353CC}">
              <c16:uniqueId val="{0000000E-BDDF-4E00-B631-D5B5FFAF89EF}"/>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1"/>
          <c:showCatName val="0"/>
          <c:showSerName val="0"/>
          <c:showPercent val="0"/>
          <c:showBubbleSize val="0"/>
        </c:dLbls>
        <c:gapWidth val="40"/>
        <c:axId val="206071296"/>
        <c:axId val="206085504"/>
      </c:barChart>
      <c:catAx>
        <c:axId val="206071296"/>
        <c:scaling>
          <c:orientation val="minMax"/>
        </c:scaling>
        <c:delete val="0"/>
        <c:axPos val="b"/>
        <c:title>
          <c:tx>
            <c:rich>
              <a:bodyPr/>
              <a:lstStyle/>
              <a:p>
                <a:pPr>
                  <a:defRPr sz="1000" b="1"/>
                </a:pPr>
                <a:r>
                  <a:rPr lang="en-US"/>
                  <a:t>Root cause</a:t>
                </a:r>
              </a:p>
            </c:rich>
          </c:tx>
          <c:layout/>
          <c:overlay val="0"/>
        </c:title>
        <c:numFmt formatCode="General" sourceLinked="0"/>
        <c:majorTickMark val="none"/>
        <c:minorTickMark val="none"/>
        <c:tickLblPos val="nextTo"/>
        <c:crossAx val="206085504"/>
        <c:crosses val="autoZero"/>
        <c:auto val="1"/>
        <c:lblAlgn val="ctr"/>
        <c:lblOffset val="100"/>
        <c:noMultiLvlLbl val="1"/>
      </c:catAx>
      <c:valAx>
        <c:axId val="206085504"/>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06071296"/>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Calc_Charts!$B$259</c:f>
          <c:strCache>
            <c:ptCount val="1"/>
            <c:pt idx="0">
              <c:v>Dispatch by call week (by root cause)</c:v>
            </c:pt>
          </c:strCache>
        </c:strRef>
      </c:tx>
      <c:layout/>
      <c:overlay val="1"/>
    </c:title>
    <c:autoTitleDeleted val="0"/>
    <c:plotArea>
      <c:layout/>
      <c:barChart>
        <c:barDir val="col"/>
        <c:grouping val="stacked"/>
        <c:varyColors val="1"/>
        <c:ser>
          <c:idx val="0"/>
          <c:order val="0"/>
          <c:tx>
            <c:strRef>
              <c:f>Calc_Weekly!$C$105</c:f>
              <c:strCache>
                <c:ptCount val="1"/>
                <c:pt idx="0">
                  <c:v>Ref. leak/ Low charge</c:v>
                </c:pt>
              </c:strCache>
            </c:strRef>
          </c:tx>
          <c:spPr>
            <a:solidFill>
              <a:srgbClr val="70AD47"/>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Calc_Weekly!$C$106:$C$125</c:f>
              <c:numCache>
                <c:formatCode>General</c:formatCode>
                <c:ptCount val="20"/>
                <c:pt idx="0">
                  <c:v>0</c:v>
                </c:pt>
                <c:pt idx="1">
                  <c:v>1</c:v>
                </c:pt>
                <c:pt idx="2">
                  <c:v>0</c:v>
                </c:pt>
                <c:pt idx="3">
                  <c:v>0</c:v>
                </c:pt>
                <c:pt idx="4">
                  <c:v>2</c:v>
                </c:pt>
                <c:pt idx="5">
                  <c:v>2</c:v>
                </c:pt>
                <c:pt idx="6">
                  <c:v>1</c:v>
                </c:pt>
                <c:pt idx="7">
                  <c:v>0</c:v>
                </c:pt>
                <c:pt idx="8">
                  <c:v>0</c:v>
                </c:pt>
                <c:pt idx="9">
                  <c:v>3</c:v>
                </c:pt>
                <c:pt idx="10">
                  <c:v>0</c:v>
                </c:pt>
                <c:pt idx="11">
                  <c:v>0</c:v>
                </c:pt>
                <c:pt idx="12">
                  <c:v>2</c:v>
                </c:pt>
                <c:pt idx="13">
                  <c:v>0</c:v>
                </c:pt>
                <c:pt idx="14">
                  <c:v>0</c:v>
                </c:pt>
                <c:pt idx="15">
                  <c:v>0</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0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Calc_Weekly!$D$105</c:f>
              <c:strCache>
                <c:ptCount val="1"/>
                <c:pt idx="0">
                  <c:v>Door Torque</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Calc_Weekly!$D$106:$D$125</c:f>
              <c:numCache>
                <c:formatCode>General</c:formatCode>
                <c:ptCount val="20"/>
                <c:pt idx="0">
                  <c:v>1</c:v>
                </c:pt>
                <c:pt idx="1">
                  <c:v>0</c:v>
                </c:pt>
                <c:pt idx="2">
                  <c:v>0</c:v>
                </c:pt>
                <c:pt idx="3">
                  <c:v>0</c:v>
                </c:pt>
                <c:pt idx="4">
                  <c:v>1</c:v>
                </c:pt>
                <c:pt idx="5">
                  <c:v>1</c:v>
                </c:pt>
                <c:pt idx="6">
                  <c:v>0</c:v>
                </c:pt>
                <c:pt idx="7">
                  <c:v>0</c:v>
                </c:pt>
                <c:pt idx="8">
                  <c:v>1</c:v>
                </c:pt>
                <c:pt idx="9">
                  <c:v>0</c:v>
                </c:pt>
                <c:pt idx="10">
                  <c:v>1</c:v>
                </c:pt>
                <c:pt idx="11">
                  <c:v>1</c:v>
                </c:pt>
                <c:pt idx="12">
                  <c:v>0</c:v>
                </c:pt>
                <c:pt idx="13">
                  <c:v>2</c:v>
                </c:pt>
                <c:pt idx="14">
                  <c:v>0</c:v>
                </c:pt>
                <c:pt idx="15">
                  <c:v>2</c:v>
                </c:pt>
                <c:pt idx="16">
                  <c:v>0</c:v>
                </c:pt>
                <c:pt idx="17">
                  <c:v>3</c:v>
                </c:pt>
                <c:pt idx="18">
                  <c:v>0</c:v>
                </c:pt>
                <c:pt idx="19">
                  <c:v>0</c:v>
                </c:pt>
              </c:numCache>
            </c:numRef>
          </c:val>
          <c:extLst xmlns:c16r2="http://schemas.microsoft.com/office/drawing/2015/06/chart">
            <c:ext xmlns:c16="http://schemas.microsoft.com/office/drawing/2014/chart" uri="{C3380CC4-5D6E-409C-BE32-E72D297353CC}">
              <c16:uniqueId val="{0000000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Calc_Weekly!$E$105</c:f>
              <c:strCache>
                <c:ptCount val="1"/>
                <c:pt idx="0">
                  <c:v>Door Gasket</c:v>
                </c:pt>
              </c:strCache>
            </c:strRef>
          </c:tx>
          <c:spPr>
            <a:solidFill>
              <a:srgbClr val="4472C4"/>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Calc_Weekly!$E$106:$E$125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2</c:v>
                </c:pt>
                <c:pt idx="14">
                  <c:v>0</c:v>
                </c:pt>
                <c:pt idx="15">
                  <c:v>1</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Calc_Weekly!$F$105</c:f>
              <c:strCache>
                <c:ptCount val="1"/>
                <c:pt idx="0">
                  <c:v>Door frame heater</c:v>
                </c:pt>
              </c:strCache>
            </c:strRef>
          </c:tx>
          <c:spPr>
            <a:solidFill>
              <a:srgbClr val="ED7D31"/>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Calc_Weekly!$F$106:$F$125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1</c:v>
                </c:pt>
                <c:pt idx="13">
                  <c:v>1</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Calc_Weekly!$G$105</c:f>
              <c:strCache>
                <c:ptCount val="1"/>
                <c:pt idx="0">
                  <c:v>Door Torsion rod</c:v>
                </c:pt>
              </c:strCache>
            </c:strRef>
          </c:tx>
          <c:spPr>
            <a:solidFill>
              <a:srgbClr val="5B9BD5"/>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Calc_Weekly!$G$106:$G$125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Calc_Weekly!$H$105</c:f>
              <c:strCache>
                <c:ptCount val="1"/>
                <c:pt idx="0">
                  <c:v>Door not closed (Overnight)</c:v>
                </c:pt>
              </c:strCache>
            </c:strRef>
          </c:tx>
          <c:spPr>
            <a:solidFill>
              <a:srgbClr val="A5A5A5"/>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Calc_Weekly!$H$106:$H$125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1</c:v>
                </c:pt>
                <c:pt idx="13">
                  <c:v>2</c:v>
                </c:pt>
                <c:pt idx="14">
                  <c:v>4</c:v>
                </c:pt>
                <c:pt idx="15">
                  <c:v>2</c:v>
                </c:pt>
                <c:pt idx="16">
                  <c:v>3</c:v>
                </c:pt>
                <c:pt idx="17">
                  <c:v>2</c:v>
                </c:pt>
                <c:pt idx="18">
                  <c:v>0</c:v>
                </c:pt>
                <c:pt idx="19">
                  <c:v>0</c:v>
                </c:pt>
              </c:numCache>
            </c:numRef>
          </c:val>
          <c:extLst xmlns:c16r2="http://schemas.microsoft.com/office/drawing/2015/06/chart">
            <c:ext xmlns:c16="http://schemas.microsoft.com/office/drawing/2014/chart" uri="{C3380CC4-5D6E-409C-BE32-E72D297353CC}">
              <c16:uniqueId val="{0000000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Calc_Weekly!$I$105</c:f>
              <c:strCache>
                <c:ptCount val="1"/>
                <c:pt idx="0">
                  <c:v>Door - general</c:v>
                </c:pt>
              </c:strCache>
            </c:strRef>
          </c:tx>
          <c:spPr>
            <a:solidFill>
              <a:srgbClr val="264478"/>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Calc_Weekly!$I$106:$I$125</c:f>
              <c:numCache>
                <c:formatCode>General</c:formatCode>
                <c:ptCount val="20"/>
                <c:pt idx="0">
                  <c:v>0</c:v>
                </c:pt>
                <c:pt idx="1">
                  <c:v>0</c:v>
                </c:pt>
                <c:pt idx="2">
                  <c:v>0</c:v>
                </c:pt>
                <c:pt idx="3">
                  <c:v>0</c:v>
                </c:pt>
                <c:pt idx="4">
                  <c:v>0</c:v>
                </c:pt>
                <c:pt idx="5">
                  <c:v>3</c:v>
                </c:pt>
                <c:pt idx="6">
                  <c:v>0</c:v>
                </c:pt>
                <c:pt idx="7">
                  <c:v>0</c:v>
                </c:pt>
                <c:pt idx="8">
                  <c:v>1</c:v>
                </c:pt>
                <c:pt idx="9">
                  <c:v>1</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0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Calc_Weekly!$J$105</c:f>
              <c:strCache>
                <c:ptCount val="1"/>
                <c:pt idx="0">
                  <c:v>Drain tube blocked</c:v>
                </c:pt>
              </c:strCache>
            </c:strRef>
          </c:tx>
          <c:spPr>
            <a:solidFill>
              <a:srgbClr val="9E480E"/>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Calc_Weekly!$J$106:$J$125</c:f>
              <c:numCache>
                <c:formatCode>General</c:formatCode>
                <c:ptCount val="20"/>
                <c:pt idx="0">
                  <c:v>2</c:v>
                </c:pt>
                <c:pt idx="1">
                  <c:v>0</c:v>
                </c:pt>
                <c:pt idx="2">
                  <c:v>0</c:v>
                </c:pt>
                <c:pt idx="3">
                  <c:v>0</c:v>
                </c:pt>
                <c:pt idx="4">
                  <c:v>0</c:v>
                </c:pt>
                <c:pt idx="5">
                  <c:v>1</c:v>
                </c:pt>
                <c:pt idx="6">
                  <c:v>0</c:v>
                </c:pt>
                <c:pt idx="7">
                  <c:v>0</c:v>
                </c:pt>
                <c:pt idx="8">
                  <c:v>0</c:v>
                </c:pt>
                <c:pt idx="9">
                  <c:v>2</c:v>
                </c:pt>
                <c:pt idx="10">
                  <c:v>1</c:v>
                </c:pt>
                <c:pt idx="11">
                  <c:v>1</c:v>
                </c:pt>
                <c:pt idx="12">
                  <c:v>0</c:v>
                </c:pt>
                <c:pt idx="13">
                  <c:v>1</c:v>
                </c:pt>
                <c:pt idx="14">
                  <c:v>0</c:v>
                </c:pt>
                <c:pt idx="15">
                  <c:v>0</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0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Calc_Weekly!$K$105</c:f>
              <c:strCache>
                <c:ptCount val="1"/>
                <c:pt idx="0">
                  <c:v>Wrong / Loose wiring</c:v>
                </c:pt>
              </c:strCache>
            </c:strRef>
          </c:tx>
          <c:spPr>
            <a:solidFill>
              <a:srgbClr val="636363"/>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Calc_Weekly!$K$106:$K$125</c:f>
              <c:numCache>
                <c:formatCode>General</c:formatCode>
                <c:ptCount val="20"/>
                <c:pt idx="0">
                  <c:v>0</c:v>
                </c:pt>
                <c:pt idx="1">
                  <c:v>0</c:v>
                </c:pt>
                <c:pt idx="2">
                  <c:v>0</c:v>
                </c:pt>
                <c:pt idx="3">
                  <c:v>3</c:v>
                </c:pt>
                <c:pt idx="4">
                  <c:v>1</c:v>
                </c:pt>
                <c:pt idx="5">
                  <c:v>1</c:v>
                </c:pt>
                <c:pt idx="6">
                  <c:v>0</c:v>
                </c:pt>
                <c:pt idx="7">
                  <c:v>0</c:v>
                </c:pt>
                <c:pt idx="8">
                  <c:v>0</c:v>
                </c:pt>
                <c:pt idx="9">
                  <c:v>0</c:v>
                </c:pt>
                <c:pt idx="10">
                  <c:v>0</c:v>
                </c:pt>
                <c:pt idx="11">
                  <c:v>0</c:v>
                </c:pt>
                <c:pt idx="12">
                  <c:v>0</c:v>
                </c:pt>
                <c:pt idx="13">
                  <c:v>1</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Calc_Weekly!$L$105</c:f>
              <c:strCache>
                <c:ptCount val="1"/>
                <c:pt idx="0">
                  <c:v>Communication problem</c:v>
                </c:pt>
              </c:strCache>
            </c:strRef>
          </c:tx>
          <c:spPr>
            <a:solidFill>
              <a:srgbClr val="9973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Calc_Weekly!$L$106:$L$125</c:f>
              <c:numCache>
                <c:formatCode>General</c:formatCode>
                <c:ptCount val="20"/>
                <c:pt idx="0">
                  <c:v>0</c:v>
                </c:pt>
                <c:pt idx="1">
                  <c:v>1</c:v>
                </c:pt>
                <c:pt idx="2">
                  <c:v>1</c:v>
                </c:pt>
                <c:pt idx="3">
                  <c:v>0</c:v>
                </c:pt>
                <c:pt idx="4">
                  <c:v>1</c:v>
                </c:pt>
                <c:pt idx="5">
                  <c:v>0</c:v>
                </c:pt>
                <c:pt idx="6">
                  <c:v>1</c:v>
                </c:pt>
                <c:pt idx="7">
                  <c:v>1</c:v>
                </c:pt>
                <c:pt idx="8">
                  <c:v>0</c:v>
                </c:pt>
                <c:pt idx="9">
                  <c:v>0</c:v>
                </c:pt>
                <c:pt idx="10">
                  <c:v>0</c:v>
                </c:pt>
                <c:pt idx="11">
                  <c:v>0</c:v>
                </c:pt>
                <c:pt idx="12">
                  <c:v>0</c:v>
                </c:pt>
                <c:pt idx="13">
                  <c:v>1</c:v>
                </c:pt>
                <c:pt idx="14">
                  <c:v>2</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9-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Calc_Weekly!$M$105</c:f>
              <c:strCache>
                <c:ptCount val="1"/>
                <c:pt idx="0">
                  <c:v>High Store RH</c:v>
                </c:pt>
              </c:strCache>
            </c:strRef>
          </c:tx>
          <c:spPr>
            <a:solidFill>
              <a:srgbClr val="255E91"/>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Calc_Weekly!$M$106:$M$125</c:f>
              <c:numCache>
                <c:formatCode>General</c:formatCode>
                <c:ptCount val="20"/>
                <c:pt idx="0">
                  <c:v>1</c:v>
                </c:pt>
                <c:pt idx="1">
                  <c:v>0</c:v>
                </c:pt>
                <c:pt idx="2">
                  <c:v>0</c:v>
                </c:pt>
                <c:pt idx="3">
                  <c:v>1</c:v>
                </c:pt>
                <c:pt idx="4">
                  <c:v>0</c:v>
                </c:pt>
                <c:pt idx="5">
                  <c:v>1</c:v>
                </c:pt>
                <c:pt idx="6">
                  <c:v>1</c:v>
                </c:pt>
                <c:pt idx="7">
                  <c:v>0</c:v>
                </c:pt>
                <c:pt idx="8">
                  <c:v>0</c:v>
                </c:pt>
                <c:pt idx="9">
                  <c:v>0</c:v>
                </c:pt>
                <c:pt idx="10">
                  <c:v>0</c:v>
                </c:pt>
                <c:pt idx="11">
                  <c:v>0</c:v>
                </c:pt>
                <c:pt idx="12">
                  <c:v>0</c:v>
                </c:pt>
                <c:pt idx="13">
                  <c:v>1</c:v>
                </c:pt>
                <c:pt idx="14">
                  <c:v>0</c:v>
                </c:pt>
                <c:pt idx="15">
                  <c:v>1</c:v>
                </c:pt>
                <c:pt idx="16">
                  <c:v>1</c:v>
                </c:pt>
                <c:pt idx="17">
                  <c:v>5</c:v>
                </c:pt>
                <c:pt idx="18">
                  <c:v>1</c:v>
                </c:pt>
                <c:pt idx="19">
                  <c:v>0</c:v>
                </c:pt>
              </c:numCache>
            </c:numRef>
          </c:val>
          <c:extLst xmlns:c16r2="http://schemas.microsoft.com/office/drawing/2015/06/chart">
            <c:ext xmlns:c16="http://schemas.microsoft.com/office/drawing/2014/chart" uri="{C3380CC4-5D6E-409C-BE32-E72D297353CC}">
              <c16:uniqueId val="{0000000A-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Calc_Weekly!$N$105</c:f>
              <c:strCache>
                <c:ptCount val="1"/>
                <c:pt idx="0">
                  <c:v>Enclosure Seal</c:v>
                </c:pt>
              </c:strCache>
            </c:strRef>
          </c:tx>
          <c:spPr>
            <a:solidFill>
              <a:srgbClr val="43682B"/>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Calc_Weekly!$N$106:$N$125</c:f>
              <c:numCache>
                <c:formatCode>General</c:formatCode>
                <c:ptCount val="20"/>
                <c:pt idx="0">
                  <c:v>0</c:v>
                </c:pt>
                <c:pt idx="1">
                  <c:v>1</c:v>
                </c:pt>
                <c:pt idx="2">
                  <c:v>0</c:v>
                </c:pt>
                <c:pt idx="3">
                  <c:v>0</c:v>
                </c:pt>
                <c:pt idx="4">
                  <c:v>0</c:v>
                </c:pt>
                <c:pt idx="5">
                  <c:v>0</c:v>
                </c:pt>
                <c:pt idx="6">
                  <c:v>2</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B-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Calc_Weekly!$O$105</c:f>
              <c:strCache>
                <c:ptCount val="1"/>
                <c:pt idx="0">
                  <c:v>Component Failure</c:v>
                </c:pt>
              </c:strCache>
            </c:strRef>
          </c:tx>
          <c:spPr>
            <a:solidFill>
              <a:srgbClr val="698ED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Calc_Weekly!$O$106:$O$125</c:f>
              <c:numCache>
                <c:formatCode>General</c:formatCode>
                <c:ptCount val="20"/>
                <c:pt idx="0">
                  <c:v>0</c:v>
                </c:pt>
                <c:pt idx="1">
                  <c:v>0</c:v>
                </c:pt>
                <c:pt idx="2">
                  <c:v>1</c:v>
                </c:pt>
                <c:pt idx="3">
                  <c:v>0</c:v>
                </c:pt>
                <c:pt idx="4">
                  <c:v>2</c:v>
                </c:pt>
                <c:pt idx="5">
                  <c:v>0</c:v>
                </c:pt>
                <c:pt idx="6">
                  <c:v>1</c:v>
                </c:pt>
                <c:pt idx="7">
                  <c:v>0</c:v>
                </c:pt>
                <c:pt idx="8">
                  <c:v>0</c:v>
                </c:pt>
                <c:pt idx="9">
                  <c:v>0</c:v>
                </c:pt>
                <c:pt idx="10">
                  <c:v>0</c:v>
                </c:pt>
                <c:pt idx="11">
                  <c:v>0</c:v>
                </c:pt>
                <c:pt idx="12">
                  <c:v>0</c:v>
                </c:pt>
                <c:pt idx="13">
                  <c:v>0</c:v>
                </c:pt>
                <c:pt idx="14">
                  <c:v>2</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C-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Calc_Weekly!$P$105</c:f>
              <c:strCache>
                <c:ptCount val="1"/>
                <c:pt idx="0">
                  <c:v>Defrost Sync</c:v>
                </c:pt>
              </c:strCache>
            </c:strRef>
          </c:tx>
          <c:spPr>
            <a:solidFill>
              <a:srgbClr val="F1975A"/>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Calc_Weekly!$P$106:$P$125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D-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Calc_Weekly!$Q$105</c:f>
              <c:strCache>
                <c:ptCount val="1"/>
                <c:pt idx="0">
                  <c:v>False Alarm</c:v>
                </c:pt>
              </c:strCache>
            </c:strRef>
          </c:tx>
          <c:spPr>
            <a:solidFill>
              <a:srgbClr val="B7B7B7"/>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Calc_Weekly!$Q$106:$Q$125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3</c:v>
                </c:pt>
                <c:pt idx="13">
                  <c:v>1</c:v>
                </c:pt>
                <c:pt idx="14">
                  <c:v>0</c:v>
                </c:pt>
                <c:pt idx="15">
                  <c:v>4</c:v>
                </c:pt>
                <c:pt idx="16">
                  <c:v>1</c:v>
                </c:pt>
                <c:pt idx="17">
                  <c:v>1</c:v>
                </c:pt>
                <c:pt idx="18">
                  <c:v>1</c:v>
                </c:pt>
                <c:pt idx="19">
                  <c:v>0</c:v>
                </c:pt>
              </c:numCache>
            </c:numRef>
          </c:val>
          <c:extLst xmlns:c16r2="http://schemas.microsoft.com/office/drawing/2015/06/chart">
            <c:ext xmlns:c16="http://schemas.microsoft.com/office/drawing/2014/chart" uri="{C3380CC4-5D6E-409C-BE32-E72D297353CC}">
              <c16:uniqueId val="{0000000E-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Calc_Weekly!$R$105</c:f>
              <c:strCache>
                <c:ptCount val="1"/>
                <c:pt idx="0">
                  <c:v>Setpoint change</c:v>
                </c:pt>
              </c:strCache>
            </c:strRef>
          </c:tx>
          <c:spPr>
            <a:solidFill>
              <a:srgbClr val="1F4E79"/>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Calc_Weekly!$R$106:$R$125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F-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Calc_Weekly!$S$105</c:f>
              <c:strCache>
                <c:ptCount val="1"/>
                <c:pt idx="0">
                  <c:v>Overstocking</c:v>
                </c:pt>
              </c:strCache>
            </c:strRef>
          </c:tx>
          <c:spPr>
            <a:solidFill>
              <a:srgbClr val="C00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Calc_Weekly!$S$106:$S$125</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1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Calc_Weekly!$T$105</c:f>
              <c:strCache>
                <c:ptCount val="1"/>
                <c:pt idx="0">
                  <c:v>Case End Seal</c:v>
                </c:pt>
              </c:strCache>
            </c:strRef>
          </c:tx>
          <c:spPr>
            <a:solidFill>
              <a:srgbClr val="7030A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Calc_Weekly!$T$106:$T$125</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Calc_Weekly!$U$105</c:f>
              <c:strCache>
                <c:ptCount val="1"/>
                <c:pt idx="0">
                  <c:v>Return Air blocked</c:v>
                </c:pt>
              </c:strCache>
            </c:strRef>
          </c:tx>
          <c:spPr>
            <a:solidFill>
              <a:srgbClr val="2E75B6"/>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Calc_Weekly!$U$106:$U$125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Calc_Weekly!$V$105</c:f>
              <c:strCache>
                <c:ptCount val="1"/>
                <c:pt idx="0">
                  <c:v>Unidentified air leak</c:v>
                </c:pt>
              </c:strCache>
            </c:strRef>
          </c:tx>
          <c:spPr>
            <a:solidFill>
              <a:srgbClr val="BF9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Calc_Weekly!$V$106:$V$125</c:f>
              <c:numCache>
                <c:formatCode>General</c:formatCode>
                <c:ptCount val="20"/>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Calc_Weekly!$W$105</c:f>
              <c:strCache>
                <c:ptCount val="1"/>
                <c:pt idx="0">
                  <c:v>Freedom</c:v>
                </c:pt>
              </c:strCache>
            </c:strRef>
          </c:tx>
          <c:spPr>
            <a:solidFill>
              <a:srgbClr val="548235"/>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Calc_Weekly!$W$106:$W$125</c:f>
              <c:numCache>
                <c:formatCode>General</c:formatCode>
                <c:ptCount val="20"/>
                <c:pt idx="0">
                  <c:v>0</c:v>
                </c:pt>
                <c:pt idx="1">
                  <c:v>0</c:v>
                </c:pt>
                <c:pt idx="2">
                  <c:v>0</c:v>
                </c:pt>
                <c:pt idx="3">
                  <c:v>0</c:v>
                </c:pt>
                <c:pt idx="4">
                  <c:v>0</c:v>
                </c:pt>
                <c:pt idx="5">
                  <c:v>1</c:v>
                </c:pt>
                <c:pt idx="6">
                  <c:v>0</c:v>
                </c:pt>
                <c:pt idx="7">
                  <c:v>0</c:v>
                </c:pt>
                <c:pt idx="8">
                  <c:v>0</c:v>
                </c:pt>
                <c:pt idx="9">
                  <c:v>1</c:v>
                </c:pt>
                <c:pt idx="10">
                  <c:v>0</c:v>
                </c:pt>
                <c:pt idx="11">
                  <c:v>2</c:v>
                </c:pt>
                <c:pt idx="12">
                  <c:v>1</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Calc_Weekly!$X$105</c:f>
              <c:strCache>
                <c:ptCount val="1"/>
                <c:pt idx="0">
                  <c:v>Heavy case load</c:v>
                </c:pt>
              </c:strCache>
            </c:strRef>
          </c:tx>
          <c:spPr>
            <a:solidFill>
              <a:srgbClr val="833C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Calc_Weekly!$X$106:$X$125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Calc_Weekly!$Y$105</c:f>
              <c:strCache>
                <c:ptCount val="1"/>
                <c:pt idx="0">
                  <c:v>DG Installation issue</c:v>
                </c:pt>
              </c:strCache>
            </c:strRef>
          </c:tx>
          <c:spPr>
            <a:solidFill>
              <a:srgbClr val="7F7F7F"/>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Calc_Weekly!$Y$106:$Y$125</c:f>
              <c:numCache>
                <c:formatCode>General</c:formatCode>
                <c:ptCount val="20"/>
                <c:pt idx="0">
                  <c:v>0</c:v>
                </c:pt>
                <c:pt idx="1">
                  <c:v>0</c:v>
                </c:pt>
                <c:pt idx="2">
                  <c:v>0</c:v>
                </c:pt>
                <c:pt idx="3">
                  <c:v>0</c:v>
                </c:pt>
                <c:pt idx="4">
                  <c:v>0</c:v>
                </c:pt>
                <c:pt idx="5">
                  <c:v>0</c:v>
                </c:pt>
                <c:pt idx="6">
                  <c:v>1</c:v>
                </c:pt>
                <c:pt idx="7">
                  <c:v>0</c:v>
                </c:pt>
                <c:pt idx="8">
                  <c:v>0</c:v>
                </c:pt>
                <c:pt idx="9">
                  <c:v>0</c:v>
                </c:pt>
                <c:pt idx="10">
                  <c:v>1</c:v>
                </c:pt>
                <c:pt idx="11">
                  <c:v>1</c:v>
                </c:pt>
                <c:pt idx="12">
                  <c:v>0</c:v>
                </c:pt>
                <c:pt idx="13">
                  <c:v>3</c:v>
                </c:pt>
                <c:pt idx="14">
                  <c:v>0</c:v>
                </c:pt>
                <c:pt idx="15">
                  <c:v>1</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Calc_Weekly!$Z$105</c:f>
              <c:strCache>
                <c:ptCount val="1"/>
                <c:pt idx="0">
                  <c:v>Unknown</c:v>
                </c:pt>
              </c:strCache>
            </c:strRef>
          </c:tx>
          <c:spPr>
            <a:solidFill>
              <a:srgbClr val="3B3838"/>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Calc_Weekly!$Z$106:$Z$125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1</c:v>
                </c:pt>
                <c:pt idx="12">
                  <c:v>0</c:v>
                </c:pt>
                <c:pt idx="13">
                  <c:v>0</c:v>
                </c:pt>
                <c:pt idx="14">
                  <c:v>0</c:v>
                </c:pt>
                <c:pt idx="15">
                  <c:v>1</c:v>
                </c:pt>
                <c:pt idx="16">
                  <c:v>3</c:v>
                </c:pt>
                <c:pt idx="17">
                  <c:v>1</c:v>
                </c:pt>
                <c:pt idx="18">
                  <c:v>0</c:v>
                </c:pt>
                <c:pt idx="19">
                  <c:v>0</c:v>
                </c:pt>
              </c:numCache>
            </c:numRef>
          </c:val>
          <c:extLst xmlns:c16r2="http://schemas.microsoft.com/office/drawing/2015/06/chart">
            <c:ext xmlns:c16="http://schemas.microsoft.com/office/drawing/2014/chart" uri="{C3380CC4-5D6E-409C-BE32-E72D297353CC}">
              <c16:uniqueId val="{0000001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Calc_Weekly!$AA$105</c:f>
              <c:strCache>
                <c:ptCount val="1"/>
                <c:pt idx="0">
                  <c:v>Program change - Hussmann</c:v>
                </c:pt>
              </c:strCache>
            </c:strRef>
          </c:tx>
          <c:spPr>
            <a:solidFill>
              <a:srgbClr val="8FAADC"/>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Calc_Weekly!$AA$106:$AA$125</c:f>
              <c:numCache>
                <c:formatCode>General</c:formatCode>
                <c:ptCount val="20"/>
                <c:pt idx="0">
                  <c:v>0</c:v>
                </c:pt>
                <c:pt idx="1">
                  <c:v>0</c:v>
                </c:pt>
                <c:pt idx="2">
                  <c:v>0</c:v>
                </c:pt>
                <c:pt idx="3">
                  <c:v>0</c:v>
                </c:pt>
                <c:pt idx="4">
                  <c:v>0</c:v>
                </c:pt>
                <c:pt idx="5">
                  <c:v>0</c:v>
                </c:pt>
                <c:pt idx="6">
                  <c:v>0</c:v>
                </c:pt>
                <c:pt idx="7">
                  <c:v>0</c:v>
                </c:pt>
                <c:pt idx="8">
                  <c:v>0</c:v>
                </c:pt>
                <c:pt idx="9">
                  <c:v>0</c:v>
                </c:pt>
                <c:pt idx="10">
                  <c:v>1</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30"/>
        <c:overlap val="100"/>
        <c:axId val="206195328"/>
        <c:axId val="206209792"/>
      </c:barChart>
      <c:lineChart>
        <c:grouping val="standard"/>
        <c:varyColors val="1"/>
        <c:ser>
          <c:idx val="25"/>
          <c:order val="25"/>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Calc_Charts!$D$187:$D$206</c:f>
              <c:numCache>
                <c:formatCode>General</c:formatCode>
                <c:ptCount val="20"/>
                <c:pt idx="0">
                  <c:v>4</c:v>
                </c:pt>
                <c:pt idx="1">
                  <c:v>3</c:v>
                </c:pt>
                <c:pt idx="2">
                  <c:v>2</c:v>
                </c:pt>
                <c:pt idx="3">
                  <c:v>4</c:v>
                </c:pt>
                <c:pt idx="4">
                  <c:v>9</c:v>
                </c:pt>
                <c:pt idx="5">
                  <c:v>16</c:v>
                </c:pt>
                <c:pt idx="6">
                  <c:v>8</c:v>
                </c:pt>
                <c:pt idx="7">
                  <c:v>1</c:v>
                </c:pt>
                <c:pt idx="8">
                  <c:v>5</c:v>
                </c:pt>
                <c:pt idx="9">
                  <c:v>11</c:v>
                </c:pt>
                <c:pt idx="10">
                  <c:v>4</c:v>
                </c:pt>
                <c:pt idx="11">
                  <c:v>6</c:v>
                </c:pt>
                <c:pt idx="12">
                  <c:v>8</c:v>
                </c:pt>
                <c:pt idx="13">
                  <c:v>16</c:v>
                </c:pt>
                <c:pt idx="14">
                  <c:v>8</c:v>
                </c:pt>
                <c:pt idx="15">
                  <c:v>13</c:v>
                </c:pt>
                <c:pt idx="16">
                  <c:v>12</c:v>
                </c:pt>
                <c:pt idx="17">
                  <c:v>18</c:v>
                </c:pt>
                <c:pt idx="18">
                  <c:v>5</c:v>
                </c:pt>
                <c:pt idx="19">
                  <c:v>0</c:v>
                </c:pt>
              </c:numCache>
            </c:numRef>
          </c:val>
          <c:smooth val="1"/>
          <c:extLst xmlns:c16r2="http://schemas.microsoft.com/office/drawing/2015/06/chart">
            <c:ext xmlns:c16="http://schemas.microsoft.com/office/drawing/2014/chart" uri="{C3380CC4-5D6E-409C-BE32-E72D297353CC}">
              <c16:uniqueId val="{00000019-B371-4725-A35A-B9DF6DE3D2F1}"/>
            </c:ext>
          </c:extLst>
        </c:ser>
        <c:dLbls>
          <c:showLegendKey val="0"/>
          <c:showVal val="0"/>
          <c:showCatName val="0"/>
          <c:showSerName val="0"/>
          <c:showPercent val="0"/>
          <c:showBubbleSize val="0"/>
        </c:dLbls>
        <c:marker val="1"/>
        <c:smooth val="0"/>
        <c:axId val="206195328"/>
        <c:axId val="206209792"/>
      </c:lineChart>
      <c:catAx>
        <c:axId val="206195328"/>
        <c:scaling>
          <c:orientation val="minMax"/>
        </c:scaling>
        <c:delete val="0"/>
        <c:axPos val="b"/>
        <c:title>
          <c:tx>
            <c:rich>
              <a:bodyPr/>
              <a:lstStyle/>
              <a:p>
                <a:pPr>
                  <a:defRPr sz="1000" b="1"/>
                </a:pPr>
                <a:r>
                  <a:rPr lang="en-US"/>
                  <a:t>Call week</a:t>
                </a:r>
              </a:p>
            </c:rich>
          </c:tx>
          <c:layout/>
          <c:overlay val="0"/>
        </c:title>
        <c:numFmt formatCode="General" sourceLinked="0"/>
        <c:majorTickMark val="none"/>
        <c:minorTickMark val="none"/>
        <c:tickLblPos val="low"/>
        <c:crossAx val="206209792"/>
        <c:crosses val="autoZero"/>
        <c:auto val="1"/>
        <c:lblAlgn val="ctr"/>
        <c:lblOffset val="100"/>
        <c:noMultiLvlLbl val="1"/>
      </c:catAx>
      <c:valAx>
        <c:axId val="206209792"/>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06195328"/>
        <c:crosses val="autoZero"/>
        <c:crossBetween val="between"/>
      </c:valAx>
    </c:plotArea>
    <c:legend>
      <c:legendPos val="r"/>
      <c:layout/>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Calc_Charts!$B$260</c:f>
          <c:strCache>
            <c:ptCount val="1"/>
            <c:pt idx="0">
              <c:v>Issues by root cause - after vs before clean point  (Jun 1 to Jul 15)</c:v>
            </c:pt>
          </c:strCache>
        </c:strRef>
      </c:tx>
      <c:layout/>
      <c:overlay val="1"/>
    </c:title>
    <c:autoTitleDeleted val="0"/>
    <c:plotArea>
      <c:layout/>
      <c:barChart>
        <c:barDir val="col"/>
        <c:grouping val="stacked"/>
        <c:varyColors val="1"/>
        <c:ser>
          <c:idx val="0"/>
          <c:order val="0"/>
          <c:tx>
            <c:strRef>
              <c:f>Calc_Charts!$B$155</c:f>
              <c:strCache>
                <c:ptCount val="1"/>
                <c:pt idx="0">
                  <c:v>Doors</c:v>
                </c:pt>
              </c:strCache>
            </c:strRef>
          </c:tx>
          <c:spPr>
            <a:solidFill>
              <a:srgbClr val="70AD47"/>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[0]!ch5_seg01</c:f>
              <c:numCache>
                <c:formatCode>General</c:formatCode>
                <c:ptCount val="15"/>
                <c:pt idx="0">
                  <c:v>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Calc_Charts!$C$155</c:f>
              <c:strCache>
                <c:ptCount val="1"/>
                <c:pt idx="0">
                  <c:v>False Alarm</c:v>
                </c:pt>
              </c:strCache>
            </c:strRef>
          </c:tx>
          <c:spPr>
            <a:solidFill>
              <a:srgbClr val="FFC000"/>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[0]!ch5_seg02</c:f>
              <c:numCache>
                <c:formatCode>General</c:formatCode>
                <c:ptCount val="15"/>
                <c:pt idx="0">
                  <c:v>0</c:v>
                </c:pt>
                <c:pt idx="1">
                  <c:v>5</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Calc_Charts!$D$155</c:f>
              <c:strCache>
                <c:ptCount val="1"/>
                <c:pt idx="0">
                  <c:v>High Store RH</c:v>
                </c:pt>
              </c:strCache>
            </c:strRef>
          </c:tx>
          <c:spPr>
            <a:solidFill>
              <a:srgbClr val="4472C4"/>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[0]!ch5_seg03</c:f>
              <c:numCache>
                <c:formatCode>General</c:formatCode>
                <c:ptCount val="15"/>
                <c:pt idx="0">
                  <c:v>0</c:v>
                </c:pt>
                <c:pt idx="1">
                  <c:v>0</c:v>
                </c:pt>
                <c:pt idx="2">
                  <c:v>4</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Calc_Charts!$E$155</c:f>
              <c:strCache>
                <c:ptCount val="1"/>
                <c:pt idx="0">
                  <c:v>DG Installation issue</c:v>
                </c:pt>
              </c:strCache>
            </c:strRef>
          </c:tx>
          <c:spPr>
            <a:solidFill>
              <a:srgbClr val="ED7D31"/>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[0]!ch5_seg04</c:f>
              <c:numCache>
                <c:formatCode>General</c:formatCode>
                <c:ptCount val="15"/>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Calc_Charts!$F$155</c:f>
              <c:strCache>
                <c:ptCount val="1"/>
                <c:pt idx="0">
                  <c:v>Unknown</c:v>
                </c:pt>
              </c:strCache>
            </c:strRef>
          </c:tx>
          <c:spPr>
            <a:solidFill>
              <a:srgbClr val="5B9BD5"/>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Calc_Charts!$G$155</c:f>
              <c:strCache>
                <c:ptCount val="1"/>
                <c:pt idx="0">
                  <c:v>Ref. leak/ Low charge</c:v>
                </c:pt>
              </c:strCache>
            </c:strRef>
          </c:tx>
          <c:spPr>
            <a:solidFill>
              <a:srgbClr val="A5A5A5"/>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[0]!ch5_seg06</c:f>
              <c:numCache>
                <c:formatCode>General</c:formatCode>
                <c:ptCount val="15"/>
                <c:pt idx="0">
                  <c:v>0</c:v>
                </c:pt>
                <c:pt idx="1">
                  <c:v>0</c:v>
                </c:pt>
                <c:pt idx="2">
                  <c:v>0</c:v>
                </c:pt>
                <c:pt idx="3">
                  <c:v>0</c:v>
                </c:pt>
                <c:pt idx="4">
                  <c:v>0</c:v>
                </c:pt>
                <c:pt idx="5">
                  <c:v>2</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Calc_Charts!$H$155</c:f>
              <c:strCache>
                <c:ptCount val="1"/>
                <c:pt idx="0">
                  <c:v>Communication problem</c:v>
                </c:pt>
              </c:strCache>
            </c:strRef>
          </c:tx>
          <c:spPr>
            <a:solidFill>
              <a:srgbClr val="264478"/>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[0]!ch5_seg07</c:f>
              <c:numCache>
                <c:formatCode>General</c:formatCode>
                <c:ptCount val="15"/>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Calc_Charts!$I$155</c:f>
              <c:strCache>
                <c:ptCount val="1"/>
                <c:pt idx="0">
                  <c:v>Drain tube blocked</c:v>
                </c:pt>
              </c:strCache>
            </c:strRef>
          </c:tx>
          <c:spPr>
            <a:solidFill>
              <a:srgbClr val="9E480E"/>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[0]!ch5_seg08</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Calc_Charts!$J$155</c:f>
              <c:strCache>
                <c:ptCount val="1"/>
                <c:pt idx="0">
                  <c:v>Overstocking</c:v>
                </c:pt>
              </c:strCache>
            </c:strRef>
          </c:tx>
          <c:spPr>
            <a:solidFill>
              <a:srgbClr val="636363"/>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[0]!ch5_seg09</c:f>
              <c:numCache>
                <c:formatCode>General</c:formatCode>
                <c:ptCount val="15"/>
                <c:pt idx="0">
                  <c:v>0</c:v>
                </c:pt>
                <c:pt idx="1">
                  <c:v>0</c:v>
                </c:pt>
                <c:pt idx="2">
                  <c:v>0</c:v>
                </c:pt>
                <c:pt idx="3">
                  <c:v>0</c:v>
                </c:pt>
                <c:pt idx="4">
                  <c:v>0</c:v>
                </c:pt>
                <c:pt idx="5">
                  <c:v>0</c:v>
                </c:pt>
                <c:pt idx="6">
                  <c:v>0</c:v>
                </c:pt>
                <c:pt idx="7">
                  <c:v>0</c:v>
                </c:pt>
                <c:pt idx="8">
                  <c:v>3</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Calc_Charts!$K$155</c:f>
              <c:strCache>
                <c:ptCount val="1"/>
                <c:pt idx="0">
                  <c:v>Wrong / Loose wiring</c:v>
                </c:pt>
              </c:strCache>
            </c:strRef>
          </c:tx>
          <c:spPr>
            <a:solidFill>
              <a:srgbClr val="997300"/>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[0]!ch5_seg10</c:f>
              <c:numCache>
                <c:formatCode>General</c:formatCode>
                <c:ptCount val="15"/>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Calc_Charts!$L$155</c:f>
              <c:strCache>
                <c:ptCount val="1"/>
                <c:pt idx="0">
                  <c:v>Component Failure</c:v>
                </c:pt>
              </c:strCache>
            </c:strRef>
          </c:tx>
          <c:spPr>
            <a:solidFill>
              <a:srgbClr val="255E91"/>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Calc_Charts!$M$155</c:f>
              <c:strCache>
                <c:ptCount val="1"/>
                <c:pt idx="0">
                  <c:v>Setpoint change</c:v>
                </c:pt>
              </c:strCache>
            </c:strRef>
          </c:tx>
          <c:spPr>
            <a:solidFill>
              <a:srgbClr val="43682B"/>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1</c:v>
                </c:pt>
                <c:pt idx="12">
                  <c:v>0</c:v>
                </c:pt>
                <c:pt idx="13">
                  <c:v>0</c:v>
                </c:pt>
                <c:pt idx="14">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Calc_Charts!$N$155</c:f>
              <c:strCache>
                <c:ptCount val="1"/>
                <c:pt idx="0">
                  <c:v>Unidentified air leak</c:v>
                </c:pt>
              </c:strCache>
            </c:strRef>
          </c:tx>
          <c:spPr>
            <a:solidFill>
              <a:srgbClr val="698ED0"/>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Calc_Charts!$O$155</c:f>
              <c:strCache>
                <c:ptCount val="1"/>
                <c:pt idx="0">
                  <c:v>Freedom</c:v>
                </c:pt>
              </c:strCache>
            </c:strRef>
          </c:tx>
          <c:spPr>
            <a:solidFill>
              <a:srgbClr val="F1975A"/>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Calc_Charts!$P$155</c:f>
              <c:strCache>
                <c:ptCount val="1"/>
                <c:pt idx="0">
                  <c:v>Wrong program</c:v>
                </c:pt>
              </c:strCache>
            </c:strRef>
          </c:tx>
          <c:spPr>
            <a:solidFill>
              <a:srgbClr val="B7B7B7"/>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Calc_Charts!$Q$155</c:f>
              <c:strCache>
                <c:ptCount val="1"/>
                <c:pt idx="0">
                  <c:v>Enclosure Seal</c:v>
                </c:pt>
              </c:strCache>
            </c:strRef>
          </c:tx>
          <c:spPr>
            <a:solidFill>
              <a:srgbClr val="1F4E79"/>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[0]!ch5_seg16</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Calc_Charts!$R$155</c:f>
              <c:strCache>
                <c:ptCount val="1"/>
                <c:pt idx="0">
                  <c:v>Defrost Sync</c:v>
                </c:pt>
              </c:strCache>
            </c:strRef>
          </c:tx>
          <c:spPr>
            <a:solidFill>
              <a:srgbClr val="C00000"/>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Calc_Charts!$S$155</c:f>
              <c:strCache>
                <c:ptCount val="1"/>
                <c:pt idx="0">
                  <c:v>Case End Seal</c:v>
                </c:pt>
              </c:strCache>
            </c:strRef>
          </c:tx>
          <c:spPr>
            <a:solidFill>
              <a:srgbClr val="7030A0"/>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[0]!ch5_seg18</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Calc_Charts!$T$155</c:f>
              <c:strCache>
                <c:ptCount val="1"/>
                <c:pt idx="0">
                  <c:v>Return Air blocked</c:v>
                </c:pt>
              </c:strCache>
            </c:strRef>
          </c:tx>
          <c:spPr>
            <a:solidFill>
              <a:srgbClr val="2E75B6"/>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[0]!ch5_seg19</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Calc_Charts!$U$155</c:f>
              <c:strCache>
                <c:ptCount val="1"/>
                <c:pt idx="0">
                  <c:v>Heavy case load</c:v>
                </c:pt>
              </c:strCache>
            </c:strRef>
          </c:tx>
          <c:spPr>
            <a:solidFill>
              <a:srgbClr val="BF9000"/>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Calc_Charts!$V$155</c:f>
              <c:strCache>
                <c:ptCount val="1"/>
                <c:pt idx="0">
                  <c:v>Program change - Hussmann</c:v>
                </c:pt>
              </c:strCache>
            </c:strRef>
          </c:tx>
          <c:spPr>
            <a:solidFill>
              <a:srgbClr val="548235"/>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Calc_Charts!$W$155</c:f>
              <c:strCache>
                <c:ptCount val="1"/>
                <c:pt idx="0">
                  <c:v>Value</c:v>
                </c:pt>
              </c:strCache>
            </c:strRef>
          </c:tx>
          <c:spPr>
            <a:solidFill>
              <a:srgbClr val="833C00"/>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Calc_Charts!$X$155</c:f>
              <c:strCache>
                <c:ptCount val="1"/>
                <c:pt idx="0">
                  <c:v>240</c:v>
                </c:pt>
              </c:strCache>
            </c:strRef>
          </c:tx>
          <c:spPr>
            <a:solidFill>
              <a:srgbClr val="7F7F7F"/>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Calc_Charts!$Y$155</c:f>
              <c:strCache>
                <c:ptCount val="1"/>
                <c:pt idx="0">
                  <c:v>400</c:v>
                </c:pt>
              </c:strCache>
            </c:strRef>
          </c:tx>
          <c:spPr>
            <a:solidFill>
              <a:srgbClr val="3B3838"/>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Calc_Charts!$Z$155</c:f>
              <c:strCache>
                <c:ptCount val="1"/>
                <c:pt idx="0">
                  <c:v>80</c:v>
                </c:pt>
              </c:strCache>
            </c:strRef>
          </c:tx>
          <c:spPr>
            <a:solidFill>
              <a:srgbClr val="8FAADC"/>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ln>
              <a:prstDash val="solid"/>
            </a:ln>
          </c:spPr>
          <c:invertIfNegative val="1"/>
          <c:dPt>
            <c:idx val="0"/>
            <c:invertIfNegative val="1"/>
            <c:bubble3D val="0"/>
            <c:spPr>
              <a:noFill/>
              <a:ln w="19050">
                <a:solidFill>
                  <a:srgbClr val="70AD47"/>
                </a:solidFill>
                <a:prstDash val="solid"/>
              </a:ln>
            </c:spPr>
            <c:extLst xmlns:c16r2="http://schemas.microsoft.com/office/drawing/2015/06/chart">
              <c:ext xmlns:c16="http://schemas.microsoft.com/office/drawing/2014/chart" uri="{C3380CC4-5D6E-409C-BE32-E72D297353CC}">
                <c16:uniqueId val="{0000001A-7CE7-4889-A92F-1B65D8EAFA08}"/>
              </c:ext>
            </c:extLst>
          </c:dPt>
          <c:dPt>
            <c:idx val="1"/>
            <c:invertIfNegative val="1"/>
            <c:bubble3D val="0"/>
            <c:spPr>
              <a:noFill/>
              <a:ln w="19050">
                <a:solidFill>
                  <a:srgbClr val="FFC000"/>
                </a:solidFill>
                <a:prstDash val="solid"/>
              </a:ln>
            </c:spPr>
            <c:extLst xmlns:c16r2="http://schemas.microsoft.com/office/drawing/2015/06/chart">
              <c:ext xmlns:c16="http://schemas.microsoft.com/office/drawing/2014/chart" uri="{C3380CC4-5D6E-409C-BE32-E72D297353CC}">
                <c16:uniqueId val="{0000001C-7CE7-4889-A92F-1B65D8EAFA08}"/>
              </c:ext>
            </c:extLst>
          </c:dPt>
          <c:dPt>
            <c:idx val="2"/>
            <c:invertIfNegative val="1"/>
            <c:bubble3D val="0"/>
            <c:spPr>
              <a:noFill/>
              <a:ln w="19050">
                <a:solidFill>
                  <a:srgbClr val="4472C4"/>
                </a:solidFill>
                <a:prstDash val="solid"/>
              </a:ln>
            </c:spPr>
            <c:extLst xmlns:c16r2="http://schemas.microsoft.com/office/drawing/2015/06/chart">
              <c:ext xmlns:c16="http://schemas.microsoft.com/office/drawing/2014/chart" uri="{C3380CC4-5D6E-409C-BE32-E72D297353CC}">
                <c16:uniqueId val="{0000001E-7CE7-4889-A92F-1B65D8EAFA08}"/>
              </c:ext>
            </c:extLst>
          </c:dPt>
          <c:dPt>
            <c:idx val="3"/>
            <c:invertIfNegative val="1"/>
            <c:bubble3D val="0"/>
            <c:spPr>
              <a:noFill/>
              <a:ln w="19050">
                <a:solidFill>
                  <a:srgbClr val="ED7D31"/>
                </a:solidFill>
                <a:prstDash val="solid"/>
              </a:ln>
            </c:spPr>
            <c:extLst xmlns:c16r2="http://schemas.microsoft.com/office/drawing/2015/06/chart">
              <c:ext xmlns:c16="http://schemas.microsoft.com/office/drawing/2014/chart" uri="{C3380CC4-5D6E-409C-BE32-E72D297353CC}">
                <c16:uniqueId val="{00000020-7CE7-4889-A92F-1B65D8EAFA08}"/>
              </c:ext>
            </c:extLst>
          </c:dPt>
          <c:dPt>
            <c:idx val="4"/>
            <c:invertIfNegative val="1"/>
            <c:bubble3D val="0"/>
            <c:spPr>
              <a:noFill/>
              <a:ln w="19050">
                <a:solidFill>
                  <a:srgbClr val="5B9BD5"/>
                </a:solidFill>
                <a:prstDash val="solid"/>
              </a:ln>
            </c:spPr>
            <c:extLst xmlns:c16r2="http://schemas.microsoft.com/office/drawing/2015/06/chart">
              <c:ext xmlns:c16="http://schemas.microsoft.com/office/drawing/2014/chart" uri="{C3380CC4-5D6E-409C-BE32-E72D297353CC}">
                <c16:uniqueId val="{00000022-7CE7-4889-A92F-1B65D8EAFA08}"/>
              </c:ext>
            </c:extLst>
          </c:dPt>
          <c:dPt>
            <c:idx val="5"/>
            <c:invertIfNegative val="1"/>
            <c:bubble3D val="0"/>
            <c:spPr>
              <a:noFill/>
              <a:ln w="19050">
                <a:solidFill>
                  <a:srgbClr val="A5A5A5"/>
                </a:solidFill>
                <a:prstDash val="solid"/>
              </a:ln>
            </c:spPr>
            <c:extLst xmlns:c16r2="http://schemas.microsoft.com/office/drawing/2015/06/chart">
              <c:ext xmlns:c16="http://schemas.microsoft.com/office/drawing/2014/chart" uri="{C3380CC4-5D6E-409C-BE32-E72D297353CC}">
                <c16:uniqueId val="{00000024-7CE7-4889-A92F-1B65D8EAFA08}"/>
              </c:ext>
            </c:extLst>
          </c:dPt>
          <c:dPt>
            <c:idx val="6"/>
            <c:invertIfNegative val="1"/>
            <c:bubble3D val="0"/>
            <c:spPr>
              <a:noFill/>
              <a:ln w="19050">
                <a:solidFill>
                  <a:srgbClr val="264478"/>
                </a:solidFill>
                <a:prstDash val="solid"/>
              </a:ln>
            </c:spPr>
            <c:extLst xmlns:c16r2="http://schemas.microsoft.com/office/drawing/2015/06/chart">
              <c:ext xmlns:c16="http://schemas.microsoft.com/office/drawing/2014/chart" uri="{C3380CC4-5D6E-409C-BE32-E72D297353CC}">
                <c16:uniqueId val="{00000026-7CE7-4889-A92F-1B65D8EAFA08}"/>
              </c:ext>
            </c:extLst>
          </c:dPt>
          <c:dPt>
            <c:idx val="7"/>
            <c:invertIfNegative val="1"/>
            <c:bubble3D val="0"/>
            <c:spPr>
              <a:noFill/>
              <a:ln w="19050">
                <a:solidFill>
                  <a:srgbClr val="9E480E"/>
                </a:solidFill>
                <a:prstDash val="solid"/>
              </a:ln>
            </c:spPr>
            <c:extLst xmlns:c16r2="http://schemas.microsoft.com/office/drawing/2015/06/chart">
              <c:ext xmlns:c16="http://schemas.microsoft.com/office/drawing/2014/chart" uri="{C3380CC4-5D6E-409C-BE32-E72D297353CC}">
                <c16:uniqueId val="{00000028-7CE7-4889-A92F-1B65D8EAFA08}"/>
              </c:ext>
            </c:extLst>
          </c:dPt>
          <c:dPt>
            <c:idx val="8"/>
            <c:invertIfNegative val="1"/>
            <c:bubble3D val="0"/>
            <c:spPr>
              <a:noFill/>
              <a:ln w="19050">
                <a:solidFill>
                  <a:srgbClr val="636363"/>
                </a:solidFill>
                <a:prstDash val="solid"/>
              </a:ln>
            </c:spPr>
            <c:extLst xmlns:c16r2="http://schemas.microsoft.com/office/drawing/2015/06/chart">
              <c:ext xmlns:c16="http://schemas.microsoft.com/office/drawing/2014/chart" uri="{C3380CC4-5D6E-409C-BE32-E72D297353CC}">
                <c16:uniqueId val="{0000002A-7CE7-4889-A92F-1B65D8EAFA08}"/>
              </c:ext>
            </c:extLst>
          </c:dPt>
          <c:dPt>
            <c:idx val="9"/>
            <c:invertIfNegative val="1"/>
            <c:bubble3D val="0"/>
            <c:spPr>
              <a:noFill/>
              <a:ln w="19050">
                <a:solidFill>
                  <a:srgbClr val="997300"/>
                </a:solidFill>
                <a:prstDash val="solid"/>
              </a:ln>
            </c:spPr>
            <c:extLst xmlns:c16r2="http://schemas.microsoft.com/office/drawing/2015/06/chart">
              <c:ext xmlns:c16="http://schemas.microsoft.com/office/drawing/2014/chart" uri="{C3380CC4-5D6E-409C-BE32-E72D297353CC}">
                <c16:uniqueId val="{0000002C-7CE7-4889-A92F-1B65D8EAFA08}"/>
              </c:ext>
            </c:extLst>
          </c:dPt>
          <c:dPt>
            <c:idx val="10"/>
            <c:invertIfNegative val="1"/>
            <c:bubble3D val="0"/>
            <c:spPr>
              <a:noFill/>
              <a:ln w="19050">
                <a:solidFill>
                  <a:srgbClr val="255E91"/>
                </a:solidFill>
                <a:prstDash val="solid"/>
              </a:ln>
            </c:spPr>
            <c:extLst xmlns:c16r2="http://schemas.microsoft.com/office/drawing/2015/06/chart">
              <c:ext xmlns:c16="http://schemas.microsoft.com/office/drawing/2014/chart" uri="{C3380CC4-5D6E-409C-BE32-E72D297353CC}">
                <c16:uniqueId val="{0000002E-7CE7-4889-A92F-1B65D8EAFA08}"/>
              </c:ext>
            </c:extLst>
          </c:dPt>
          <c:dPt>
            <c:idx val="11"/>
            <c:invertIfNegative val="1"/>
            <c:bubble3D val="0"/>
            <c:spPr>
              <a:noFill/>
              <a:ln w="19050">
                <a:solidFill>
                  <a:srgbClr val="43682B"/>
                </a:solidFill>
                <a:prstDash val="solid"/>
              </a:ln>
            </c:spPr>
            <c:extLst xmlns:c16r2="http://schemas.microsoft.com/office/drawing/2015/06/chart">
              <c:ext xmlns:c16="http://schemas.microsoft.com/office/drawing/2014/chart" uri="{C3380CC4-5D6E-409C-BE32-E72D297353CC}">
                <c16:uniqueId val="{00000030-7CE7-4889-A92F-1B65D8EAFA08}"/>
              </c:ext>
            </c:extLst>
          </c:dPt>
          <c:dPt>
            <c:idx val="12"/>
            <c:invertIfNegative val="1"/>
            <c:bubble3D val="0"/>
            <c:spPr>
              <a:noFill/>
              <a:ln w="19050">
                <a:solidFill>
                  <a:srgbClr val="698ED0"/>
                </a:solidFill>
                <a:prstDash val="solid"/>
              </a:ln>
            </c:spPr>
            <c:extLst xmlns:c16r2="http://schemas.microsoft.com/office/drawing/2015/06/chart">
              <c:ext xmlns:c16="http://schemas.microsoft.com/office/drawing/2014/chart" uri="{C3380CC4-5D6E-409C-BE32-E72D297353CC}">
                <c16:uniqueId val="{00000032-7CE7-4889-A92F-1B65D8EAFA08}"/>
              </c:ext>
            </c:extLst>
          </c:dPt>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[0]!ch5_before</c:f>
              <c:numCache>
                <c:formatCode>General</c:formatCode>
                <c:ptCount val="15"/>
                <c:pt idx="0">
                  <c:v>24</c:v>
                </c:pt>
                <c:pt idx="1">
                  <c:v>6</c:v>
                </c:pt>
                <c:pt idx="2">
                  <c:v>5</c:v>
                </c:pt>
                <c:pt idx="3">
                  <c:v>4</c:v>
                </c:pt>
                <c:pt idx="4">
                  <c:v>5</c:v>
                </c:pt>
                <c:pt idx="5">
                  <c:v>2</c:v>
                </c:pt>
                <c:pt idx="6">
                  <c:v>3</c:v>
                </c:pt>
                <c:pt idx="7">
                  <c:v>3</c:v>
                </c:pt>
                <c:pt idx="8">
                  <c:v>0</c:v>
                </c:pt>
                <c:pt idx="9">
                  <c:v>0</c:v>
                </c:pt>
                <c:pt idx="10">
                  <c:v>2</c:v>
                </c:pt>
                <c:pt idx="11">
                  <c:v>0</c:v>
                </c:pt>
                <c:pt idx="12">
                  <c:v>1</c:v>
                </c:pt>
                <c:pt idx="13">
                  <c:v>1</c:v>
                </c:pt>
                <c:pt idx="14">
                  <c:v>1</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06568064"/>
        <c:axId val="206574336"/>
      </c:barChart>
      <c:lineChart>
        <c:grouping val="standard"/>
        <c:varyColors val="1"/>
        <c:ser>
          <c:idx val="26"/>
          <c:order val="26"/>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[0]!ch5_total</c:f>
              <c:numCache>
                <c:formatCode>General</c:formatCode>
                <c:ptCount val="15"/>
                <c:pt idx="0">
                  <c:v>29</c:v>
                </c:pt>
                <c:pt idx="1">
                  <c:v>11</c:v>
                </c:pt>
                <c:pt idx="2">
                  <c:v>9</c:v>
                </c:pt>
                <c:pt idx="3">
                  <c:v>5</c:v>
                </c:pt>
                <c:pt idx="4">
                  <c:v>5</c:v>
                </c:pt>
                <c:pt idx="5">
                  <c:v>4</c:v>
                </c:pt>
                <c:pt idx="6">
                  <c:v>4</c:v>
                </c:pt>
                <c:pt idx="7">
                  <c:v>3</c:v>
                </c:pt>
                <c:pt idx="8">
                  <c:v>3</c:v>
                </c:pt>
                <c:pt idx="9">
                  <c:v>2</c:v>
                </c:pt>
                <c:pt idx="10">
                  <c:v>2</c:v>
                </c:pt>
                <c:pt idx="11">
                  <c:v>1</c:v>
                </c:pt>
                <c:pt idx="12">
                  <c:v>1</c:v>
                </c:pt>
                <c:pt idx="13">
                  <c:v>1</c:v>
                </c:pt>
                <c:pt idx="14">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06568064"/>
        <c:axId val="206574336"/>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[0]!ch5_after</c:f>
              <c:numCache>
                <c:formatCode>General</c:formatCode>
                <c:ptCount val="15"/>
                <c:pt idx="0">
                  <c:v>5</c:v>
                </c:pt>
                <c:pt idx="1">
                  <c:v>5</c:v>
                </c:pt>
                <c:pt idx="2">
                  <c:v>4</c:v>
                </c:pt>
                <c:pt idx="3">
                  <c:v>1</c:v>
                </c:pt>
                <c:pt idx="4">
                  <c:v>0</c:v>
                </c:pt>
                <c:pt idx="5">
                  <c:v>2</c:v>
                </c:pt>
                <c:pt idx="6">
                  <c:v>1</c:v>
                </c:pt>
                <c:pt idx="7">
                  <c:v>0</c:v>
                </c:pt>
                <c:pt idx="8">
                  <c:v>3</c:v>
                </c:pt>
                <c:pt idx="9">
                  <c:v>2</c:v>
                </c:pt>
                <c:pt idx="10">
                  <c:v>0</c:v>
                </c:pt>
                <c:pt idx="11">
                  <c:v>1</c:v>
                </c:pt>
                <c:pt idx="12">
                  <c:v>0</c:v>
                </c:pt>
                <c:pt idx="13">
                  <c:v>0</c:v>
                </c:pt>
                <c:pt idx="14">
                  <c:v>0</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06568064"/>
        <c:axId val="206574336"/>
      </c:lineChart>
      <c:catAx>
        <c:axId val="206568064"/>
        <c:scaling>
          <c:orientation val="minMax"/>
        </c:scaling>
        <c:delete val="0"/>
        <c:axPos val="b"/>
        <c:title>
          <c:tx>
            <c:rich>
              <a:bodyPr/>
              <a:lstStyle/>
              <a:p>
                <a:pPr>
                  <a:defRPr/>
                </a:pPr>
                <a:r>
                  <a:rPr lang="en-US"/>
                  <a:t>Root cause</a:t>
                </a:r>
              </a:p>
            </c:rich>
          </c:tx>
          <c:layout/>
          <c:overlay val="1"/>
        </c:title>
        <c:numFmt formatCode="General" sourceLinked="0"/>
        <c:majorTickMark val="none"/>
        <c:minorTickMark val="none"/>
        <c:tickLblPos val="nextTo"/>
        <c:txPr>
          <a:bodyPr rot="-2700000" vert="horz"/>
          <a:lstStyle/>
          <a:p>
            <a:pPr>
              <a:defRPr/>
            </a:pPr>
            <a:endParaRPr lang="en-US"/>
          </a:p>
        </c:txPr>
        <c:crossAx val="206574336"/>
        <c:crosses val="autoZero"/>
        <c:auto val="1"/>
        <c:lblAlgn val="ctr"/>
        <c:lblOffset val="100"/>
        <c:noMultiLvlLbl val="1"/>
      </c:catAx>
      <c:valAx>
        <c:axId val="206574336"/>
        <c:scaling>
          <c:orientation val="minMax"/>
        </c:scaling>
        <c:delete val="0"/>
        <c:axPos val="l"/>
        <c:title>
          <c:tx>
            <c:rich>
              <a:bodyPr/>
              <a:lstStyle/>
              <a:p>
                <a:pPr>
                  <a:defRPr/>
                </a:pPr>
                <a:r>
                  <a:rPr lang="en-US"/>
                  <a:t>Number of issues</a:t>
                </a:r>
              </a:p>
            </c:rich>
          </c:tx>
          <c:layout/>
          <c:overlay val="1"/>
        </c:title>
        <c:numFmt formatCode="General" sourceLinked="1"/>
        <c:majorTickMark val="none"/>
        <c:minorTickMark val="none"/>
        <c:tickLblPos val="nextTo"/>
        <c:crossAx val="206568064"/>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a:defRPr/>
            </a:pPr>
            <a:r>
              <a:rPr lang="en-US"/>
              <a:t>Issues by case nomenclature (June- July)</a:t>
            </a:r>
          </a:p>
        </c:rich>
      </c:tx>
      <c:layout/>
      <c:overlay val="1"/>
    </c:title>
    <c:autoTitleDeleted val="0"/>
    <c:plotArea>
      <c:layout/>
      <c:barChart>
        <c:barDir val="col"/>
        <c:grouping val="clustered"/>
        <c:varyColors val="1"/>
        <c:ser>
          <c:idx val="0"/>
          <c:order val="0"/>
          <c:tx>
            <c:strRef>
              <c:f>Calc_Charts!$B$261</c:f>
              <c:strCache>
                <c:ptCount val="1"/>
                <c:pt idx="0">
                  <c:v>Issues by case nomenclature (Jun 1 to Jul 15)</c:v>
                </c:pt>
              </c:strCache>
            </c:strRef>
          </c:tx>
          <c:spPr>
            <a:solidFill>
              <a:srgbClr val="4472C4"/>
            </a:solidFill>
            <a:ln>
              <a:solidFill>
                <a:srgbClr val="2F5597"/>
              </a:solidFill>
              <a:prstDash val="solid"/>
            </a:ln>
          </c:spPr>
          <c:invertIfNegative val="1"/>
          <c:dLbls>
            <c:spPr>
              <a:noFill/>
              <a:ln>
                <a:noFill/>
              </a:ln>
              <a:effectLst/>
            </c:spPr>
            <c:dLblPos val="outEnd"/>
            <c:showLegendKey val="0"/>
            <c:showVal val="1"/>
            <c:showCatName val="0"/>
            <c:showSerName val="0"/>
            <c:showPercent val="0"/>
            <c:showBubbleSize val="1"/>
            <c:showLeaderLines val="0"/>
            <c:extLst xmlns:c16r2="http://schemas.microsoft.com/office/drawing/2015/06/chart">
              <c:ext xmlns:c15="http://schemas.microsoft.com/office/drawing/2012/chart" uri="{CE6537A1-D6FC-4f65-9D91-7224C49458BB}">
                <c15:showLeaderLines val="0"/>
              </c:ext>
            </c:extLst>
          </c:dLbls>
          <c:cat>
            <c:strRef>
              <c:f>Calc_Charts!$A$244:$A$249</c:f>
              <c:strCache>
                <c:ptCount val="6"/>
                <c:pt idx="0">
                  <c:v>RLN2MA</c:v>
                </c:pt>
                <c:pt idx="1">
                  <c:v>RLN3MA</c:v>
                </c:pt>
                <c:pt idx="2">
                  <c:v>RLN4MA</c:v>
                </c:pt>
                <c:pt idx="3">
                  <c:v>RMN4MA</c:v>
                </c:pt>
                <c:pt idx="4">
                  <c:v>RMN3MA</c:v>
                </c:pt>
                <c:pt idx="5">
                  <c:v>RMN5MA</c:v>
                </c:pt>
              </c:strCache>
            </c:strRef>
          </c:cat>
          <c:val>
            <c:numRef>
              <c:f>Calc_Charts!$B$244:$B$249</c:f>
              <c:numCache>
                <c:formatCode>General</c:formatCode>
                <c:ptCount val="6"/>
                <c:pt idx="0">
                  <c:v>21</c:v>
                </c:pt>
                <c:pt idx="1">
                  <c:v>32</c:v>
                </c:pt>
                <c:pt idx="2">
                  <c:v>3</c:v>
                </c:pt>
                <c:pt idx="3">
                  <c:v>14</c:v>
                </c:pt>
                <c:pt idx="4">
                  <c:v>6</c:v>
                </c:pt>
                <c:pt idx="5">
                  <c:v>4</c:v>
                </c:pt>
              </c:numCache>
            </c:numRef>
          </c:val>
          <c:extLst xmlns:c16r2="http://schemas.microsoft.com/office/drawing/2015/06/chart">
            <c:ext xmlns:c16="http://schemas.microsoft.com/office/drawing/2014/chart" uri="{C3380CC4-5D6E-409C-BE32-E72D297353CC}">
              <c16:uniqueId val="{00000000-556A-4F48-8918-A6A853F7388D}"/>
            </c:ext>
            <c:ext xmlns:c14="http://schemas.microsoft.com/office/drawing/2007/8/2/chart" uri="{6F2FDCE9-48DA-4B69-8628-5D25D57E5C99}">
              <c14:invertSolidFillFmt>
                <c14:spPr xmlns:c14="http://schemas.microsoft.com/office/drawing/2007/8/2/chart">
                  <a:solidFill>
                    <a:srgbClr val="FFFFFF"/>
                  </a:solidFill>
                  <a:ln>
                    <a:solidFill>
                      <a:srgbClr val="2F5597"/>
                    </a:solidFill>
                    <a:prstDash val="solid"/>
                  </a:ln>
                </c14:spPr>
              </c14:invertSolidFillFmt>
            </c:ext>
          </c:extLst>
        </c:ser>
        <c:dLbls>
          <c:dLblPos val="outEnd"/>
          <c:showLegendKey val="0"/>
          <c:showVal val="1"/>
          <c:showCatName val="0"/>
          <c:showSerName val="0"/>
          <c:showPercent val="0"/>
          <c:showBubbleSize val="1"/>
        </c:dLbls>
        <c:gapWidth val="65"/>
        <c:axId val="206610816"/>
        <c:axId val="206613504"/>
      </c:barChart>
      <c:catAx>
        <c:axId val="206610816"/>
        <c:scaling>
          <c:orientation val="minMax"/>
        </c:scaling>
        <c:delete val="0"/>
        <c:axPos val="b"/>
        <c:numFmt formatCode="General" sourceLinked="0"/>
        <c:majorTickMark val="out"/>
        <c:minorTickMark val="none"/>
        <c:tickLblPos val="nextTo"/>
        <c:spPr>
          <a:ln w="12700">
            <a:solidFill>
              <a:srgbClr val="000000"/>
            </a:solidFill>
          </a:ln>
        </c:spPr>
        <c:crossAx val="206613504"/>
        <c:crosses val="autoZero"/>
        <c:auto val="1"/>
        <c:lblAlgn val="ctr"/>
        <c:lblOffset val="100"/>
        <c:noMultiLvlLbl val="1"/>
      </c:catAx>
      <c:valAx>
        <c:axId val="206613504"/>
        <c:scaling>
          <c:orientation val="minMax"/>
          <c:max val="45"/>
          <c:min val="0"/>
        </c:scaling>
        <c:delete val="0"/>
        <c:axPos val="l"/>
        <c:title>
          <c:tx>
            <c:rich>
              <a:bodyPr/>
              <a:lstStyle/>
              <a:p>
                <a:pPr>
                  <a:defRPr/>
                </a:pPr>
                <a:r>
                  <a:rPr lang="en-US"/>
                  <a:t>Number of issues</a:t>
                </a:r>
              </a:p>
            </c:rich>
          </c:tx>
          <c:layout/>
          <c:overlay val="1"/>
        </c:title>
        <c:numFmt formatCode="General" sourceLinked="1"/>
        <c:majorTickMark val="out"/>
        <c:minorTickMark val="none"/>
        <c:tickLblPos val="nextTo"/>
        <c:spPr>
          <a:ln w="12700">
            <a:solidFill>
              <a:srgbClr val="000000"/>
            </a:solidFill>
          </a:ln>
        </c:spPr>
        <c:crossAx val="206610816"/>
        <c:crosses val="autoZero"/>
        <c:crossBetween val="between"/>
        <c:majorUnit val="5"/>
      </c:valAx>
    </c:plotArea>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Calc_Charts!$B$414</c:f>
          <c:strCache>
            <c:ptCount val="1"/>
            <c:pt idx="0">
              <c:v>RLN3MA - issues after vs before clean point (Jun 1 to Jul 15)</c:v>
            </c:pt>
          </c:strCache>
        </c:strRef>
      </c:tx>
      <c:layout/>
      <c:overlay val="1"/>
      <c:txPr>
        <a:bodyPr/>
        <a:lstStyle/>
        <a:p>
          <a:pPr>
            <a:defRPr sz="1100"/>
          </a:pPr>
          <a:endParaRPr lang="en-US"/>
        </a:p>
      </c:txPr>
    </c:title>
    <c:autoTitleDeleted val="0"/>
    <c:plotArea>
      <c:layout/>
      <c:barChart>
        <c:barDir val="col"/>
        <c:grouping val="stacked"/>
        <c:varyColors val="1"/>
        <c:ser>
          <c:idx val="0"/>
          <c:order val="0"/>
          <c:tx>
            <c:strRef>
              <c:f>Calc_Charts!$B$386</c:f>
              <c:strCache>
                <c:ptCount val="1"/>
                <c:pt idx="0">
                  <c:v>Doors</c:v>
                </c:pt>
              </c:strCache>
            </c:strRef>
          </c:tx>
          <c:spPr>
            <a:solidFill>
              <a:srgbClr val="70AD47"/>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[0]!ch7_seg01</c:f>
              <c:numCache>
                <c:formatCode>General</c:formatCode>
                <c:ptCount val="10"/>
                <c:pt idx="0">
                  <c:v>1</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Calc_Charts!$C$386</c:f>
              <c:strCache>
                <c:ptCount val="1"/>
                <c:pt idx="0">
                  <c:v>High Store RH</c:v>
                </c:pt>
              </c:strCache>
            </c:strRef>
          </c:tx>
          <c:spPr>
            <a:solidFill>
              <a:srgbClr val="FFC0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[0]!ch7_seg02</c:f>
              <c:numCache>
                <c:formatCode>General</c:formatCode>
                <c:ptCount val="10"/>
                <c:pt idx="0">
                  <c:v>0</c:v>
                </c:pt>
                <c:pt idx="1">
                  <c:v>2</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Calc_Charts!$D$386</c:f>
              <c:strCache>
                <c:ptCount val="1"/>
                <c:pt idx="0">
                  <c:v>False Alarm</c:v>
                </c:pt>
              </c:strCache>
            </c:strRef>
          </c:tx>
          <c:spPr>
            <a:solidFill>
              <a:srgbClr val="4472C4"/>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[0]!ch7_seg03</c:f>
              <c:numCache>
                <c:formatCode>General</c:formatCode>
                <c:ptCount val="10"/>
                <c:pt idx="0">
                  <c:v>0</c:v>
                </c:pt>
                <c:pt idx="1">
                  <c:v>0</c:v>
                </c:pt>
                <c:pt idx="2">
                  <c:v>2</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Calc_Charts!$E$386</c:f>
              <c:strCache>
                <c:ptCount val="1"/>
                <c:pt idx="0">
                  <c:v>Drain tube blocked</c:v>
                </c:pt>
              </c:strCache>
            </c:strRef>
          </c:tx>
          <c:spPr>
            <a:solidFill>
              <a:srgbClr val="ED7D31"/>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[0]!ch7_seg04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Calc_Charts!$F$386</c:f>
              <c:strCache>
                <c:ptCount val="1"/>
                <c:pt idx="0">
                  <c:v>Wrong / Loose wiring</c:v>
                </c:pt>
              </c:strCache>
            </c:strRef>
          </c:tx>
          <c:spPr>
            <a:solidFill>
              <a:srgbClr val="5B9BD5"/>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[0]!ch7_seg05</c:f>
              <c:numCache>
                <c:formatCode>General</c:formatCode>
                <c:ptCount val="10"/>
                <c:pt idx="0">
                  <c:v>0</c:v>
                </c:pt>
                <c:pt idx="1">
                  <c:v>0</c:v>
                </c:pt>
                <c:pt idx="2">
                  <c:v>0</c:v>
                </c:pt>
                <c:pt idx="3">
                  <c:v>0</c:v>
                </c:pt>
                <c:pt idx="4">
                  <c:v>2</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Calc_Charts!$G$386</c:f>
              <c:strCache>
                <c:ptCount val="1"/>
                <c:pt idx="0">
                  <c:v>Overstocking</c:v>
                </c:pt>
              </c:strCache>
            </c:strRef>
          </c:tx>
          <c:spPr>
            <a:solidFill>
              <a:srgbClr val="A5A5A5"/>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[0]!ch7_seg06</c:f>
              <c:numCache>
                <c:formatCode>General</c:formatCode>
                <c:ptCount val="10"/>
                <c:pt idx="0">
                  <c:v>0</c:v>
                </c:pt>
                <c:pt idx="1">
                  <c:v>0</c:v>
                </c:pt>
                <c:pt idx="2">
                  <c:v>0</c:v>
                </c:pt>
                <c:pt idx="3">
                  <c:v>0</c:v>
                </c:pt>
                <c:pt idx="4">
                  <c:v>0</c:v>
                </c:pt>
                <c:pt idx="5">
                  <c:v>2</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Calc_Charts!$H$386</c:f>
              <c:strCache>
                <c:ptCount val="1"/>
                <c:pt idx="0">
                  <c:v>DG Installation issue</c:v>
                </c:pt>
              </c:strCache>
            </c:strRef>
          </c:tx>
          <c:spPr>
            <a:solidFill>
              <a:srgbClr val="264478"/>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[0]!ch7_seg07</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Calc_Charts!$I$386</c:f>
              <c:strCache>
                <c:ptCount val="1"/>
                <c:pt idx="0">
                  <c:v>Unknown</c:v>
                </c:pt>
              </c:strCache>
            </c:strRef>
          </c:tx>
          <c:spPr>
            <a:solidFill>
              <a:srgbClr val="9E480E"/>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[0]!ch7_seg08</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Calc_Charts!$J$386</c:f>
              <c:strCache>
                <c:ptCount val="1"/>
                <c:pt idx="0">
                  <c:v>Unidentified air leak</c:v>
                </c:pt>
              </c:strCache>
            </c:strRef>
          </c:tx>
          <c:spPr>
            <a:solidFill>
              <a:srgbClr val="636363"/>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[0]!ch7_seg09</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Calc_Charts!$K$386</c:f>
              <c:strCache>
                <c:ptCount val="1"/>
                <c:pt idx="0">
                  <c:v>Wrong program</c:v>
                </c:pt>
              </c:strCache>
            </c:strRef>
          </c:tx>
          <c:spPr>
            <a:solidFill>
              <a:srgbClr val="9973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[0]!ch7_seg10</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Calc_Charts!$L$386</c:f>
              <c:strCache>
                <c:ptCount val="1"/>
                <c:pt idx="0">
                  <c:v>Ref. leak/ Low charge</c:v>
                </c:pt>
              </c:strCache>
            </c:strRef>
          </c:tx>
          <c:spPr>
            <a:solidFill>
              <a:srgbClr val="255E91"/>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[0]!ch7_seg11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Calc_Charts!$M$386</c:f>
              <c:strCache>
                <c:ptCount val="1"/>
                <c:pt idx="0">
                  <c:v>Communication problem</c:v>
                </c:pt>
              </c:strCache>
            </c:strRef>
          </c:tx>
          <c:spPr>
            <a:solidFill>
              <a:srgbClr val="43682B"/>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[0]!ch7_seg12</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Calc_Charts!$N$386</c:f>
              <c:strCache>
                <c:ptCount val="1"/>
                <c:pt idx="0">
                  <c:v>Enclosure Seal</c:v>
                </c:pt>
              </c:strCache>
            </c:strRef>
          </c:tx>
          <c:spPr>
            <a:solidFill>
              <a:srgbClr val="698ED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[0]!ch7_seg13</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Calc_Charts!$O$386</c:f>
              <c:strCache>
                <c:ptCount val="1"/>
                <c:pt idx="0">
                  <c:v>Component Failure</c:v>
                </c:pt>
              </c:strCache>
            </c:strRef>
          </c:tx>
          <c:spPr>
            <a:solidFill>
              <a:srgbClr val="F1975A"/>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[0]!ch7_seg14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Calc_Charts!$P$386</c:f>
              <c:strCache>
                <c:ptCount val="1"/>
                <c:pt idx="0">
                  <c:v>Defrost Sync</c:v>
                </c:pt>
              </c:strCache>
            </c:strRef>
          </c:tx>
          <c:spPr>
            <a:solidFill>
              <a:srgbClr val="B7B7B7"/>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[0]!ch7_seg15</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Calc_Charts!$Q$386</c:f>
              <c:strCache>
                <c:ptCount val="1"/>
                <c:pt idx="0">
                  <c:v>Setpoint change</c:v>
                </c:pt>
              </c:strCache>
            </c:strRef>
          </c:tx>
          <c:spPr>
            <a:solidFill>
              <a:srgbClr val="1F4E79"/>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[0]!ch7_seg16</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Calc_Charts!$R$386</c:f>
              <c:strCache>
                <c:ptCount val="1"/>
                <c:pt idx="0">
                  <c:v>Case End Seal</c:v>
                </c:pt>
              </c:strCache>
            </c:strRef>
          </c:tx>
          <c:spPr>
            <a:solidFill>
              <a:srgbClr val="C000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[0]!ch7_seg17</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Calc_Charts!$S$386</c:f>
              <c:strCache>
                <c:ptCount val="1"/>
                <c:pt idx="0">
                  <c:v>Return Air blocked</c:v>
                </c:pt>
              </c:strCache>
            </c:strRef>
          </c:tx>
          <c:spPr>
            <a:solidFill>
              <a:srgbClr val="7030A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[0]!ch7_seg18</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Calc_Charts!$T$386</c:f>
              <c:strCache>
                <c:ptCount val="1"/>
                <c:pt idx="0">
                  <c:v>Freedom</c:v>
                </c:pt>
              </c:strCache>
            </c:strRef>
          </c:tx>
          <c:spPr>
            <a:solidFill>
              <a:srgbClr val="2E75B6"/>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[0]!ch7_seg19</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Calc_Charts!$U$386</c:f>
              <c:strCache>
                <c:ptCount val="1"/>
                <c:pt idx="0">
                  <c:v>Heavy case load</c:v>
                </c:pt>
              </c:strCache>
            </c:strRef>
          </c:tx>
          <c:spPr>
            <a:solidFill>
              <a:srgbClr val="BF90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[0]!ch7_seg20</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Calc_Charts!$V$386</c:f>
              <c:strCache>
                <c:ptCount val="1"/>
                <c:pt idx="0">
                  <c:v>Program change - Hussmann</c:v>
                </c:pt>
              </c:strCache>
            </c:strRef>
          </c:tx>
          <c:spPr>
            <a:solidFill>
              <a:srgbClr val="548235"/>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[0]!ch7_seg21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Calc_Charts!$W$386</c:f>
              <c:strCache>
                <c:ptCount val="1"/>
              </c:strCache>
            </c:strRef>
          </c:tx>
          <c:spPr>
            <a:solidFill>
              <a:srgbClr val="833C00"/>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[0]!ch7_seg22</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Calc_Charts!$X$386</c:f>
              <c:strCache>
                <c:ptCount val="1"/>
              </c:strCache>
            </c:strRef>
          </c:tx>
          <c:spPr>
            <a:solidFill>
              <a:srgbClr val="7F7F7F"/>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[0]!ch7_seg23</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Calc_Charts!$Y$386</c:f>
              <c:strCache>
                <c:ptCount val="1"/>
              </c:strCache>
            </c:strRef>
          </c:tx>
          <c:spPr>
            <a:solidFill>
              <a:srgbClr val="3B3838"/>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[0]!ch7_seg24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Calc_Charts!$Z$386</c:f>
              <c:strCache>
                <c:ptCount val="1"/>
              </c:strCache>
            </c:strRef>
          </c:tx>
          <c:spPr>
            <a:solidFill>
              <a:srgbClr val="8FAADC"/>
            </a:solidFill>
            <a:ln>
              <a:prstDash val="solid"/>
            </a:ln>
          </c:spPr>
          <c:invertIfNegative val="1"/>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[0]!ch7_seg25</c:f>
              <c:numCache>
                <c:formatCode>General</c:formatCode>
                <c:ptCount val="10"/>
                <c:pt idx="0">
                  <c:v>0</c:v>
                </c:pt>
                <c:pt idx="1">
                  <c:v>0</c:v>
                </c:pt>
                <c:pt idx="2">
                  <c:v>0</c:v>
                </c:pt>
                <c:pt idx="3">
                  <c:v>0</c:v>
                </c:pt>
                <c:pt idx="4">
                  <c:v>0</c:v>
                </c:pt>
                <c:pt idx="5">
                  <c:v>0</c:v>
                </c:pt>
                <c:pt idx="6">
                  <c:v>0</c:v>
                </c:pt>
                <c:pt idx="7">
                  <c:v>0</c:v>
                </c:pt>
                <c:pt idx="8">
                  <c:v>0</c:v>
                </c:pt>
                <c:pt idx="9">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ln>
              <a:prstDash val="solid"/>
            </a:ln>
          </c:spPr>
          <c:invertIfNegative val="1"/>
          <c:dPt>
            <c:idx val="0"/>
            <c:invertIfNegative val="1"/>
            <c:bubble3D val="0"/>
            <c:spPr>
              <a:noFill/>
              <a:ln w="19050">
                <a:solidFill>
                  <a:srgbClr val="70AD47"/>
                </a:solidFill>
                <a:prstDash val="solid"/>
              </a:ln>
            </c:spPr>
            <c:extLst xmlns:c16r2="http://schemas.microsoft.com/office/drawing/2015/06/chart">
              <c:ext xmlns:c16="http://schemas.microsoft.com/office/drawing/2014/chart" uri="{C3380CC4-5D6E-409C-BE32-E72D297353CC}">
                <c16:uniqueId val="{0000001A-7CE7-4889-A92F-1B65D8EAFA08}"/>
              </c:ext>
            </c:extLst>
          </c:dPt>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[0]!ch7_before</c:f>
              <c:numCache>
                <c:formatCode>General</c:formatCode>
                <c:ptCount val="10"/>
                <c:pt idx="0">
                  <c:v>10</c:v>
                </c:pt>
                <c:pt idx="1">
                  <c:v>3</c:v>
                </c:pt>
                <c:pt idx="2">
                  <c:v>2</c:v>
                </c:pt>
                <c:pt idx="3">
                  <c:v>2</c:v>
                </c:pt>
                <c:pt idx="4">
                  <c:v>0</c:v>
                </c:pt>
                <c:pt idx="5">
                  <c:v>0</c:v>
                </c:pt>
                <c:pt idx="6">
                  <c:v>2</c:v>
                </c:pt>
                <c:pt idx="7">
                  <c:v>2</c:v>
                </c:pt>
                <c:pt idx="8">
                  <c:v>1</c:v>
                </c:pt>
                <c:pt idx="9">
                  <c:v>1</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06793728"/>
        <c:axId val="206795904"/>
      </c:barChart>
      <c:lineChart>
        <c:grouping val="standard"/>
        <c:varyColors val="1"/>
        <c:ser>
          <c:idx val="26"/>
          <c:order val="26"/>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[0]!ch7_total</c:f>
              <c:numCache>
                <c:formatCode>General</c:formatCode>
                <c:ptCount val="10"/>
                <c:pt idx="0">
                  <c:v>11</c:v>
                </c:pt>
                <c:pt idx="1">
                  <c:v>5</c:v>
                </c:pt>
                <c:pt idx="2">
                  <c:v>4</c:v>
                </c:pt>
                <c:pt idx="3">
                  <c:v>2</c:v>
                </c:pt>
                <c:pt idx="4">
                  <c:v>2</c:v>
                </c:pt>
                <c:pt idx="5">
                  <c:v>2</c:v>
                </c:pt>
                <c:pt idx="6">
                  <c:v>2</c:v>
                </c:pt>
                <c:pt idx="7">
                  <c:v>2</c:v>
                </c:pt>
                <c:pt idx="8">
                  <c:v>1</c:v>
                </c:pt>
                <c:pt idx="9">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06793728"/>
        <c:axId val="206795904"/>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[0]!ch7_cats</c:f>
              <c:strCache>
                <c:ptCount val="10"/>
                <c:pt idx="0">
                  <c:v>Doors</c:v>
                </c:pt>
                <c:pt idx="1">
                  <c:v>High Store RH</c:v>
                </c:pt>
                <c:pt idx="2">
                  <c:v>False Alarm</c:v>
                </c:pt>
                <c:pt idx="3">
                  <c:v>Drain tube blocked</c:v>
                </c:pt>
                <c:pt idx="4">
                  <c:v>Wrong / Loose wiring</c:v>
                </c:pt>
                <c:pt idx="5">
                  <c:v>Overstocking</c:v>
                </c:pt>
                <c:pt idx="6">
                  <c:v>DG Installation issue</c:v>
                </c:pt>
                <c:pt idx="7">
                  <c:v>Unknown</c:v>
                </c:pt>
                <c:pt idx="8">
                  <c:v>Unidentified air leak</c:v>
                </c:pt>
                <c:pt idx="9">
                  <c:v>Wrong program</c:v>
                </c:pt>
              </c:strCache>
            </c:strRef>
          </c:cat>
          <c:val>
            <c:numRef>
              <c:f>[0]!ch7_after</c:f>
              <c:numCache>
                <c:formatCode>General</c:formatCode>
                <c:ptCount val="10"/>
                <c:pt idx="0">
                  <c:v>1</c:v>
                </c:pt>
                <c:pt idx="1">
                  <c:v>2</c:v>
                </c:pt>
                <c:pt idx="2">
                  <c:v>2</c:v>
                </c:pt>
                <c:pt idx="3">
                  <c:v>0</c:v>
                </c:pt>
                <c:pt idx="4">
                  <c:v>2</c:v>
                </c:pt>
                <c:pt idx="5">
                  <c:v>2</c:v>
                </c:pt>
                <c:pt idx="6">
                  <c:v>0</c:v>
                </c:pt>
                <c:pt idx="7">
                  <c:v>0</c:v>
                </c:pt>
                <c:pt idx="8">
                  <c:v>0</c:v>
                </c:pt>
                <c:pt idx="9">
                  <c:v>0</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06793728"/>
        <c:axId val="206795904"/>
      </c:lineChart>
      <c:catAx>
        <c:axId val="206793728"/>
        <c:scaling>
          <c:orientation val="minMax"/>
        </c:scaling>
        <c:delete val="0"/>
        <c:axPos val="b"/>
        <c:title>
          <c:tx>
            <c:rich>
              <a:bodyPr/>
              <a:lstStyle/>
              <a:p>
                <a:pPr>
                  <a:defRPr/>
                </a:pPr>
                <a:r>
                  <a:rPr lang="en-US"/>
                  <a:t>Root cause</a:t>
                </a:r>
              </a:p>
            </c:rich>
          </c:tx>
          <c:layout/>
          <c:overlay val="1"/>
        </c:title>
        <c:numFmt formatCode="General" sourceLinked="0"/>
        <c:majorTickMark val="none"/>
        <c:minorTickMark val="none"/>
        <c:tickLblPos val="nextTo"/>
        <c:txPr>
          <a:bodyPr rot="-2700000" vert="horz"/>
          <a:lstStyle/>
          <a:p>
            <a:pPr>
              <a:defRPr/>
            </a:pPr>
            <a:endParaRPr lang="en-US"/>
          </a:p>
        </c:txPr>
        <c:crossAx val="206795904"/>
        <c:crosses val="autoZero"/>
        <c:auto val="1"/>
        <c:lblAlgn val="ctr"/>
        <c:lblOffset val="100"/>
        <c:noMultiLvlLbl val="1"/>
      </c:catAx>
      <c:valAx>
        <c:axId val="206795904"/>
        <c:scaling>
          <c:orientation val="minMax"/>
        </c:scaling>
        <c:delete val="0"/>
        <c:axPos val="l"/>
        <c:title>
          <c:tx>
            <c:rich>
              <a:bodyPr/>
              <a:lstStyle/>
              <a:p>
                <a:pPr>
                  <a:defRPr/>
                </a:pPr>
                <a:r>
                  <a:rPr lang="en-US"/>
                  <a:t>Number of issues</a:t>
                </a:r>
              </a:p>
            </c:rich>
          </c:tx>
          <c:layout/>
          <c:overlay val="1"/>
        </c:title>
        <c:numFmt formatCode="General" sourceLinked="1"/>
        <c:majorTickMark val="none"/>
        <c:minorTickMark val="none"/>
        <c:tickLblPos val="nextTo"/>
        <c:crossAx val="206793728"/>
        <c:crosses val="autoZero"/>
        <c:crossBetween val="between"/>
      </c:valAx>
    </c:plotArea>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Calc_Charts!$B$569</c:f>
          <c:strCache>
            <c:ptCount val="1"/>
            <c:pt idx="0">
              <c:v>RLN2MA - issues after vs before clean point (Jun 1 to Jul 15)</c:v>
            </c:pt>
          </c:strCache>
        </c:strRef>
      </c:tx>
      <c:layout/>
      <c:overlay val="1"/>
      <c:txPr>
        <a:bodyPr/>
        <a:lstStyle/>
        <a:p>
          <a:pPr>
            <a:defRPr sz="1100"/>
          </a:pPr>
          <a:endParaRPr lang="en-US"/>
        </a:p>
      </c:txPr>
    </c:title>
    <c:autoTitleDeleted val="0"/>
    <c:plotArea>
      <c:layout/>
      <c:barChart>
        <c:barDir val="col"/>
        <c:grouping val="stacked"/>
        <c:varyColors val="1"/>
        <c:ser>
          <c:idx val="0"/>
          <c:order val="0"/>
          <c:tx>
            <c:strRef>
              <c:f>Calc_Charts!$B$541</c:f>
              <c:strCache>
                <c:ptCount val="1"/>
                <c:pt idx="0">
                  <c:v>Doors</c:v>
                </c:pt>
              </c:strCache>
            </c:strRef>
          </c:tx>
          <c:spPr>
            <a:solidFill>
              <a:srgbClr val="70AD47"/>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[0]!ch8_seg01</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Calc_Charts!$C$541</c:f>
              <c:strCache>
                <c:ptCount val="1"/>
                <c:pt idx="0">
                  <c:v>Communication problem</c:v>
                </c:pt>
              </c:strCache>
            </c:strRef>
          </c:tx>
          <c:spPr>
            <a:solidFill>
              <a:srgbClr val="FFC0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[0]!ch8_seg02</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Calc_Charts!$D$541</c:f>
              <c:strCache>
                <c:ptCount val="1"/>
                <c:pt idx="0">
                  <c:v>High Store RH</c:v>
                </c:pt>
              </c:strCache>
            </c:strRef>
          </c:tx>
          <c:spPr>
            <a:solidFill>
              <a:srgbClr val="4472C4"/>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[0]!ch8_seg03</c:f>
              <c:numCache>
                <c:formatCode>General</c:formatCode>
                <c:ptCount val="8"/>
                <c:pt idx="0">
                  <c:v>0</c:v>
                </c:pt>
                <c:pt idx="1">
                  <c:v>0</c:v>
                </c:pt>
                <c:pt idx="2">
                  <c:v>1</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Calc_Charts!$E$541</c:f>
              <c:strCache>
                <c:ptCount val="1"/>
                <c:pt idx="0">
                  <c:v>Component Failure</c:v>
                </c:pt>
              </c:strCache>
            </c:strRef>
          </c:tx>
          <c:spPr>
            <a:solidFill>
              <a:srgbClr val="ED7D31"/>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[0]!ch8_seg04</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Calc_Charts!$F$541</c:f>
              <c:strCache>
                <c:ptCount val="1"/>
                <c:pt idx="0">
                  <c:v>False Alarm</c:v>
                </c:pt>
              </c:strCache>
            </c:strRef>
          </c:tx>
          <c:spPr>
            <a:solidFill>
              <a:srgbClr val="5B9BD5"/>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[0]!ch8_seg05</c:f>
              <c:numCache>
                <c:formatCode>General</c:formatCode>
                <c:ptCount val="8"/>
                <c:pt idx="0">
                  <c:v>0</c:v>
                </c:pt>
                <c:pt idx="1">
                  <c:v>0</c:v>
                </c:pt>
                <c:pt idx="2">
                  <c:v>0</c:v>
                </c:pt>
                <c:pt idx="3">
                  <c:v>0</c:v>
                </c:pt>
                <c:pt idx="4">
                  <c:v>1</c:v>
                </c:pt>
                <c:pt idx="5">
                  <c:v>0</c:v>
                </c:pt>
                <c:pt idx="6">
                  <c:v>0</c:v>
                </c:pt>
                <c:pt idx="7">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Calc_Charts!$G$541</c:f>
              <c:strCache>
                <c:ptCount val="1"/>
                <c:pt idx="0">
                  <c:v>Overstocking</c:v>
                </c:pt>
              </c:strCache>
            </c:strRef>
          </c:tx>
          <c:spPr>
            <a:solidFill>
              <a:srgbClr val="A5A5A5"/>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[0]!ch8_seg06</c:f>
              <c:numCache>
                <c:formatCode>General</c:formatCode>
                <c:ptCount val="8"/>
                <c:pt idx="0">
                  <c:v>0</c:v>
                </c:pt>
                <c:pt idx="1">
                  <c:v>0</c:v>
                </c:pt>
                <c:pt idx="2">
                  <c:v>0</c:v>
                </c:pt>
                <c:pt idx="3">
                  <c:v>0</c:v>
                </c:pt>
                <c:pt idx="4">
                  <c:v>0</c:v>
                </c:pt>
                <c:pt idx="5">
                  <c:v>1</c:v>
                </c:pt>
                <c:pt idx="6">
                  <c:v>0</c:v>
                </c:pt>
                <c:pt idx="7">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Calc_Charts!$H$541</c:f>
              <c:strCache>
                <c:ptCount val="1"/>
                <c:pt idx="0">
                  <c:v>Freedom</c:v>
                </c:pt>
              </c:strCache>
            </c:strRef>
          </c:tx>
          <c:spPr>
            <a:solidFill>
              <a:srgbClr val="264478"/>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[0]!ch8_seg07</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Calc_Charts!$I$541</c:f>
              <c:strCache>
                <c:ptCount val="1"/>
                <c:pt idx="0">
                  <c:v>Unknown</c:v>
                </c:pt>
              </c:strCache>
            </c:strRef>
          </c:tx>
          <c:spPr>
            <a:solidFill>
              <a:srgbClr val="9E480E"/>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[0]!ch8_seg08</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Calc_Charts!$J$541</c:f>
              <c:strCache>
                <c:ptCount val="1"/>
                <c:pt idx="0">
                  <c:v>Ref. leak/ Low charge</c:v>
                </c:pt>
              </c:strCache>
            </c:strRef>
          </c:tx>
          <c:spPr>
            <a:solidFill>
              <a:srgbClr val="636363"/>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[0]!ch8_seg09</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Calc_Charts!$K$541</c:f>
              <c:strCache>
                <c:ptCount val="1"/>
                <c:pt idx="0">
                  <c:v>Drain tube blocked</c:v>
                </c:pt>
              </c:strCache>
            </c:strRef>
          </c:tx>
          <c:spPr>
            <a:solidFill>
              <a:srgbClr val="9973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[0]!ch8_seg10</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Calc_Charts!$L$541</c:f>
              <c:strCache>
                <c:ptCount val="1"/>
                <c:pt idx="0">
                  <c:v>Wrong / Loose wiring</c:v>
                </c:pt>
              </c:strCache>
            </c:strRef>
          </c:tx>
          <c:spPr>
            <a:solidFill>
              <a:srgbClr val="255E91"/>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[0]!ch8_seg11</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Calc_Charts!$M$541</c:f>
              <c:strCache>
                <c:ptCount val="1"/>
                <c:pt idx="0">
                  <c:v>Enclosure Seal</c:v>
                </c:pt>
              </c:strCache>
            </c:strRef>
          </c:tx>
          <c:spPr>
            <a:solidFill>
              <a:srgbClr val="43682B"/>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[0]!ch8_seg12</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Calc_Charts!$N$541</c:f>
              <c:strCache>
                <c:ptCount val="1"/>
                <c:pt idx="0">
                  <c:v>Defrost Sync</c:v>
                </c:pt>
              </c:strCache>
            </c:strRef>
          </c:tx>
          <c:spPr>
            <a:solidFill>
              <a:srgbClr val="698ED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[0]!ch8_seg13</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Calc_Charts!$O$541</c:f>
              <c:strCache>
                <c:ptCount val="1"/>
                <c:pt idx="0">
                  <c:v>Setpoint change</c:v>
                </c:pt>
              </c:strCache>
            </c:strRef>
          </c:tx>
          <c:spPr>
            <a:solidFill>
              <a:srgbClr val="F1975A"/>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[0]!ch8_seg14</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Calc_Charts!$P$541</c:f>
              <c:strCache>
                <c:ptCount val="1"/>
                <c:pt idx="0">
                  <c:v>Case End Seal</c:v>
                </c:pt>
              </c:strCache>
            </c:strRef>
          </c:tx>
          <c:spPr>
            <a:solidFill>
              <a:srgbClr val="B7B7B7"/>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[0]!ch8_seg15</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Calc_Charts!$Q$541</c:f>
              <c:strCache>
                <c:ptCount val="1"/>
                <c:pt idx="0">
                  <c:v>Return Air blocked</c:v>
                </c:pt>
              </c:strCache>
            </c:strRef>
          </c:tx>
          <c:spPr>
            <a:solidFill>
              <a:srgbClr val="1F4E79"/>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[0]!ch8_seg16</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Calc_Charts!$R$541</c:f>
              <c:strCache>
                <c:ptCount val="1"/>
                <c:pt idx="0">
                  <c:v>Unidentified air leak</c:v>
                </c:pt>
              </c:strCache>
            </c:strRef>
          </c:tx>
          <c:spPr>
            <a:solidFill>
              <a:srgbClr val="C000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[0]!ch8_seg17</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Calc_Charts!$S$541</c:f>
              <c:strCache>
                <c:ptCount val="1"/>
                <c:pt idx="0">
                  <c:v>Heavy case load</c:v>
                </c:pt>
              </c:strCache>
            </c:strRef>
          </c:tx>
          <c:spPr>
            <a:solidFill>
              <a:srgbClr val="7030A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[0]!ch8_seg18</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Calc_Charts!$T$541</c:f>
              <c:strCache>
                <c:ptCount val="1"/>
                <c:pt idx="0">
                  <c:v>DG Installation issue</c:v>
                </c:pt>
              </c:strCache>
            </c:strRef>
          </c:tx>
          <c:spPr>
            <a:solidFill>
              <a:srgbClr val="2E75B6"/>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[0]!ch8_seg19</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Calc_Charts!$U$541</c:f>
              <c:strCache>
                <c:ptCount val="1"/>
                <c:pt idx="0">
                  <c:v>Program change - Hussmann</c:v>
                </c:pt>
              </c:strCache>
            </c:strRef>
          </c:tx>
          <c:spPr>
            <a:solidFill>
              <a:srgbClr val="BF90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[0]!ch8_seg20</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Calc_Charts!$V$541</c:f>
              <c:strCache>
                <c:ptCount val="1"/>
                <c:pt idx="0">
                  <c:v>Wrong program</c:v>
                </c:pt>
              </c:strCache>
            </c:strRef>
          </c:tx>
          <c:spPr>
            <a:solidFill>
              <a:srgbClr val="548235"/>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[0]!ch8_seg21</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Calc_Charts!$W$541</c:f>
              <c:strCache>
                <c:ptCount val="1"/>
              </c:strCache>
            </c:strRef>
          </c:tx>
          <c:spPr>
            <a:solidFill>
              <a:srgbClr val="833C00"/>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[0]!ch8_seg22</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Calc_Charts!$X$541</c:f>
              <c:strCache>
                <c:ptCount val="1"/>
              </c:strCache>
            </c:strRef>
          </c:tx>
          <c:spPr>
            <a:solidFill>
              <a:srgbClr val="7F7F7F"/>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[0]!ch8_seg23</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Calc_Charts!$Y$541</c:f>
              <c:strCache>
                <c:ptCount val="1"/>
              </c:strCache>
            </c:strRef>
          </c:tx>
          <c:spPr>
            <a:solidFill>
              <a:srgbClr val="3B3838"/>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[0]!ch8_seg24</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Calc_Charts!$Z$541</c:f>
              <c:strCache>
                <c:ptCount val="1"/>
              </c:strCache>
            </c:strRef>
          </c:tx>
          <c:spPr>
            <a:solidFill>
              <a:srgbClr val="8FAADC"/>
            </a:solidFill>
            <a:ln>
              <a:prstDash val="solid"/>
            </a:ln>
          </c:spPr>
          <c:invertIfNegative val="1"/>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[0]!ch8_seg25</c:f>
              <c:numCache>
                <c:formatCode>General</c:formatCode>
                <c:ptCount val="8"/>
                <c:pt idx="0">
                  <c:v>0</c:v>
                </c:pt>
                <c:pt idx="1">
                  <c:v>0</c:v>
                </c:pt>
                <c:pt idx="2">
                  <c:v>0</c:v>
                </c:pt>
                <c:pt idx="3">
                  <c:v>0</c:v>
                </c:pt>
                <c:pt idx="4">
                  <c:v>0</c:v>
                </c:pt>
                <c:pt idx="5">
                  <c:v>0</c:v>
                </c:pt>
                <c:pt idx="6">
                  <c:v>0</c:v>
                </c:pt>
                <c:pt idx="7">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ln>
              <a:prstDash val="solid"/>
            </a:ln>
          </c:spPr>
          <c:invertIfNegative val="1"/>
          <c:dPt>
            <c:idx val="0"/>
            <c:invertIfNegative val="1"/>
            <c:bubble3D val="0"/>
            <c:spPr>
              <a:noFill/>
              <a:ln w="19050">
                <a:solidFill>
                  <a:srgbClr val="70AD47"/>
                </a:solidFill>
                <a:prstDash val="solid"/>
              </a:ln>
            </c:spPr>
            <c:extLst xmlns:c16r2="http://schemas.microsoft.com/office/drawing/2015/06/chart">
              <c:ext xmlns:c16="http://schemas.microsoft.com/office/drawing/2014/chart" uri="{C3380CC4-5D6E-409C-BE32-E72D297353CC}">
                <c16:uniqueId val="{0000001A-7CE7-4889-A92F-1B65D8EAFA08}"/>
              </c:ext>
            </c:extLst>
          </c:dPt>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[0]!ch8_before</c:f>
              <c:numCache>
                <c:formatCode>General</c:formatCode>
                <c:ptCount val="8"/>
                <c:pt idx="0">
                  <c:v>8</c:v>
                </c:pt>
                <c:pt idx="1">
                  <c:v>3</c:v>
                </c:pt>
                <c:pt idx="2">
                  <c:v>2</c:v>
                </c:pt>
                <c:pt idx="3">
                  <c:v>2</c:v>
                </c:pt>
                <c:pt idx="4">
                  <c:v>1</c:v>
                </c:pt>
                <c:pt idx="5">
                  <c:v>0</c:v>
                </c:pt>
                <c:pt idx="6">
                  <c:v>1</c:v>
                </c:pt>
                <c:pt idx="7">
                  <c:v>1</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07108352"/>
        <c:axId val="207126912"/>
      </c:barChart>
      <c:lineChart>
        <c:grouping val="standard"/>
        <c:varyColors val="1"/>
        <c:ser>
          <c:idx val="26"/>
          <c:order val="26"/>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[0]!ch8_total</c:f>
              <c:numCache>
                <c:formatCode>General</c:formatCode>
                <c:ptCount val="8"/>
                <c:pt idx="0">
                  <c:v>8</c:v>
                </c:pt>
                <c:pt idx="1">
                  <c:v>3</c:v>
                </c:pt>
                <c:pt idx="2">
                  <c:v>3</c:v>
                </c:pt>
                <c:pt idx="3">
                  <c:v>2</c:v>
                </c:pt>
                <c:pt idx="4">
                  <c:v>2</c:v>
                </c:pt>
                <c:pt idx="5">
                  <c:v>1</c:v>
                </c:pt>
                <c:pt idx="6">
                  <c:v>1</c:v>
                </c:pt>
                <c:pt idx="7">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07108352"/>
        <c:axId val="207126912"/>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[0]!ch8_cats</c:f>
              <c:strCache>
                <c:ptCount val="8"/>
                <c:pt idx="0">
                  <c:v>Doors</c:v>
                </c:pt>
                <c:pt idx="1">
                  <c:v>Communication problem</c:v>
                </c:pt>
                <c:pt idx="2">
                  <c:v>High Store RH</c:v>
                </c:pt>
                <c:pt idx="3">
                  <c:v>Component Failure</c:v>
                </c:pt>
                <c:pt idx="4">
                  <c:v>False Alarm</c:v>
                </c:pt>
                <c:pt idx="5">
                  <c:v>Overstocking</c:v>
                </c:pt>
                <c:pt idx="6">
                  <c:v>Freedom</c:v>
                </c:pt>
                <c:pt idx="7">
                  <c:v>Unknown</c:v>
                </c:pt>
              </c:strCache>
            </c:strRef>
          </c:cat>
          <c:val>
            <c:numRef>
              <c:f>[0]!ch8_after</c:f>
              <c:numCache>
                <c:formatCode>General</c:formatCode>
                <c:ptCount val="8"/>
                <c:pt idx="0">
                  <c:v>0</c:v>
                </c:pt>
                <c:pt idx="1">
                  <c:v>0</c:v>
                </c:pt>
                <c:pt idx="2">
                  <c:v>1</c:v>
                </c:pt>
                <c:pt idx="3">
                  <c:v>0</c:v>
                </c:pt>
                <c:pt idx="4">
                  <c:v>1</c:v>
                </c:pt>
                <c:pt idx="5">
                  <c:v>1</c:v>
                </c:pt>
                <c:pt idx="6">
                  <c:v>0</c:v>
                </c:pt>
                <c:pt idx="7">
                  <c:v>0</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07108352"/>
        <c:axId val="207126912"/>
      </c:lineChart>
      <c:catAx>
        <c:axId val="207108352"/>
        <c:scaling>
          <c:orientation val="minMax"/>
        </c:scaling>
        <c:delete val="0"/>
        <c:axPos val="b"/>
        <c:title>
          <c:tx>
            <c:rich>
              <a:bodyPr/>
              <a:lstStyle/>
              <a:p>
                <a:pPr>
                  <a:defRPr/>
                </a:pPr>
                <a:r>
                  <a:rPr lang="en-US"/>
                  <a:t>Root cause</a:t>
                </a:r>
              </a:p>
            </c:rich>
          </c:tx>
          <c:layout/>
          <c:overlay val="1"/>
        </c:title>
        <c:numFmt formatCode="General" sourceLinked="0"/>
        <c:majorTickMark val="none"/>
        <c:minorTickMark val="none"/>
        <c:tickLblPos val="nextTo"/>
        <c:txPr>
          <a:bodyPr rot="-2700000" vert="horz"/>
          <a:lstStyle/>
          <a:p>
            <a:pPr>
              <a:defRPr/>
            </a:pPr>
            <a:endParaRPr lang="en-US"/>
          </a:p>
        </c:txPr>
        <c:crossAx val="207126912"/>
        <c:crosses val="autoZero"/>
        <c:auto val="1"/>
        <c:lblAlgn val="ctr"/>
        <c:lblOffset val="100"/>
        <c:noMultiLvlLbl val="1"/>
      </c:catAx>
      <c:valAx>
        <c:axId val="207126912"/>
        <c:scaling>
          <c:orientation val="minMax"/>
        </c:scaling>
        <c:delete val="0"/>
        <c:axPos val="l"/>
        <c:title>
          <c:tx>
            <c:rich>
              <a:bodyPr/>
              <a:lstStyle/>
              <a:p>
                <a:pPr>
                  <a:defRPr/>
                </a:pPr>
                <a:r>
                  <a:rPr lang="en-US"/>
                  <a:t>Number of issues</a:t>
                </a:r>
              </a:p>
            </c:rich>
          </c:tx>
          <c:layout/>
          <c:overlay val="1"/>
        </c:title>
        <c:numFmt formatCode="General" sourceLinked="1"/>
        <c:majorTickMark val="none"/>
        <c:minorTickMark val="none"/>
        <c:tickLblPos val="nextTo"/>
        <c:crossAx val="207108352"/>
        <c:crosses val="autoZero"/>
        <c:crossBetween val="between"/>
      </c:valAx>
    </c:plotArea>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Calc_Charts!$B$724</c:f>
          <c:strCache>
            <c:ptCount val="1"/>
            <c:pt idx="0">
              <c:v>RMN4MA - issues after vs before clean point (Jun 1 to Jul 15)</c:v>
            </c:pt>
          </c:strCache>
        </c:strRef>
      </c:tx>
      <c:layout/>
      <c:overlay val="1"/>
      <c:txPr>
        <a:bodyPr/>
        <a:lstStyle/>
        <a:p>
          <a:pPr>
            <a:defRPr sz="1100"/>
          </a:pPr>
          <a:endParaRPr lang="en-US"/>
        </a:p>
      </c:txPr>
    </c:title>
    <c:autoTitleDeleted val="0"/>
    <c:plotArea>
      <c:layout/>
      <c:barChart>
        <c:barDir val="col"/>
        <c:grouping val="stacked"/>
        <c:varyColors val="1"/>
        <c:ser>
          <c:idx val="0"/>
          <c:order val="0"/>
          <c:tx>
            <c:strRef>
              <c:f>Calc_Charts!$B$696</c:f>
              <c:strCache>
                <c:ptCount val="1"/>
                <c:pt idx="0">
                  <c:v>Doors</c:v>
                </c:pt>
              </c:strCache>
            </c:strRef>
          </c:tx>
          <c:spPr>
            <a:solidFill>
              <a:srgbClr val="70AD47"/>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[0]!ch9_seg01</c:f>
              <c:numCache>
                <c:formatCode>General</c:formatCode>
                <c:ptCount val="5"/>
                <c:pt idx="0">
                  <c:v>2</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Calc_Charts!$C$696</c:f>
              <c:strCache>
                <c:ptCount val="1"/>
                <c:pt idx="0">
                  <c:v>False Alarm</c:v>
                </c:pt>
              </c:strCache>
            </c:strRef>
          </c:tx>
          <c:spPr>
            <a:solidFill>
              <a:srgbClr val="FFC000"/>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[0]!ch9_seg02</c:f>
              <c:numCache>
                <c:formatCode>General</c:formatCode>
                <c:ptCount val="5"/>
                <c:pt idx="0">
                  <c:v>0</c:v>
                </c:pt>
                <c:pt idx="1">
                  <c:v>2</c:v>
                </c:pt>
                <c:pt idx="2">
                  <c:v>0</c:v>
                </c:pt>
                <c:pt idx="3">
                  <c:v>0</c:v>
                </c:pt>
                <c:pt idx="4">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Calc_Charts!$D$696</c:f>
              <c:strCache>
                <c:ptCount val="1"/>
                <c:pt idx="0">
                  <c:v>Ref. leak/ Low charge</c:v>
                </c:pt>
              </c:strCache>
            </c:strRef>
          </c:tx>
          <c:spPr>
            <a:solidFill>
              <a:srgbClr val="4472C4"/>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[0]!ch9_seg03</c:f>
              <c:numCache>
                <c:formatCode>General</c:formatCode>
                <c:ptCount val="5"/>
                <c:pt idx="0">
                  <c:v>0</c:v>
                </c:pt>
                <c:pt idx="1">
                  <c:v>0</c:v>
                </c:pt>
                <c:pt idx="2">
                  <c:v>1</c:v>
                </c:pt>
                <c:pt idx="3">
                  <c:v>0</c:v>
                </c:pt>
                <c:pt idx="4">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Calc_Charts!$E$696</c:f>
              <c:strCache>
                <c:ptCount val="1"/>
                <c:pt idx="0">
                  <c:v>DG Installation issue</c:v>
                </c:pt>
              </c:strCache>
            </c:strRef>
          </c:tx>
          <c:spPr>
            <a:solidFill>
              <a:srgbClr val="ED7D31"/>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[0]!ch9_seg04</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Calc_Charts!$F$696</c:f>
              <c:strCache>
                <c:ptCount val="1"/>
                <c:pt idx="0">
                  <c:v>High Store RH</c:v>
                </c:pt>
              </c:strCache>
            </c:strRef>
          </c:tx>
          <c:spPr>
            <a:solidFill>
              <a:srgbClr val="5B9BD5"/>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[0]!ch9_seg05</c:f>
              <c:numCache>
                <c:formatCode>General</c:formatCode>
                <c:ptCount val="5"/>
                <c:pt idx="0">
                  <c:v>0</c:v>
                </c:pt>
                <c:pt idx="1">
                  <c:v>0</c:v>
                </c:pt>
                <c:pt idx="2">
                  <c:v>0</c:v>
                </c:pt>
                <c:pt idx="3">
                  <c:v>0</c:v>
                </c:pt>
                <c:pt idx="4">
                  <c:v>1</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Calc_Charts!$G$696</c:f>
              <c:strCache>
                <c:ptCount val="1"/>
                <c:pt idx="0">
                  <c:v>Drain tube blocked</c:v>
                </c:pt>
              </c:strCache>
            </c:strRef>
          </c:tx>
          <c:spPr>
            <a:solidFill>
              <a:srgbClr val="A5A5A5"/>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[0]!ch9_seg06</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Calc_Charts!$H$696</c:f>
              <c:strCache>
                <c:ptCount val="1"/>
                <c:pt idx="0">
                  <c:v>Wrong / Loose wiring</c:v>
                </c:pt>
              </c:strCache>
            </c:strRef>
          </c:tx>
          <c:spPr>
            <a:solidFill>
              <a:srgbClr val="264478"/>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[0]!ch9_seg07</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Calc_Charts!$I$696</c:f>
              <c:strCache>
                <c:ptCount val="1"/>
                <c:pt idx="0">
                  <c:v>Communication problem</c:v>
                </c:pt>
              </c:strCache>
            </c:strRef>
          </c:tx>
          <c:spPr>
            <a:solidFill>
              <a:srgbClr val="9E480E"/>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[0]!ch9_seg08</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Calc_Charts!$J$696</c:f>
              <c:strCache>
                <c:ptCount val="1"/>
                <c:pt idx="0">
                  <c:v>Enclosure Seal</c:v>
                </c:pt>
              </c:strCache>
            </c:strRef>
          </c:tx>
          <c:spPr>
            <a:solidFill>
              <a:srgbClr val="636363"/>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[0]!ch9_seg09</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Calc_Charts!$K$696</c:f>
              <c:strCache>
                <c:ptCount val="1"/>
                <c:pt idx="0">
                  <c:v>Component Failure</c:v>
                </c:pt>
              </c:strCache>
            </c:strRef>
          </c:tx>
          <c:spPr>
            <a:solidFill>
              <a:srgbClr val="997300"/>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[0]!ch9_seg10</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Calc_Charts!$L$696</c:f>
              <c:strCache>
                <c:ptCount val="1"/>
                <c:pt idx="0">
                  <c:v>Defrost Sync</c:v>
                </c:pt>
              </c:strCache>
            </c:strRef>
          </c:tx>
          <c:spPr>
            <a:solidFill>
              <a:srgbClr val="255E91"/>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[0]!ch9_seg11</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Calc_Charts!$M$696</c:f>
              <c:strCache>
                <c:ptCount val="1"/>
                <c:pt idx="0">
                  <c:v>Setpoint change</c:v>
                </c:pt>
              </c:strCache>
            </c:strRef>
          </c:tx>
          <c:spPr>
            <a:solidFill>
              <a:srgbClr val="43682B"/>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[0]!ch9_seg12</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Calc_Charts!$N$696</c:f>
              <c:strCache>
                <c:ptCount val="1"/>
                <c:pt idx="0">
                  <c:v>Overstocking</c:v>
                </c:pt>
              </c:strCache>
            </c:strRef>
          </c:tx>
          <c:spPr>
            <a:solidFill>
              <a:srgbClr val="698ED0"/>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[0]!ch9_seg13</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Calc_Charts!$O$696</c:f>
              <c:strCache>
                <c:ptCount val="1"/>
                <c:pt idx="0">
                  <c:v>Case End Seal</c:v>
                </c:pt>
              </c:strCache>
            </c:strRef>
          </c:tx>
          <c:spPr>
            <a:solidFill>
              <a:srgbClr val="F1975A"/>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[0]!ch9_seg14</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Calc_Charts!$P$696</c:f>
              <c:strCache>
                <c:ptCount val="1"/>
                <c:pt idx="0">
                  <c:v>Return Air blocked</c:v>
                </c:pt>
              </c:strCache>
            </c:strRef>
          </c:tx>
          <c:spPr>
            <a:solidFill>
              <a:srgbClr val="B7B7B7"/>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[0]!ch9_seg15</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Calc_Charts!$Q$696</c:f>
              <c:strCache>
                <c:ptCount val="1"/>
                <c:pt idx="0">
                  <c:v>Unidentified air leak</c:v>
                </c:pt>
              </c:strCache>
            </c:strRef>
          </c:tx>
          <c:spPr>
            <a:solidFill>
              <a:srgbClr val="1F4E79"/>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[0]!ch9_seg16</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Calc_Charts!$R$696</c:f>
              <c:strCache>
                <c:ptCount val="1"/>
                <c:pt idx="0">
                  <c:v>Freedom</c:v>
                </c:pt>
              </c:strCache>
            </c:strRef>
          </c:tx>
          <c:spPr>
            <a:solidFill>
              <a:srgbClr val="C00000"/>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[0]!ch9_seg17</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Calc_Charts!$S$696</c:f>
              <c:strCache>
                <c:ptCount val="1"/>
                <c:pt idx="0">
                  <c:v>Heavy case load</c:v>
                </c:pt>
              </c:strCache>
            </c:strRef>
          </c:tx>
          <c:spPr>
            <a:solidFill>
              <a:srgbClr val="7030A0"/>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[0]!ch9_seg18</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Calc_Charts!$T$696</c:f>
              <c:strCache>
                <c:ptCount val="1"/>
                <c:pt idx="0">
                  <c:v>Unknown</c:v>
                </c:pt>
              </c:strCache>
            </c:strRef>
          </c:tx>
          <c:spPr>
            <a:solidFill>
              <a:srgbClr val="2E75B6"/>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[0]!ch9_seg19</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Calc_Charts!$U$696</c:f>
              <c:strCache>
                <c:ptCount val="1"/>
                <c:pt idx="0">
                  <c:v>Program change - Hussmann</c:v>
                </c:pt>
              </c:strCache>
            </c:strRef>
          </c:tx>
          <c:spPr>
            <a:solidFill>
              <a:srgbClr val="BF9000"/>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[0]!ch9_seg20</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Calc_Charts!$V$696</c:f>
              <c:strCache>
                <c:ptCount val="1"/>
                <c:pt idx="0">
                  <c:v>Wrong program</c:v>
                </c:pt>
              </c:strCache>
            </c:strRef>
          </c:tx>
          <c:spPr>
            <a:solidFill>
              <a:srgbClr val="548235"/>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[0]!ch9_seg21</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Calc_Charts!$W$696</c:f>
              <c:strCache>
                <c:ptCount val="1"/>
              </c:strCache>
            </c:strRef>
          </c:tx>
          <c:spPr>
            <a:solidFill>
              <a:srgbClr val="833C00"/>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[0]!ch9_seg22</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Calc_Charts!$X$696</c:f>
              <c:strCache>
                <c:ptCount val="1"/>
              </c:strCache>
            </c:strRef>
          </c:tx>
          <c:spPr>
            <a:solidFill>
              <a:srgbClr val="7F7F7F"/>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[0]!ch9_seg23</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Calc_Charts!$Y$696</c:f>
              <c:strCache>
                <c:ptCount val="1"/>
              </c:strCache>
            </c:strRef>
          </c:tx>
          <c:spPr>
            <a:solidFill>
              <a:srgbClr val="3B3838"/>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[0]!ch9_seg24</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Calc_Charts!$Z$696</c:f>
              <c:strCache>
                <c:ptCount val="1"/>
              </c:strCache>
            </c:strRef>
          </c:tx>
          <c:spPr>
            <a:solidFill>
              <a:srgbClr val="8FAADC"/>
            </a:solidFill>
            <a:ln>
              <a:prstDash val="solid"/>
            </a:ln>
          </c:spPr>
          <c:invertIfNegative val="1"/>
          <c:cat>
            <c:strRef>
              <c:f>[0]!ch9_cats</c:f>
              <c:strCache>
                <c:ptCount val="5"/>
                <c:pt idx="0">
                  <c:v>Doors</c:v>
                </c:pt>
                <c:pt idx="1">
                  <c:v>False Alarm</c:v>
                </c:pt>
                <c:pt idx="2">
                  <c:v>Ref. leak/ Low charge</c:v>
                </c:pt>
                <c:pt idx="3">
                  <c:v>DG Installation issue</c:v>
                </c:pt>
                <c:pt idx="4">
                  <c:v>High Store RH</c:v>
                </c:pt>
              </c:strCache>
            </c:strRef>
          </c:cat>
          <c:val>
            <c:numRef>
              <c:f>[0]!ch9_seg25</c:f>
              <c:numCache>
                <c:formatCode>General</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ln>
              <a:prstDash val="solid"/>
            </a:ln>
          </c:spPr>
          <c:invertIfNegative val="1"/>
          <c:dPt>
            <c:idx val="0"/>
            <c:invertIfNegative val="1"/>
            <c:bubble3D val="0"/>
            <c:spPr>
              <a:noFill/>
              <a:ln w="19050">
                <a:solidFill>
                  <a:srgbClr val="70AD47"/>
                </a:solidFill>
                <a:prstDash val="solid"/>
              </a:ln>
            </c:spPr>
            <c:extLst xmlns:c16r2="http://schemas.microsoft.com/office/drawing/2015/06/chart">
              <c:ext xmlns:c16="http://schemas.microsoft.com/office/drawing/2014/chart" uri="{C3380CC4-5D6E-409C-BE32-E72D297353CC}">
                <c16:uniqueId val="{0000001A-7CE7-4889-A92F-1B65D8EAFA08}"/>
              </c:ext>
            </c:extLst>
          </c:dPt>
          <c:dPt>
            <c:idx val="1"/>
            <c:invertIfNegative val="1"/>
            <c:bubble3D val="0"/>
            <c:spPr>
              <a:noFill/>
              <a:ln w="19050">
                <a:solidFill>
                  <a:srgbClr val="FFC000"/>
                </a:solidFill>
                <a:prstDash val="solid"/>
              </a:ln>
            </c:spPr>
            <c:extLst xmlns:c16r2="http://schemas.microsoft.com/office/drawing/2015/06/chart">
              <c:ext xmlns:c16="http://schemas.microsoft.com/office/drawing/2014/chart" uri="{C3380CC4-5D6E-409C-BE32-E72D297353CC}">
                <c16:uniqueId val="{0000001C-7CE7-4889-A92F-1B65D8EAFA08}"/>
              </c:ext>
            </c:extLst>
          </c:dPt>
          <c:dPt>
            <c:idx val="2"/>
            <c:invertIfNegative val="1"/>
            <c:bubble3D val="0"/>
            <c:spPr>
              <a:noFill/>
              <a:ln w="19050">
                <a:solidFill>
                  <a:srgbClr val="4472C4"/>
                </a:solidFill>
                <a:prstDash val="solid"/>
              </a:ln>
            </c:spPr>
            <c:extLst xmlns:c16r2="http://schemas.microsoft.com/office/drawing/2015/06/chart">
              <c:ext xmlns:c16="http://schemas.microsoft.com/office/drawing/2014/chart" uri="{C3380CC4-5D6E-409C-BE32-E72D297353CC}">
                <c16:uniqueId val="{0000001E-7CE7-4889-A92F-1B65D8EAFA08}"/>
              </c:ext>
            </c:extLst>
          </c:dPt>
          <c:dPt>
            <c:idx val="3"/>
            <c:invertIfNegative val="1"/>
            <c:bubble3D val="0"/>
            <c:spPr>
              <a:noFill/>
              <a:ln w="19050">
                <a:solidFill>
                  <a:srgbClr val="ED7D31"/>
                </a:solidFill>
                <a:prstDash val="solid"/>
              </a:ln>
            </c:spPr>
            <c:extLst xmlns:c16r2="http://schemas.microsoft.com/office/drawing/2015/06/chart">
              <c:ext xmlns:c16="http://schemas.microsoft.com/office/drawing/2014/chart" uri="{C3380CC4-5D6E-409C-BE32-E72D297353CC}">
                <c16:uniqueId val="{00000020-7CE7-4889-A92F-1B65D8EAFA08}"/>
              </c:ext>
            </c:extLst>
          </c:dPt>
          <c:dPt>
            <c:idx val="4"/>
            <c:invertIfNegative val="1"/>
            <c:bubble3D val="0"/>
            <c:spPr>
              <a:noFill/>
              <a:ln w="19050">
                <a:solidFill>
                  <a:srgbClr val="5B9BD5"/>
                </a:solidFill>
                <a:prstDash val="solid"/>
              </a:ln>
            </c:spPr>
            <c:extLst xmlns:c16r2="http://schemas.microsoft.com/office/drawing/2015/06/chart">
              <c:ext xmlns:c16="http://schemas.microsoft.com/office/drawing/2014/chart" uri="{C3380CC4-5D6E-409C-BE32-E72D297353CC}">
                <c16:uniqueId val="{00000022-7CE7-4889-A92F-1B65D8EAFA08}"/>
              </c:ext>
            </c:extLst>
          </c:dPt>
          <c:cat>
            <c:strRef>
              <c:f>[0]!ch9_cats</c:f>
              <c:strCache>
                <c:ptCount val="5"/>
                <c:pt idx="0">
                  <c:v>Doors</c:v>
                </c:pt>
                <c:pt idx="1">
                  <c:v>False Alarm</c:v>
                </c:pt>
                <c:pt idx="2">
                  <c:v>Ref. leak/ Low charge</c:v>
                </c:pt>
                <c:pt idx="3">
                  <c:v>DG Installation issue</c:v>
                </c:pt>
                <c:pt idx="4">
                  <c:v>High Store RH</c:v>
                </c:pt>
              </c:strCache>
            </c:strRef>
          </c:cat>
          <c:val>
            <c:numRef>
              <c:f>[0]!ch9_before</c:f>
              <c:numCache>
                <c:formatCode>General</c:formatCode>
                <c:ptCount val="5"/>
                <c:pt idx="0">
                  <c:v>3</c:v>
                </c:pt>
                <c:pt idx="1">
                  <c:v>2</c:v>
                </c:pt>
                <c:pt idx="2">
                  <c:v>1</c:v>
                </c:pt>
                <c:pt idx="3">
                  <c:v>2</c:v>
                </c:pt>
                <c:pt idx="4">
                  <c:v>0</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07291136"/>
        <c:axId val="207293056"/>
      </c:barChart>
      <c:lineChart>
        <c:grouping val="standard"/>
        <c:varyColors val="1"/>
        <c:ser>
          <c:idx val="26"/>
          <c:order val="26"/>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[0]!ch9_cats</c:f>
              <c:strCache>
                <c:ptCount val="5"/>
                <c:pt idx="0">
                  <c:v>Doors</c:v>
                </c:pt>
                <c:pt idx="1">
                  <c:v>False Alarm</c:v>
                </c:pt>
                <c:pt idx="2">
                  <c:v>Ref. leak/ Low charge</c:v>
                </c:pt>
                <c:pt idx="3">
                  <c:v>DG Installation issue</c:v>
                </c:pt>
                <c:pt idx="4">
                  <c:v>High Store RH</c:v>
                </c:pt>
              </c:strCache>
            </c:strRef>
          </c:cat>
          <c:val>
            <c:numRef>
              <c:f>[0]!ch9_total</c:f>
              <c:numCache>
                <c:formatCode>General</c:formatCode>
                <c:ptCount val="5"/>
                <c:pt idx="0">
                  <c:v>5</c:v>
                </c:pt>
                <c:pt idx="1">
                  <c:v>4</c:v>
                </c:pt>
                <c:pt idx="2">
                  <c:v>2</c:v>
                </c:pt>
                <c:pt idx="3">
                  <c:v>2</c:v>
                </c:pt>
                <c:pt idx="4">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07291136"/>
        <c:axId val="207293056"/>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[0]!ch9_cats</c:f>
              <c:strCache>
                <c:ptCount val="5"/>
                <c:pt idx="0">
                  <c:v>Doors</c:v>
                </c:pt>
                <c:pt idx="1">
                  <c:v>False Alarm</c:v>
                </c:pt>
                <c:pt idx="2">
                  <c:v>Ref. leak/ Low charge</c:v>
                </c:pt>
                <c:pt idx="3">
                  <c:v>DG Installation issue</c:v>
                </c:pt>
                <c:pt idx="4">
                  <c:v>High Store RH</c:v>
                </c:pt>
              </c:strCache>
            </c:strRef>
          </c:cat>
          <c:val>
            <c:numRef>
              <c:f>[0]!ch9_after</c:f>
              <c:numCache>
                <c:formatCode>General</c:formatCode>
                <c:ptCount val="5"/>
                <c:pt idx="0">
                  <c:v>2</c:v>
                </c:pt>
                <c:pt idx="1">
                  <c:v>2</c:v>
                </c:pt>
                <c:pt idx="2">
                  <c:v>1</c:v>
                </c:pt>
                <c:pt idx="3">
                  <c:v>0</c:v>
                </c:pt>
                <c:pt idx="4">
                  <c:v>1</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07291136"/>
        <c:axId val="207293056"/>
      </c:lineChart>
      <c:catAx>
        <c:axId val="207291136"/>
        <c:scaling>
          <c:orientation val="minMax"/>
        </c:scaling>
        <c:delete val="0"/>
        <c:axPos val="b"/>
        <c:title>
          <c:tx>
            <c:rich>
              <a:bodyPr/>
              <a:lstStyle/>
              <a:p>
                <a:pPr>
                  <a:defRPr/>
                </a:pPr>
                <a:r>
                  <a:rPr lang="en-US"/>
                  <a:t>Root cause</a:t>
                </a:r>
              </a:p>
            </c:rich>
          </c:tx>
          <c:layout/>
          <c:overlay val="1"/>
        </c:title>
        <c:numFmt formatCode="General" sourceLinked="0"/>
        <c:majorTickMark val="none"/>
        <c:minorTickMark val="none"/>
        <c:tickLblPos val="nextTo"/>
        <c:txPr>
          <a:bodyPr rot="-2700000" vert="horz"/>
          <a:lstStyle/>
          <a:p>
            <a:pPr>
              <a:defRPr/>
            </a:pPr>
            <a:endParaRPr lang="en-US"/>
          </a:p>
        </c:txPr>
        <c:crossAx val="207293056"/>
        <c:crosses val="autoZero"/>
        <c:auto val="1"/>
        <c:lblAlgn val="ctr"/>
        <c:lblOffset val="100"/>
        <c:noMultiLvlLbl val="1"/>
      </c:catAx>
      <c:valAx>
        <c:axId val="207293056"/>
        <c:scaling>
          <c:orientation val="minMax"/>
        </c:scaling>
        <c:delete val="0"/>
        <c:axPos val="l"/>
        <c:title>
          <c:tx>
            <c:rich>
              <a:bodyPr/>
              <a:lstStyle/>
              <a:p>
                <a:pPr>
                  <a:defRPr/>
                </a:pPr>
                <a:r>
                  <a:rPr lang="en-US"/>
                  <a:t>Number of issues</a:t>
                </a:r>
              </a:p>
            </c:rich>
          </c:tx>
          <c:layout/>
          <c:overlay val="1"/>
        </c:title>
        <c:numFmt formatCode="General" sourceLinked="1"/>
        <c:majorTickMark val="none"/>
        <c:minorTickMark val="none"/>
        <c:tickLblPos val="nextTo"/>
        <c:crossAx val="207291136"/>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0</xdr:col>
      <xdr:colOff>254000</xdr:colOff>
      <xdr:row>8</xdr:row>
      <xdr:rowOff>157480</xdr:rowOff>
    </xdr:from>
    <xdr:ext cx="5842000" cy="3556000"/>
    <xdr:graphicFrame macro="">
      <xdr:nvGraphicFramePr>
        <xdr:cNvPr id="2" name="Chart 1 - Root Caus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335280</xdr:colOff>
      <xdr:row>8</xdr:row>
      <xdr:rowOff>157480</xdr:rowOff>
    </xdr:from>
    <xdr:ext cx="7112000" cy="3556000"/>
    <xdr:graphicFrame macro="">
      <xdr:nvGraphicFramePr>
        <xdr:cNvPr id="3" name="Chart 2 - Commission Week"/>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254000</xdr:colOff>
      <xdr:row>31</xdr:row>
      <xdr:rowOff>63500</xdr:rowOff>
    </xdr:from>
    <xdr:ext cx="5842000" cy="3556000"/>
    <xdr:graphicFrame macro="">
      <xdr:nvGraphicFramePr>
        <xdr:cNvPr id="4" name="Chart 3 - After Clean"/>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6</xdr:col>
      <xdr:colOff>335280</xdr:colOff>
      <xdr:row>31</xdr:row>
      <xdr:rowOff>63500</xdr:rowOff>
    </xdr:from>
    <xdr:ext cx="7112000" cy="3556000"/>
    <xdr:graphicFrame macro="">
      <xdr:nvGraphicFramePr>
        <xdr:cNvPr id="5" name="Chart 4 - Call Week"/>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254000</xdr:colOff>
      <xdr:row>53</xdr:row>
      <xdr:rowOff>144780</xdr:rowOff>
    </xdr:from>
    <xdr:ext cx="7112000" cy="3810000"/>
    <xdr:graphicFrame macro="">
      <xdr:nvGraphicFramePr>
        <xdr:cNvPr id="6" name="Chart 5 - Before Afte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8</xdr:col>
      <xdr:colOff>264160</xdr:colOff>
      <xdr:row>53</xdr:row>
      <xdr:rowOff>144780</xdr:rowOff>
    </xdr:from>
    <xdr:ext cx="5842000" cy="3810000"/>
    <xdr:graphicFrame macro="">
      <xdr:nvGraphicFramePr>
        <xdr:cNvPr id="7" name="Chart 6 - Nomenclatur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254000</xdr:colOff>
      <xdr:row>77</xdr:row>
      <xdr:rowOff>2540</xdr:rowOff>
    </xdr:from>
    <xdr:ext cx="7112000" cy="3810000"/>
    <xdr:graphicFrame macro="">
      <xdr:nvGraphicFramePr>
        <xdr:cNvPr id="8" name="Chart 7 - RLN3MA"/>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8</xdr:col>
      <xdr:colOff>264160</xdr:colOff>
      <xdr:row>77</xdr:row>
      <xdr:rowOff>2540</xdr:rowOff>
    </xdr:from>
    <xdr:ext cx="7112000" cy="3810000"/>
    <xdr:graphicFrame macro="">
      <xdr:nvGraphicFramePr>
        <xdr:cNvPr id="9" name="Chart 8 - RLN2MA"/>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0</xdr:col>
      <xdr:colOff>254000</xdr:colOff>
      <xdr:row>100</xdr:row>
      <xdr:rowOff>35560</xdr:rowOff>
    </xdr:from>
    <xdr:ext cx="7112000" cy="3810000"/>
    <xdr:graphicFrame macro="">
      <xdr:nvGraphicFramePr>
        <xdr:cNvPr id="10" name="Chart 9 - RMN4MA"/>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wsDr>
</file>

<file path=xl/tables/table1.xml><?xml version="1.0" encoding="utf-8"?>
<table xmlns="http://schemas.openxmlformats.org/spreadsheetml/2006/main" id="2" name="tblSummary" displayName="tblSummary" ref="A4:I241" totalsRowShown="0">
  <autoFilter ref="A4:I241">
    <filterColumn colId="0">
      <filters>
        <dateGroupItem year="2026" month="6" dateTimeGrouping="month"/>
        <dateGroupItem year="2026" month="7" dateTimeGrouping="month"/>
      </filters>
    </filterColumn>
    <filterColumn colId="7">
      <filters>
        <filter val="RLN3MA / MY26B01382"/>
        <filter val="RLN3MA / MY26B013826"/>
        <filter val="RLN3MA / MY26B016010"/>
        <filter val="RLN3MA / MY26B016014"/>
        <filter val="RLN3MA / MY26B016491"/>
        <filter val="RLN3MA / MY26B016492"/>
        <filter val="RLN3MA / MY26B016493"/>
        <filter val="RLN3MA / MY26C025307"/>
        <filter val="RLN3MA / MY26D028107"/>
        <filter val="RLN3MA / MY26D028108"/>
        <filter val="RLN3MA / MY26D032603"/>
        <filter val="RLN3MA / MY26E034942"/>
        <filter val="RLN3MA / MY26E039362"/>
        <filter val="RLN3MA / MY26E039365"/>
        <filter val="RLN3MA / MY26F047534"/>
        <filter val="RLN3MA / MY26F047544"/>
        <filter val="RLN3MA / MY26F047552"/>
        <filter val="RLN3MA MY26E039361"/>
        <filter val="RLN3MA/ MY26D032603"/>
        <filter val="RLN3MA/MY26B016006"/>
        <filter val="RLN3MA/MY26B016018"/>
        <filter val="RLN3MA/MY26B016036"/>
        <filter val="RLN3MA/MY26B016493"/>
        <filter val="RLN3MA/MY26B016495"/>
        <filter val="RLN3MA/MY26B016502, MY26B016013, RLN4MA/MY26B014967"/>
        <filter val="RLN3MA/MY26D028107"/>
        <filter val="RLN3MA/MY26D028108"/>
        <filter val="RMN3MA / MY26C025322"/>
        <filter val="RMN3MA / MY26E039395"/>
        <filter val="RMN3MA MY26C025312"/>
        <filter val="RMN3MA/MY26B016480"/>
        <filter val="RMN3MA/MY26D026813"/>
        <filter val="RMN3MA/MY26D026820"/>
      </filters>
    </filterColumn>
  </autoFilter>
  <tableColumns count="9">
    <tableColumn id="1" name="Call Date"/>
    <tableColumn id="2" name="Work Order"/>
    <tableColumn id="3" name="Store"/>
    <tableColumn id="4" name="Commission Date"/>
    <tableColumn id="5" name="Root Cause"/>
    <tableColumn id="6" name="Notes"/>
    <tableColumn id="7" name="After Clean Point">
      <calculatedColumnFormula>IF($E5="","",IFERROR(IF(OR(NOT(ISNUMBER($D5)),NOT(ISNUMBER(INDEX(Settings!$E$4:$E$80,MATCH($E5,Settings!$A$4:$A$80,0))))),"No",IF($D5&gt;INDEX(Settings!$E$4:$E$80,MATCH($E5,Settings!$A$4:$A$80,0)),"Yes","No")),""))</calculatedColumnFormula>
    </tableColumn>
    <tableColumn id="8" name="Case Serial (from Raw)"/>
    <tableColumn id="9" name="Column1"/>
  </tableColumns>
  <tableStyleInfo name="TableStyleMedium2" showFirstColumn="0" showLastColumn="0" showRowStripes="1" showColumnStripes="0"/>
</table>
</file>

<file path=xl/tables/table2.xml><?xml version="1.0" encoding="utf-8"?>
<table xmlns="http://schemas.openxmlformats.org/spreadsheetml/2006/main" id="1" name="tblRaw" displayName="tblRaw" ref="A4:V169" totalsRowShown="0" headerRowDxfId="29" dataDxfId="28">
  <autoFilter ref="A4:V169"/>
  <tableColumns count="22">
    <tableColumn id="1" name="(Do Not Modify) WO Number" dataDxfId="27"/>
    <tableColumn id="2" name="(Do Not Modify) Row Checksum" dataDxfId="26"/>
    <tableColumn id="3" name="(Do Not Modify) Modified On" dataDxfId="25"/>
    <tableColumn id="4" name="DATE" dataDxfId="24"/>
    <tableColumn id="5" name="APRILS NOTES" dataDxfId="23"/>
    <tableColumn id="6" name="STATUS" dataDxfId="22"/>
    <tableColumn id="7" name="COMPLETED DATE" dataDxfId="21"/>
    <tableColumn id="8" name="BOS WORK ORDER" dataDxfId="20"/>
    <tableColumn id="9" name="BRANCH" dataDxfId="19"/>
    <tableColumn id="10" name="STORE" dataDxfId="18"/>
    <tableColumn id="11" name="CITY" dataDxfId="17"/>
    <tableColumn id="12" name="STATE" dataDxfId="16"/>
    <tableColumn id="13" name="PO " dataDxfId="15"/>
    <tableColumn id="14" name="CALLER" dataDxfId="14"/>
    <tableColumn id="15" name="PROBLEM CATEGORY" dataDxfId="13"/>
    <tableColumn id="16" name="REPLACEMENT PARTS" dataDxfId="12"/>
    <tableColumn id="17" name="NON-WARRANTY   BILLABLE" dataDxfId="11"/>
    <tableColumn id="18" name="FR SUBMITTED   YES/NO" dataDxfId="10"/>
    <tableColumn id="19" name="CASE MODEL/SERIAL NUMBER" dataDxfId="9"/>
    <tableColumn id="20" name="PICTURES  BOS" dataDxfId="8"/>
    <tableColumn id="21" name="Job Scope" dataDxfId="7"/>
    <tableColumn id="22" name="WORK SUMMARY" dataDxfId="6"/>
  </tableColumns>
  <tableStyleInfo name="TableStyleMedium2" showFirstColumn="0" showLastColumn="0" showRowStripes="1" showColumnStripes="0"/>
</table>
</file>

<file path=xl/tables/table3.xml><?xml version="1.0" encoding="utf-8"?>
<table xmlns="http://schemas.openxmlformats.org/spreadsheetml/2006/main" id="3" name="tblRootCauses" displayName="tblRootCauses" ref="A3:I59" totalsRowShown="0" headerRowDxfId="5">
  <tableColumns count="9">
    <tableColumn id="1" name="Root Cause"/>
    <tableColumn id="2" name="Group"/>
    <tableColumn id="3" name="Owner"/>
    <tableColumn id="4" name="Status"/>
    <tableColumn id="5" name="Clean-Point Date"/>
    <tableColumn id="6" name="Clean-Point Serial"/>
    <tableColumn id="7" name="Display Order"/>
    <tableColumn id="8" name="Cause Color (hex)"/>
    <tableColumn id="9" name="Group Color (hex)"/>
  </tableColumns>
  <tableStyleInfo name="TableStyleMedium2" showFirstColumn="0" showLastColumn="0" showRowStripes="1" showColumnStripes="0"/>
</table>
</file>

<file path=xl/tables/table4.xml><?xml version="1.0" encoding="utf-8"?>
<table xmlns="http://schemas.openxmlformats.org/spreadsheetml/2006/main" id="5" name="tblStores" displayName="tblStores" ref="A3:E173" totalsRowShown="0">
  <autoFilter ref="A3:E173"/>
  <sortState ref="A4:E73">
    <sortCondition ref="D3:D73"/>
  </sortState>
  <tableColumns count="5">
    <tableColumn id="1" name="DG Store #" dataDxfId="4"/>
    <tableColumn id="2" name="Store Commission Date" dataDxfId="3"/>
    <tableColumn id="3" name="City" dataDxfId="2"/>
    <tableColumn id="4" name="State" dataDxfId="1"/>
    <tableColumn id="5" name="Notes" dataDxfId="0"/>
  </tableColumns>
  <tableStyleInfo name="TableStyleMedium2" showFirstColumn="0" showLastColumn="0" showRowStripes="1" showColumnStripes="0"/>
</table>
</file>

<file path=xl/tables/table5.xml><?xml version="1.0" encoding="utf-8"?>
<table xmlns="http://schemas.openxmlformats.org/spreadsheetml/2006/main" id="4" name="tblCounts" displayName="tblCounts" ref="A3:F59" totalsRowShown="0">
  <tableColumns count="6">
    <tableColumn id="1" name="Root Cause"/>
    <tableColumn id="2" name="Group"/>
    <tableColumn id="3" name="Total Lines"/>
    <tableColumn id="4" name="Visible Lines"/>
    <tableColumn id="5" name="After Clean Point"/>
    <tableColumn id="6" name="Clean-Point Da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C31"/>
  <sheetViews>
    <sheetView showGridLines="0" workbookViewId="0"/>
  </sheetViews>
  <sheetFormatPr defaultRowHeight="13.8"/>
  <cols>
    <col min="1" max="1" width="35" style="87" bestFit="1" customWidth="1"/>
    <col min="2" max="2" width="129.296875" style="87" bestFit="1" customWidth="1"/>
    <col min="3" max="3" width="16.5" style="87" bestFit="1" customWidth="1"/>
    <col min="4" max="16384" width="8.796875" style="87"/>
  </cols>
  <sheetData>
    <row r="1" spans="1:3" ht="21">
      <c r="A1" s="113" t="s">
        <v>1610</v>
      </c>
    </row>
    <row r="3" spans="1:3">
      <c r="A3" s="87" t="s">
        <v>1611</v>
      </c>
      <c r="B3" s="87" t="s">
        <v>1612</v>
      </c>
    </row>
    <row r="5" spans="1:3">
      <c r="A5" s="87" t="s">
        <v>1613</v>
      </c>
      <c r="B5" s="87" t="s">
        <v>1614</v>
      </c>
    </row>
    <row r="7" spans="1:3">
      <c r="A7" s="87" t="s">
        <v>1615</v>
      </c>
      <c r="B7" s="87" t="s">
        <v>1616</v>
      </c>
    </row>
    <row r="9" spans="1:3">
      <c r="A9" s="119" t="s">
        <v>1617</v>
      </c>
      <c r="B9" s="119" t="s">
        <v>1537</v>
      </c>
      <c r="C9" s="119" t="s">
        <v>1618</v>
      </c>
    </row>
    <row r="10" spans="1:3">
      <c r="A10" s="87" t="s">
        <v>1539</v>
      </c>
      <c r="B10" s="87">
        <f>Settings!B65</f>
        <v>240</v>
      </c>
      <c r="C10" s="87" t="s">
        <v>1540</v>
      </c>
    </row>
    <row r="11" spans="1:3">
      <c r="A11" s="87" t="s">
        <v>1541</v>
      </c>
      <c r="B11" s="87">
        <f>Settings!B66</f>
        <v>400</v>
      </c>
      <c r="C11" s="87" t="s">
        <v>1542</v>
      </c>
    </row>
    <row r="12" spans="1:3">
      <c r="A12" s="87" t="s">
        <v>1543</v>
      </c>
      <c r="B12" s="87">
        <f>Settings!B67</f>
        <v>80</v>
      </c>
      <c r="C12" s="87" t="s">
        <v>1544</v>
      </c>
    </row>
    <row r="13" spans="1:3">
      <c r="A13" s="87" t="s">
        <v>1545</v>
      </c>
      <c r="B13" s="87">
        <f>Settings!B68</f>
        <v>20</v>
      </c>
      <c r="C13" s="87" t="s">
        <v>1546</v>
      </c>
    </row>
    <row r="14" spans="1:3">
      <c r="A14" s="87" t="s">
        <v>1547</v>
      </c>
      <c r="B14" s="87">
        <f>Settings!B69</f>
        <v>100000</v>
      </c>
      <c r="C14" s="87" t="s">
        <v>1548</v>
      </c>
    </row>
    <row r="17" spans="1:2">
      <c r="A17" s="119" t="s">
        <v>1619</v>
      </c>
      <c r="B17" s="119" t="s">
        <v>1620</v>
      </c>
    </row>
    <row r="18" spans="1:2">
      <c r="A18" s="87" t="s">
        <v>1621</v>
      </c>
      <c r="B18" s="87" t="s">
        <v>1622</v>
      </c>
    </row>
    <row r="19" spans="1:2">
      <c r="A19" s="87" t="s">
        <v>1623</v>
      </c>
      <c r="B19" s="87" t="s">
        <v>1624</v>
      </c>
    </row>
    <row r="20" spans="1:2">
      <c r="A20" s="87" t="s">
        <v>1625</v>
      </c>
      <c r="B20" s="87" t="s">
        <v>1626</v>
      </c>
    </row>
    <row r="21" spans="1:2">
      <c r="A21" s="87" t="s">
        <v>1627</v>
      </c>
      <c r="B21" s="87" t="s">
        <v>1628</v>
      </c>
    </row>
    <row r="22" spans="1:2">
      <c r="A22" s="87" t="s">
        <v>1629</v>
      </c>
      <c r="B22" s="87" t="s">
        <v>1630</v>
      </c>
    </row>
    <row r="23" spans="1:2">
      <c r="A23" s="87" t="s">
        <v>1631</v>
      </c>
      <c r="B23" s="87" t="s">
        <v>1632</v>
      </c>
    </row>
    <row r="24" spans="1:2">
      <c r="A24" s="87" t="s">
        <v>1633</v>
      </c>
      <c r="B24" s="87" t="s">
        <v>1634</v>
      </c>
    </row>
    <row r="25" spans="1:2">
      <c r="A25" s="87" t="s">
        <v>1635</v>
      </c>
      <c r="B25" s="87" t="s">
        <v>1636</v>
      </c>
    </row>
    <row r="26" spans="1:2">
      <c r="A26" s="87" t="s">
        <v>1637</v>
      </c>
      <c r="B26" s="87" t="s">
        <v>1638</v>
      </c>
    </row>
    <row r="27" spans="1:2">
      <c r="A27" s="87" t="s">
        <v>1639</v>
      </c>
      <c r="B27" s="87" t="s">
        <v>1640</v>
      </c>
    </row>
    <row r="29" spans="1:2">
      <c r="A29" s="120" t="s">
        <v>1652</v>
      </c>
    </row>
    <row r="30" spans="1:2">
      <c r="A30" s="87" t="s">
        <v>1653</v>
      </c>
      <c r="B30" s="87" t="s">
        <v>1654</v>
      </c>
    </row>
    <row r="31" spans="1:2">
      <c r="A31" s="87" t="s">
        <v>1655</v>
      </c>
      <c r="B31" s="87" t="s">
        <v>1656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6"/>
  <sheetViews>
    <sheetView showGridLines="0" tabSelected="1" workbookViewId="0"/>
  </sheetViews>
  <sheetFormatPr defaultRowHeight="13.8"/>
  <cols>
    <col min="1" max="2" width="22.69921875" style="87" customWidth="1"/>
    <col min="3" max="16384" width="8.796875" style="87"/>
  </cols>
  <sheetData>
    <row r="1" spans="1:2" ht="21">
      <c r="A1" s="113" t="s">
        <v>1551</v>
      </c>
    </row>
    <row r="3" spans="1:2">
      <c r="A3" s="116" t="s">
        <v>1552</v>
      </c>
      <c r="B3" s="115">
        <v>46174</v>
      </c>
    </row>
    <row r="4" spans="1:2">
      <c r="A4" s="116" t="s">
        <v>1553</v>
      </c>
      <c r="B4" s="115">
        <v>46218</v>
      </c>
    </row>
    <row r="5" spans="1:2">
      <c r="A5" s="117" t="s">
        <v>1554</v>
      </c>
      <c r="B5" s="114" t="str">
        <f>Calc_Charts!$B$262</f>
        <v>Jun 1 to Jul 15</v>
      </c>
    </row>
    <row r="6" spans="1:2">
      <c r="A6" s="117" t="s">
        <v>1555</v>
      </c>
      <c r="B6" s="114">
        <f>COUNTIF('Data Checks'!$C:$C,"Review")</f>
        <v>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241"/>
  <sheetViews>
    <sheetView showGridLines="0" topLeftCell="C129" zoomScale="115" zoomScaleNormal="115" workbookViewId="0">
      <selection activeCell="B6" sqref="A3:XFD6"/>
    </sheetView>
  </sheetViews>
  <sheetFormatPr defaultRowHeight="13.8"/>
  <cols>
    <col min="1" max="2" width="18" customWidth="1"/>
    <col min="3" max="3" width="24" customWidth="1"/>
    <col min="4" max="4" width="18" customWidth="1"/>
    <col min="5" max="5" width="28" customWidth="1"/>
    <col min="6" max="6" width="56.19921875" customWidth="1"/>
    <col min="7" max="7" width="18" customWidth="1"/>
    <col min="8" max="8" width="26" customWidth="1"/>
  </cols>
  <sheetData>
    <row r="1" spans="1:9">
      <c r="A1" s="121" t="s">
        <v>1599</v>
      </c>
      <c r="B1" s="122"/>
      <c r="C1" s="122"/>
      <c r="D1" s="122"/>
      <c r="E1" s="122"/>
      <c r="F1" s="122"/>
      <c r="G1" s="122"/>
      <c r="H1" s="122"/>
    </row>
    <row r="2" spans="1:9" ht="17.399999999999999">
      <c r="A2" s="1" t="s">
        <v>1132</v>
      </c>
      <c r="B2" s="1"/>
      <c r="C2" s="1"/>
      <c r="D2" s="1"/>
      <c r="E2" s="1"/>
      <c r="F2" s="1"/>
      <c r="G2" s="1"/>
    </row>
    <row r="3" spans="1:9" ht="27.6">
      <c r="A3" s="8" t="s">
        <v>1133</v>
      </c>
      <c r="B3" s="8"/>
      <c r="C3" s="69">
        <f>SUBTOTAL(103,$E$5:$E$241)</f>
        <v>38</v>
      </c>
      <c r="D3" s="8"/>
      <c r="E3" s="8" t="s">
        <v>1134</v>
      </c>
      <c r="F3" s="8"/>
      <c r="G3" s="8"/>
    </row>
    <row r="4" spans="1:9">
      <c r="A4" s="80" t="s">
        <v>1135</v>
      </c>
      <c r="B4" s="81" t="s">
        <v>1136</v>
      </c>
      <c r="C4" s="81" t="s">
        <v>1137</v>
      </c>
      <c r="D4" s="81" t="s">
        <v>1138</v>
      </c>
      <c r="E4" s="81" t="s">
        <v>1139</v>
      </c>
      <c r="F4" s="81" t="s">
        <v>1140</v>
      </c>
      <c r="G4" s="82" t="s">
        <v>1141</v>
      </c>
      <c r="H4" s="17" t="s">
        <v>1142</v>
      </c>
      <c r="I4" t="s">
        <v>1143</v>
      </c>
    </row>
    <row r="5" spans="1:9" hidden="1">
      <c r="A5" s="18">
        <f>IFERROR(INDEX('Raw Data'!$D$5:$D$400,MATCH($B5,'Raw Data'!$H$5:$H$400,0)),"")</f>
        <v>46094.393391203703</v>
      </c>
      <c r="B5" s="2" t="s">
        <v>965</v>
      </c>
      <c r="C5" s="2" t="str">
        <f>IFERROR(TRIM(INDEX('Raw Data'!$J$5:$J$400,MATCH($B5,'Raw Data'!$H$5:$H$400,0))),"")</f>
        <v>Dollar General #22515</v>
      </c>
      <c r="D5" s="15">
        <f>IFERROR(INDEX('Store List'!$B$4:$B$300,MATCH($C5,'Store List'!$A$4:$A$300,0)),"")</f>
        <v>46090</v>
      </c>
      <c r="E5" s="2" t="s">
        <v>1144</v>
      </c>
      <c r="F5" s="2" t="s">
        <v>1145</v>
      </c>
      <c r="G5" s="4" t="str">
        <f>IF($E5="","",IFERROR(IF(OR(NOT(ISNUMBER($D5)),NOT(ISNUMBER(INDEX(Settings!$E$4:$E$80,MATCH($E5,Settings!$A$4:$A$80,0))))),"No",IF($D5&gt;INDEX(Settings!$E$4:$E$80,MATCH($E5,Settings!$A$4:$A$80,0)),"Yes","No")),""))</f>
        <v>No</v>
      </c>
      <c r="H5" t="str">
        <f>IFERROR(TRIM(INDEX('Raw Data'!$S$5:$S$400,MATCH($B5,'Raw Data'!$H$5:$H$400,0))),"")</f>
        <v>RMN5MA/MY26B013859</v>
      </c>
    </row>
    <row r="6" spans="1:9" hidden="1">
      <c r="A6" s="18">
        <f>IFERROR(INDEX('Raw Data'!$D$5:$D$400,MATCH($B6,'Raw Data'!$H$5:$H$400,0)),"")</f>
        <v>46094.393391203703</v>
      </c>
      <c r="B6" s="2" t="s">
        <v>965</v>
      </c>
      <c r="C6" s="2" t="str">
        <f>IFERROR(TRIM(INDEX('Raw Data'!$J$5:$J$400,MATCH($B6,'Raw Data'!$H$5:$H$400,0))),"")</f>
        <v>Dollar General #22515</v>
      </c>
      <c r="D6" s="15">
        <f>IFERROR(INDEX('Store List'!$B$4:$B$300,MATCH($C6,'Store List'!$A$4:$A$300,0)),"")</f>
        <v>46090</v>
      </c>
      <c r="E6" s="2" t="s">
        <v>1146</v>
      </c>
      <c r="F6" s="2"/>
      <c r="G6" s="4" t="str">
        <f>IF($E6="","",IFERROR(IF(OR(NOT(ISNUMBER($D6)),NOT(ISNUMBER(INDEX(Settings!$E$4:$E$80,MATCH($E6,Settings!$A$4:$A$80,0))))),"No",IF($D6&gt;INDEX(Settings!$E$4:$E$80,MATCH($E6,Settings!$A$4:$A$80,0)),"Yes","No")),""))</f>
        <v>No</v>
      </c>
      <c r="H6" t="str">
        <f>IFERROR(TRIM(INDEX('Raw Data'!$S$5:$S$400,MATCH($B6,'Raw Data'!$H$5:$H$400,0))),"")</f>
        <v>RMN5MA/MY26B013859</v>
      </c>
    </row>
    <row r="7" spans="1:9" hidden="1">
      <c r="A7" s="18">
        <f>IFERROR(INDEX('Raw Data'!$D$5:$D$400,MATCH($B7,'Raw Data'!$H$5:$H$400,0)),"")</f>
        <v>46092.344340277778</v>
      </c>
      <c r="B7" s="2" t="s">
        <v>983</v>
      </c>
      <c r="C7" s="2" t="str">
        <f>IFERROR(TRIM(INDEX('Raw Data'!$J$5:$J$400,MATCH($B7,'Raw Data'!$H$5:$H$400,0))),"")</f>
        <v>Dollar General #21606</v>
      </c>
      <c r="D7" s="15">
        <f>IFERROR(INDEX('Store List'!$B$4:$B$300,MATCH($C7,'Store List'!$A$4:$A$300,0)),"")</f>
        <v>46084</v>
      </c>
      <c r="E7" s="2" t="s">
        <v>1146</v>
      </c>
      <c r="F7" s="2"/>
      <c r="G7" s="4" t="str">
        <f>IF($E7="","",IFERROR(IF(OR(NOT(ISNUMBER($D7)),NOT(ISNUMBER(INDEX(Settings!$E$4:$E$80,MATCH($E7,Settings!$A$4:$A$80,0))))),"No",IF($D7&gt;INDEX(Settings!$E$4:$E$80,MATCH($E7,Settings!$A$4:$A$80,0)),"Yes","No")),""))</f>
        <v>No</v>
      </c>
      <c r="H7" t="str">
        <f>IFERROR(TRIM(INDEX('Raw Data'!$S$5:$S$400,MATCH($B7,'Raw Data'!$H$5:$H$400,0))),"")</f>
        <v>RMN5MA/MY26B013853</v>
      </c>
    </row>
    <row r="8" spans="1:9" hidden="1">
      <c r="A8" s="18">
        <f>IFERROR(INDEX('Raw Data'!$D$5:$D$400,MATCH($B8,'Raw Data'!$H$5:$H$400,0)),"")</f>
        <v>46092.344340277778</v>
      </c>
      <c r="B8" s="2" t="s">
        <v>983</v>
      </c>
      <c r="C8" s="2" t="str">
        <f>IFERROR(TRIM(INDEX('Raw Data'!$J$5:$J$400,MATCH($B8,'Raw Data'!$H$5:$H$400,0))),"")</f>
        <v>Dollar General #21606</v>
      </c>
      <c r="D8" s="15">
        <f>IFERROR(INDEX('Store List'!$B$4:$B$300,MATCH($C8,'Store List'!$A$4:$A$300,0)),"")</f>
        <v>46084</v>
      </c>
      <c r="E8" s="2" t="s">
        <v>1147</v>
      </c>
      <c r="F8" s="2"/>
      <c r="G8" s="4" t="str">
        <f>IF($E8="","",IFERROR(IF(OR(NOT(ISNUMBER($D8)),NOT(ISNUMBER(INDEX(Settings!$E$4:$E$80,MATCH($E8,Settings!$A$4:$A$80,0))))),"No",IF($D8&gt;INDEX(Settings!$E$4:$E$80,MATCH($E8,Settings!$A$4:$A$80,0)),"Yes","No")),""))</f>
        <v>No</v>
      </c>
      <c r="H8" t="str">
        <f>IFERROR(TRIM(INDEX('Raw Data'!$S$5:$S$400,MATCH($B8,'Raw Data'!$H$5:$H$400,0))),"")</f>
        <v>RMN5MA/MY26B013853</v>
      </c>
    </row>
    <row r="9" spans="1:9" hidden="1">
      <c r="A9" s="18">
        <f>IFERROR(INDEX('Raw Data'!$D$5:$D$400,MATCH($B9,'Raw Data'!$H$5:$H$400,0)),"")</f>
        <v>46102.388796296298</v>
      </c>
      <c r="B9" s="2" t="s">
        <v>930</v>
      </c>
      <c r="C9" s="2" t="str">
        <f>IFERROR(TRIM(INDEX('Raw Data'!$J$5:$J$400,MATCH($B9,'Raw Data'!$H$5:$H$400,0))),"")</f>
        <v>Dollar General #20582</v>
      </c>
      <c r="D9" s="15">
        <f>IFERROR(INDEX('Store List'!$B$4:$B$300,MATCH($C9,'Store List'!$A$4:$A$300,0)),"")</f>
        <v>46098</v>
      </c>
      <c r="E9" s="2" t="s">
        <v>1148</v>
      </c>
      <c r="F9" s="2"/>
      <c r="G9" s="4" t="str">
        <f>IF($E9="","",IFERROR(IF(OR(NOT(ISNUMBER($D9)),NOT(ISNUMBER(INDEX(Settings!$E$4:$E$80,MATCH($E9,Settings!$A$4:$A$80,0))))),"No",IF($D9&gt;INDEX(Settings!$E$4:$E$80,MATCH($E9,Settings!$A$4:$A$80,0)),"Yes","No")),""))</f>
        <v>No</v>
      </c>
      <c r="H9" t="str">
        <f>IFERROR(TRIM(INDEX('Raw Data'!$S$5:$S$400,MATCH($B9,'Raw Data'!$H$5:$H$400,0))),"")</f>
        <v>RLN3MA/MY26B014956, LEFT ~ RLN2MA/ MY26B016476, LEFT</v>
      </c>
    </row>
    <row r="10" spans="1:9" hidden="1">
      <c r="A10" s="18">
        <f>IFERROR(INDEX('Raw Data'!$D$5:$D$400,MATCH($B10,'Raw Data'!$H$5:$H$400,0)),"")</f>
        <v>46102.388796296298</v>
      </c>
      <c r="B10" s="2" t="s">
        <v>930</v>
      </c>
      <c r="C10" s="2" t="str">
        <f>IFERROR(TRIM(INDEX('Raw Data'!$J$5:$J$400,MATCH($B10,'Raw Data'!$H$5:$H$400,0))),"")</f>
        <v>Dollar General #20582</v>
      </c>
      <c r="D10" s="15">
        <f>IFERROR(INDEX('Store List'!$B$4:$B$300,MATCH($C10,'Store List'!$A$4:$A$300,0)),"")</f>
        <v>46098</v>
      </c>
      <c r="E10" s="2" t="s">
        <v>1149</v>
      </c>
      <c r="F10" s="2"/>
      <c r="G10" s="4" t="str">
        <f>IF($E10="","",IFERROR(IF(OR(NOT(ISNUMBER($D10)),NOT(ISNUMBER(INDEX(Settings!$E$4:$E$80,MATCH($E10,Settings!$A$4:$A$80,0))))),"No",IF($D10&gt;INDEX(Settings!$E$4:$E$80,MATCH($E10,Settings!$A$4:$A$80,0)),"Yes","No")),""))</f>
        <v>No</v>
      </c>
      <c r="H10" t="str">
        <f>IFERROR(TRIM(INDEX('Raw Data'!$S$5:$S$400,MATCH($B10,'Raw Data'!$H$5:$H$400,0))),"")</f>
        <v>RLN3MA/MY26B014956, LEFT ~ RLN2MA/ MY26B016476, LEFT</v>
      </c>
    </row>
    <row r="11" spans="1:9" hidden="1">
      <c r="A11" s="18">
        <f>IFERROR(INDEX('Raw Data'!$D$5:$D$400,MATCH($B11,'Raw Data'!$H$5:$H$400,0)),"")</f>
        <v>46100.539363425924</v>
      </c>
      <c r="B11" s="2" t="s">
        <v>959</v>
      </c>
      <c r="C11" s="2" t="str">
        <f>IFERROR(TRIM(INDEX('Raw Data'!$J$5:$J$400,MATCH($B11,'Raw Data'!$H$5:$H$400,0))),"")</f>
        <v>Dollar General #04117</v>
      </c>
      <c r="D11" s="15">
        <f>IFERROR(INDEX('Store List'!$B$4:$B$300,MATCH($C11,'Store List'!$A$4:$A$300,0)),"")</f>
        <v>46098</v>
      </c>
      <c r="E11" s="2" t="s">
        <v>1150</v>
      </c>
      <c r="F11" s="2" t="s">
        <v>1151</v>
      </c>
      <c r="G11" s="4" t="str">
        <f>IF($E11="","",IFERROR(IF(OR(NOT(ISNUMBER($D11)),NOT(ISNUMBER(INDEX(Settings!$E$4:$E$80,MATCH($E11,Settings!$A$4:$A$80,0))))),"No",IF($D11&gt;INDEX(Settings!$E$4:$E$80,MATCH($E11,Settings!$A$4:$A$80,0)),"Yes","No")),""))</f>
        <v>No</v>
      </c>
      <c r="H11" t="str">
        <f>IFERROR(TRIM(INDEX('Raw Data'!$S$5:$S$400,MATCH($B11,'Raw Data'!$H$5:$H$400,0))),"")</f>
        <v/>
      </c>
    </row>
    <row r="12" spans="1:9" hidden="1">
      <c r="A12" s="18">
        <f>IFERROR(INDEX('Raw Data'!$D$5:$D$400,MATCH($B12,'Raw Data'!$H$5:$H$400,0)),"")</f>
        <v>46111.269282407397</v>
      </c>
      <c r="B12" s="2" t="s">
        <v>909</v>
      </c>
      <c r="C12" s="2" t="str">
        <f>IFERROR(TRIM(INDEX('Raw Data'!$J$5:$J$400,MATCH($B12,'Raw Data'!$H$5:$H$400,0))),"")</f>
        <v>Dollar General #22149</v>
      </c>
      <c r="D12" s="15">
        <f>IFERROR(INDEX('Store List'!$B$4:$B$300,MATCH($C12,'Store List'!$A$4:$A$300,0)),"")</f>
        <v>46092</v>
      </c>
      <c r="E12" s="2" t="s">
        <v>1152</v>
      </c>
      <c r="F12" s="2"/>
      <c r="G12" s="4" t="str">
        <f>IF($E12="","",IFERROR(IF(OR(NOT(ISNUMBER($D12)),NOT(ISNUMBER(INDEX(Settings!$E$4:$E$80,MATCH($E12,Settings!$A$4:$A$80,0))))),"No",IF($D12&gt;INDEX(Settings!$E$4:$E$80,MATCH($E12,Settings!$A$4:$A$80,0)),"Yes","No")),""))</f>
        <v>No</v>
      </c>
      <c r="H12" t="str">
        <f>IFERROR(TRIM(INDEX('Raw Data'!$S$5:$S$400,MATCH($B12,'Raw Data'!$H$5:$H$400,0))),"")</f>
        <v>RMN5MA/MY26B013852 RLN3MA/MY26B013833 ~ RLN2MA/MY26B013807 ~ RFMN4/MY21G066701</v>
      </c>
    </row>
    <row r="13" spans="1:9" hidden="1">
      <c r="A13" s="18">
        <f>IFERROR(INDEX('Raw Data'!$D$5:$D$400,MATCH($B13,'Raw Data'!$H$5:$H$400,0)),"")</f>
        <v>46111.266446759262</v>
      </c>
      <c r="B13" s="2" t="s">
        <v>918</v>
      </c>
      <c r="C13" s="2" t="str">
        <f>IFERROR(TRIM(INDEX('Raw Data'!$J$5:$J$400,MATCH($B13,'Raw Data'!$H$5:$H$400,0))),"")</f>
        <v>Dollar General #6099</v>
      </c>
      <c r="D13" s="15">
        <f>IFERROR(INDEX('Store List'!$B$4:$B$300,MATCH($C13,'Store List'!$A$4:$A$300,0)),"")</f>
        <v>46098</v>
      </c>
      <c r="E13" s="2" t="s">
        <v>1150</v>
      </c>
      <c r="F13" s="2" t="s">
        <v>1151</v>
      </c>
      <c r="G13" s="4" t="str">
        <f>IF($E13="","",IFERROR(IF(OR(NOT(ISNUMBER($D13)),NOT(ISNUMBER(INDEX(Settings!$E$4:$E$80,MATCH($E13,Settings!$A$4:$A$80,0))))),"No",IF($D13&gt;INDEX(Settings!$E$4:$E$80,MATCH($E13,Settings!$A$4:$A$80,0)),"Yes","No")),""))</f>
        <v>No</v>
      </c>
      <c r="H13" t="str">
        <f>IFERROR(TRIM(INDEX('Raw Data'!$S$5:$S$400,MATCH($B13,'Raw Data'!$H$5:$H$400,0))),"")</f>
        <v>N/A</v>
      </c>
    </row>
    <row r="14" spans="1:9" hidden="1">
      <c r="A14" s="18">
        <f>IFERROR(INDEX('Raw Data'!$D$5:$D$400,MATCH($B14,'Raw Data'!$H$5:$H$400,0)),"")</f>
        <v>46111.32</v>
      </c>
      <c r="B14" s="2" t="s">
        <v>899</v>
      </c>
      <c r="C14" s="2" t="str">
        <f>IFERROR(TRIM(INDEX('Raw Data'!$J$5:$J$400,MATCH($B14,'Raw Data'!$H$5:$H$400,0))),"")</f>
        <v>Dollar General 22799</v>
      </c>
      <c r="D14" s="15">
        <f>IFERROR(INDEX('Store List'!$B$4:$B$300,MATCH($C14,'Store List'!$A$4:$A$300,0)),"")</f>
        <v>46099</v>
      </c>
      <c r="E14" s="2" t="s">
        <v>1236</v>
      </c>
      <c r="F14" s="2"/>
      <c r="G14" s="4" t="str">
        <f>IF($E14="","",IFERROR(IF(OR(NOT(ISNUMBER($D14)),NOT(ISNUMBER(INDEX(Settings!$E$4:$E$80,MATCH($E14,Settings!$A$4:$A$80,0))))),"No",IF($D14&gt;INDEX(Settings!$E$4:$E$80,MATCH($E14,Settings!$A$4:$A$80,0)),"Yes","No")),""))</f>
        <v>No</v>
      </c>
      <c r="H14" t="str">
        <f>IFERROR(TRIM(INDEX('Raw Data'!$S$5:$S$400,MATCH($B14,'Raw Data'!$H$5:$H$400,0))),"")</f>
        <v>RLN2MA/MY26B014943</v>
      </c>
    </row>
    <row r="15" spans="1:9" hidden="1">
      <c r="A15" s="18">
        <f>IFERROR(INDEX('Raw Data'!$D$5:$D$400,MATCH($B15,'Raw Data'!$H$5:$H$400,0)),"")</f>
        <v>46111.377766203703</v>
      </c>
      <c r="B15" s="2" t="s">
        <v>892</v>
      </c>
      <c r="C15" s="2" t="str">
        <f>IFERROR(TRIM(INDEX('Raw Data'!$J$5:$J$400,MATCH($B15,'Raw Data'!$H$5:$H$400,0))),"")</f>
        <v>DOLLAR GENERAL #10369</v>
      </c>
      <c r="D15" s="15">
        <f>IFERROR(INDEX('Store List'!$B$4:$B$300,MATCH($C15,'Store List'!$A$4:$A$300,0)),"")</f>
        <v>46106</v>
      </c>
      <c r="E15" s="2" t="s">
        <v>1154</v>
      </c>
      <c r="F15" s="2"/>
      <c r="G15" s="4" t="str">
        <f>IF($E15="","",IFERROR(IF(OR(NOT(ISNUMBER($D15)),NOT(ISNUMBER(INDEX(Settings!$E$4:$E$80,MATCH($E15,Settings!$A$4:$A$80,0))))),"No",IF($D15&gt;INDEX(Settings!$E$4:$E$80,MATCH($E15,Settings!$A$4:$A$80,0)),"Yes","No")),""))</f>
        <v>No</v>
      </c>
      <c r="H15" t="str">
        <f>IFERROR(TRIM(INDEX('Raw Data'!$S$5:$S$400,MATCH($B15,'Raw Data'!$H$5:$H$400,0))),"")</f>
        <v>RMN5MA/MY26B016046, LEFT</v>
      </c>
    </row>
    <row r="16" spans="1:9" hidden="1">
      <c r="A16" s="18">
        <f>IFERROR(INDEX('Raw Data'!$D$5:$D$400,MATCH($B16,'Raw Data'!$H$5:$H$400,0)),"")</f>
        <v>46114.614398148151</v>
      </c>
      <c r="B16" s="2" t="s">
        <v>875</v>
      </c>
      <c r="C16" s="2" t="str">
        <f>IFERROR(TRIM(INDEX('Raw Data'!$J$5:$J$400,MATCH($B16,'Raw Data'!$H$5:$H$400,0))),"")</f>
        <v>Dollar General #12879</v>
      </c>
      <c r="D16" s="15">
        <f>IFERROR(INDEX('Store List'!$B$4:$B$300,MATCH($C16,'Store List'!$A$4:$A$300,0)),"")</f>
        <v>46106</v>
      </c>
      <c r="E16" s="2" t="s">
        <v>1154</v>
      </c>
      <c r="F16" s="2"/>
      <c r="G16" s="4" t="str">
        <f>IF($E16="","",IFERROR(IF(OR(NOT(ISNUMBER($D16)),NOT(ISNUMBER(INDEX(Settings!$E$4:$E$80,MATCH($E16,Settings!$A$4:$A$80,0))))),"No",IF($D16&gt;INDEX(Settings!$E$4:$E$80,MATCH($E16,Settings!$A$4:$A$80,0)),"Yes","No")),""))</f>
        <v>No</v>
      </c>
      <c r="H16" t="str">
        <f>IFERROR(TRIM(INDEX('Raw Data'!$S$5:$S$400,MATCH($B16,'Raw Data'!$H$5:$H$400,0))),"")</f>
        <v>RMN5MA/MY26B016549, LEFT</v>
      </c>
    </row>
    <row r="17" spans="1:8" hidden="1">
      <c r="A17" s="18">
        <f>IFERROR(INDEX('Raw Data'!$D$5:$D$400,MATCH($B17,'Raw Data'!$H$5:$H$400,0)),"")</f>
        <v>46114.636805555558</v>
      </c>
      <c r="B17" s="2" t="s">
        <v>865</v>
      </c>
      <c r="C17" s="2" t="str">
        <f>IFERROR(TRIM(INDEX('Raw Data'!$J$5:$J$400,MATCH($B17,'Raw Data'!$H$5:$H$400,0))),"")</f>
        <v>DOLLAR GENERAL #10369</v>
      </c>
      <c r="D17" s="15">
        <f>IFERROR(INDEX('Store List'!$B$4:$B$300,MATCH($C17,'Store List'!$A$4:$A$300,0)),"")</f>
        <v>46106</v>
      </c>
      <c r="E17" s="2" t="s">
        <v>1154</v>
      </c>
      <c r="F17" s="2"/>
      <c r="G17" s="4" t="str">
        <f>IF($E17="","",IFERROR(IF(OR(NOT(ISNUMBER($D17)),NOT(ISNUMBER(INDEX(Settings!$E$4:$E$80,MATCH($E17,Settings!$A$4:$A$80,0))))),"No",IF($D17&gt;INDEX(Settings!$E$4:$E$80,MATCH($E17,Settings!$A$4:$A$80,0)),"Yes","No")),""))</f>
        <v>No</v>
      </c>
      <c r="H17" t="str">
        <f>IFERROR(TRIM(INDEX('Raw Data'!$S$5:$S$400,MATCH($B17,'Raw Data'!$H$5:$H$400,0))),"")</f>
        <v>RMN4MA/MY26B016036, LEFT</v>
      </c>
    </row>
    <row r="18" spans="1:8" hidden="1">
      <c r="A18" s="18">
        <f>IFERROR(INDEX('Raw Data'!$D$5:$D$400,MATCH($B18,'Raw Data'!$H$5:$H$400,0)),"")</f>
        <v>46116.769791666673</v>
      </c>
      <c r="B18" s="2" t="s">
        <v>858</v>
      </c>
      <c r="C18" s="2" t="str">
        <f>IFERROR(TRIM(INDEX('Raw Data'!$J$5:$J$400,MATCH($B18,'Raw Data'!$H$5:$H$400,0))),"")</f>
        <v>Dollar General #20876</v>
      </c>
      <c r="D18" s="15">
        <f>IFERROR(INDEX('Store List'!$B$4:$B$300,MATCH($C18,'Store List'!$A$4:$A$300,0)),"")</f>
        <v>46112</v>
      </c>
      <c r="E18" s="2" t="s">
        <v>1147</v>
      </c>
      <c r="F18" s="2"/>
      <c r="G18" s="4" t="str">
        <f>IF($E18="","",IFERROR(IF(OR(NOT(ISNUMBER($D18)),NOT(ISNUMBER(INDEX(Settings!$E$4:$E$80,MATCH($E18,Settings!$A$4:$A$80,0))))),"No",IF($D18&gt;INDEX(Settings!$E$4:$E$80,MATCH($E18,Settings!$A$4:$A$80,0)),"Yes","No")),""))</f>
        <v>No</v>
      </c>
      <c r="H18" t="str">
        <f>IFERROR(TRIM(INDEX('Raw Data'!$S$5:$S$400,MATCH($B18,'Raw Data'!$H$5:$H$400,0))),"")</f>
        <v>RLN2MA/MY26B013812</v>
      </c>
    </row>
    <row r="19" spans="1:8" hidden="1">
      <c r="A19" s="18">
        <f>IFERROR(INDEX('Raw Data'!$D$5:$D$400,MATCH($B19,'Raw Data'!$H$5:$H$400,0)),"")</f>
        <v>46118.547997685193</v>
      </c>
      <c r="B19" s="2" t="s">
        <v>849</v>
      </c>
      <c r="C19" s="2" t="str">
        <f>IFERROR(TRIM(INDEX('Raw Data'!$J$5:$J$400,MATCH($B19,'Raw Data'!$H$5:$H$400,0))),"")</f>
        <v>Dollar General #6827</v>
      </c>
      <c r="D19" s="15">
        <f>IFERROR(INDEX('Store List'!$B$4:$B$300,MATCH($C19,'Store List'!$A$4:$A$300,0)),"")</f>
        <v>46086</v>
      </c>
      <c r="E19" s="2" t="s">
        <v>1155</v>
      </c>
      <c r="F19" s="2"/>
      <c r="G19" s="4" t="str">
        <f>IF($E19="","",IFERROR(IF(OR(NOT(ISNUMBER($D19)),NOT(ISNUMBER(INDEX(Settings!$E$4:$E$80,MATCH($E19,Settings!$A$4:$A$80,0))))),"No",IF($D19&gt;INDEX(Settings!$E$4:$E$80,MATCH($E19,Settings!$A$4:$A$80,0)),"Yes","No")),""))</f>
        <v>No</v>
      </c>
      <c r="H19" t="str">
        <f>IFERROR(TRIM(INDEX('Raw Data'!$S$5:$S$400,MATCH($B19,'Raw Data'!$H$5:$H$400,0))),"")</f>
        <v>RLN2MA/MY26b013811 ~ RLN3MA/MY26B013832</v>
      </c>
    </row>
    <row r="20" spans="1:8" hidden="1">
      <c r="A20" s="18">
        <f>IFERROR(INDEX('Raw Data'!$D$5:$D$400,MATCH($B20,'Raw Data'!$H$5:$H$400,0)),"")</f>
        <v>46120.392291666663</v>
      </c>
      <c r="B20" s="2" t="s">
        <v>833</v>
      </c>
      <c r="C20" s="2" t="str">
        <f>IFERROR(TRIM(INDEX('Raw Data'!$J$5:$J$400,MATCH($B20,'Raw Data'!$H$5:$H$400,0))),"")</f>
        <v>Dollar General #3270</v>
      </c>
      <c r="D20" s="15">
        <f>IFERROR(INDEX('Store List'!$B$4:$B$300,MATCH($C20,'Store List'!$A$4:$A$300,0)),"")</f>
        <v>46120</v>
      </c>
      <c r="E20" s="2" t="s">
        <v>1152</v>
      </c>
      <c r="F20" s="2"/>
      <c r="G20" s="4" t="str">
        <f>IF($E20="","",IFERROR(IF(OR(NOT(ISNUMBER($D20)),NOT(ISNUMBER(INDEX(Settings!$E$4:$E$80,MATCH($E20,Settings!$A$4:$A$80,0))))),"No",IF($D20&gt;INDEX(Settings!$E$4:$E$80,MATCH($E20,Settings!$A$4:$A$80,0)),"Yes","No")),""))</f>
        <v>No</v>
      </c>
      <c r="H20" t="str">
        <f>IFERROR(TRIM(INDEX('Raw Data'!$S$5:$S$400,MATCH($B20,'Raw Data'!$H$5:$H$400,0))),"")</f>
        <v>MY26B016515</v>
      </c>
    </row>
    <row r="21" spans="1:8" hidden="1">
      <c r="A21" s="18">
        <f>IFERROR(INDEX('Raw Data'!$D$5:$D$400,MATCH($B21,'Raw Data'!$H$5:$H$400,0)),"")</f>
        <v>46119.611064814817</v>
      </c>
      <c r="B21" s="2" t="s">
        <v>842</v>
      </c>
      <c r="C21" s="2" t="str">
        <f>IFERROR(TRIM(INDEX('Raw Data'!$J$5:$J$400,MATCH($B21,'Raw Data'!$H$5:$H$400,0))),"")</f>
        <v>Dollar General #14858</v>
      </c>
      <c r="D21" s="15">
        <f>IFERROR(INDEX('Store List'!$B$4:$B$300,MATCH($C21,'Store List'!$A$4:$A$300,0)),"")</f>
        <v>46097</v>
      </c>
      <c r="E21" s="2" t="s">
        <v>1144</v>
      </c>
      <c r="F21" s="2" t="s">
        <v>1145</v>
      </c>
      <c r="G21" s="4" t="str">
        <f>IF($E21="","",IFERROR(IF(OR(NOT(ISNUMBER($D21)),NOT(ISNUMBER(INDEX(Settings!$E$4:$E$80,MATCH($E21,Settings!$A$4:$A$80,0))))),"No",IF($D21&gt;INDEX(Settings!$E$4:$E$80,MATCH($E21,Settings!$A$4:$A$80,0)),"Yes","No")),""))</f>
        <v>No</v>
      </c>
      <c r="H21" t="str">
        <f>IFERROR(TRIM(INDEX('Raw Data'!$S$5:$S$400,MATCH($B21,'Raw Data'!$H$5:$H$400,0))),"")</f>
        <v>RMN5MA/MY26B016546, LEFT</v>
      </c>
    </row>
    <row r="22" spans="1:8" hidden="1">
      <c r="A22" s="18">
        <f>IFERROR(INDEX('Raw Data'!$D$5:$D$400,MATCH($B22,'Raw Data'!$H$5:$H$400,0)),"")</f>
        <v>46119.611064814817</v>
      </c>
      <c r="B22" s="2" t="s">
        <v>842</v>
      </c>
      <c r="C22" s="2" t="str">
        <f>IFERROR(TRIM(INDEX('Raw Data'!$J$5:$J$400,MATCH($B22,'Raw Data'!$H$5:$H$400,0))),"")</f>
        <v>Dollar General #14858</v>
      </c>
      <c r="D22" s="15">
        <f>IFERROR(INDEX('Store List'!$B$4:$B$300,MATCH($C22,'Store List'!$A$4:$A$300,0)),"")</f>
        <v>46097</v>
      </c>
      <c r="E22" s="2" t="s">
        <v>1154</v>
      </c>
      <c r="F22" s="2"/>
      <c r="G22" s="4" t="str">
        <f>IF($E22="","",IFERROR(IF(OR(NOT(ISNUMBER($D22)),NOT(ISNUMBER(INDEX(Settings!$E$4:$E$80,MATCH($E22,Settings!$A$4:$A$80,0))))),"No",IF($D22&gt;INDEX(Settings!$E$4:$E$80,MATCH($E22,Settings!$A$4:$A$80,0)),"Yes","No")),""))</f>
        <v>No</v>
      </c>
      <c r="H22" t="str">
        <f>IFERROR(TRIM(INDEX('Raw Data'!$S$5:$S$400,MATCH($B22,'Raw Data'!$H$5:$H$400,0))),"")</f>
        <v>RMN5MA/MY26B016546, LEFT</v>
      </c>
    </row>
    <row r="23" spans="1:8" hidden="1">
      <c r="A23" s="18">
        <f>IFERROR(INDEX('Raw Data'!$D$5:$D$400,MATCH($B23,'Raw Data'!$H$5:$H$400,0)),"")</f>
        <v>46121.515381944453</v>
      </c>
      <c r="B23" s="2" t="s">
        <v>808</v>
      </c>
      <c r="C23" s="2" t="str">
        <f>IFERROR(TRIM(INDEX('Raw Data'!$J$5:$J$400,MATCH($B23,'Raw Data'!$H$5:$H$400,0))),"")</f>
        <v>Dollar General #21016</v>
      </c>
      <c r="D23" s="15">
        <f>IFERROR(INDEX('Store List'!$B$4:$B$300,MATCH($C23,'Store List'!$A$4:$A$300,0)),"")</f>
        <v>46119</v>
      </c>
      <c r="E23" s="2" t="s">
        <v>1150</v>
      </c>
      <c r="F23" s="2"/>
      <c r="G23" s="4" t="str">
        <f>IF($E23="","",IFERROR(IF(OR(NOT(ISNUMBER($D23)),NOT(ISNUMBER(INDEX(Settings!$E$4:$E$80,MATCH($E23,Settings!$A$4:$A$80,0))))),"No",IF($D23&gt;INDEX(Settings!$E$4:$E$80,MATCH($E23,Settings!$A$4:$A$80,0)),"Yes","No")),""))</f>
        <v>No</v>
      </c>
      <c r="H23" t="str">
        <f>IFERROR(TRIM(INDEX('Raw Data'!$S$5:$S$400,MATCH($B23,'Raw Data'!$H$5:$H$400,0))),"")</f>
        <v>RLN2MA/MY26B015995</v>
      </c>
    </row>
    <row r="24" spans="1:8" hidden="1">
      <c r="A24" s="18">
        <f>IFERROR(INDEX('Raw Data'!$D$5:$D$400,MATCH($B24,'Raw Data'!$H$5:$H$400,0)),"")</f>
        <v>46122.573634259257</v>
      </c>
      <c r="B24" s="2" t="s">
        <v>800</v>
      </c>
      <c r="C24" s="2" t="str">
        <f>IFERROR(TRIM(INDEX('Raw Data'!$J$5:$J$400,MATCH($B24,'Raw Data'!$H$5:$H$400,0))),"")</f>
        <v>Dollar General #21223</v>
      </c>
      <c r="D24" s="15">
        <f>IFERROR(INDEX('Store List'!$B$4:$B$300,MATCH($C24,'Store List'!$A$4:$A$300,0)),"")</f>
        <v>46120</v>
      </c>
      <c r="E24" s="2" t="s">
        <v>1148</v>
      </c>
      <c r="F24" s="2" t="s">
        <v>1151</v>
      </c>
      <c r="G24" s="4" t="str">
        <f>IF($E24="","",IFERROR(IF(OR(NOT(ISNUMBER($D24)),NOT(ISNUMBER(INDEX(Settings!$E$4:$E$80,MATCH($E24,Settings!$A$4:$A$80,0))))),"No",IF($D24&gt;INDEX(Settings!$E$4:$E$80,MATCH($E24,Settings!$A$4:$A$80,0)),"Yes","No")),""))</f>
        <v>No</v>
      </c>
      <c r="H24" t="str">
        <f>IFERROR(TRIM(INDEX('Raw Data'!$S$5:$S$400,MATCH($B24,'Raw Data'!$H$5:$H$400,0))),"")</f>
        <v/>
      </c>
    </row>
    <row r="25" spans="1:8" hidden="1">
      <c r="A25" s="18">
        <f>IFERROR(INDEX('Raw Data'!$D$5:$D$400,MATCH($B25,'Raw Data'!$H$5:$H$400,0)),"")</f>
        <v>46120.635810185187</v>
      </c>
      <c r="B25" s="2" t="s">
        <v>823</v>
      </c>
      <c r="C25" s="2" t="str">
        <f>IFERROR(TRIM(INDEX('Raw Data'!$J$5:$J$400,MATCH($B25,'Raw Data'!$H$5:$H$400,0))),"")</f>
        <v>Dollar General #13338</v>
      </c>
      <c r="D25" s="15">
        <f>IFERROR(INDEX('Store List'!$B$4:$B$300,MATCH($C25,'Store List'!$A$4:$A$300,0)),"")</f>
        <v>46092</v>
      </c>
      <c r="E25" s="2" t="s">
        <v>1152</v>
      </c>
      <c r="F25" s="2"/>
      <c r="G25" s="4" t="str">
        <f>IF($E25="","",IFERROR(IF(OR(NOT(ISNUMBER($D25)),NOT(ISNUMBER(INDEX(Settings!$E$4:$E$80,MATCH($E25,Settings!$A$4:$A$80,0))))),"No",IF($D25&gt;INDEX(Settings!$E$4:$E$80,MATCH($E25,Settings!$A$4:$A$80,0)),"Yes","No")),""))</f>
        <v>No</v>
      </c>
      <c r="H25" t="str">
        <f>IFERROR(TRIM(INDEX('Raw Data'!$S$5:$S$400,MATCH($B25,'Raw Data'!$H$5:$H$400,0))),"")</f>
        <v>RLN2MA/MY26B013807, RLN3MA/MY26B013833, RMN5MA/MY26B013852</v>
      </c>
    </row>
    <row r="26" spans="1:8" hidden="1">
      <c r="A26" s="18">
        <f>IFERROR(INDEX('Raw Data'!$D$5:$D$400,MATCH($B26,'Raw Data'!$H$5:$H$400,0)),"")</f>
        <v>46121.500925925917</v>
      </c>
      <c r="B26" s="2" t="s">
        <v>815</v>
      </c>
      <c r="C26" s="2" t="str">
        <f>IFERROR(TRIM(INDEX('Raw Data'!$J$5:$J$400,MATCH($B26,'Raw Data'!$H$5:$H$400,0))),"")</f>
        <v>Dollar General #20407</v>
      </c>
      <c r="D26" s="15">
        <f>IFERROR(INDEX('Store List'!$B$4:$B$300,MATCH($C26,'Store List'!$A$4:$A$300,0)),"")</f>
        <v>46119</v>
      </c>
      <c r="E26" s="2" t="s">
        <v>1148</v>
      </c>
      <c r="F26" s="2"/>
      <c r="G26" s="4" t="str">
        <f>IF($E26="","",IFERROR(IF(OR(NOT(ISNUMBER($D26)),NOT(ISNUMBER(INDEX(Settings!$E$4:$E$80,MATCH($E26,Settings!$A$4:$A$80,0))))),"No",IF($D26&gt;INDEX(Settings!$E$4:$E$80,MATCH($E26,Settings!$A$4:$A$80,0)),"Yes","No")),""))</f>
        <v>No</v>
      </c>
      <c r="H26" t="str">
        <f>IFERROR(TRIM(INDEX('Raw Data'!$S$5:$S$400,MATCH($B26,'Raw Data'!$H$5:$H$400,0))),"")</f>
        <v>RLN3MA/MY26B016017, RIGHT</v>
      </c>
    </row>
    <row r="27" spans="1:8" hidden="1">
      <c r="A27" s="18">
        <f>IFERROR(INDEX('Raw Data'!$D$5:$D$400,MATCH($B27,'Raw Data'!$H$5:$H$400,0)),"")</f>
        <v>46121.500925925917</v>
      </c>
      <c r="B27" s="2" t="s">
        <v>815</v>
      </c>
      <c r="C27" s="2" t="str">
        <f>IFERROR(TRIM(INDEX('Raw Data'!$J$5:$J$400,MATCH($B27,'Raw Data'!$H$5:$H$400,0))),"")</f>
        <v>Dollar General #20407</v>
      </c>
      <c r="D27" s="15">
        <f>IFERROR(INDEX('Store List'!$B$4:$B$300,MATCH($C27,'Store List'!$A$4:$A$300,0)),"")</f>
        <v>46119</v>
      </c>
      <c r="E27" s="2" t="s">
        <v>1156</v>
      </c>
      <c r="F27" s="2"/>
      <c r="G27" s="4" t="str">
        <f>IF($E27="","",IFERROR(IF(OR(NOT(ISNUMBER($D27)),NOT(ISNUMBER(INDEX(Settings!$E$4:$E$80,MATCH($E27,Settings!$A$4:$A$80,0))))),"No",IF($D27&gt;INDEX(Settings!$E$4:$E$80,MATCH($E27,Settings!$A$4:$A$80,0)),"Yes","No")),""))</f>
        <v>No</v>
      </c>
      <c r="H27" t="str">
        <f>IFERROR(TRIM(INDEX('Raw Data'!$S$5:$S$400,MATCH($B27,'Raw Data'!$H$5:$H$400,0))),"")</f>
        <v>RLN3MA/MY26B016017, RIGHT</v>
      </c>
    </row>
    <row r="28" spans="1:8" hidden="1">
      <c r="A28" s="18">
        <f>IFERROR(INDEX('Raw Data'!$D$5:$D$400,MATCH($B28,'Raw Data'!$H$5:$H$400,0)),"")</f>
        <v>46125.432685185187</v>
      </c>
      <c r="B28" s="2" t="s">
        <v>792</v>
      </c>
      <c r="C28" s="2" t="str">
        <f>IFERROR(TRIM(INDEX('Raw Data'!$J$5:$J$400,MATCH($B28,'Raw Data'!$H$5:$H$400,0))),"")</f>
        <v>Dollar General #14858</v>
      </c>
      <c r="D28" s="15">
        <f>IFERROR(INDEX('Store List'!$B$4:$B$300,MATCH($C28,'Store List'!$A$4:$A$300,0)),"")</f>
        <v>46097</v>
      </c>
      <c r="E28" s="2" t="s">
        <v>1157</v>
      </c>
      <c r="F28" s="2"/>
      <c r="G28" s="4" t="str">
        <f>IF($E28="","",IFERROR(IF(OR(NOT(ISNUMBER($D28)),NOT(ISNUMBER(INDEX(Settings!$E$4:$E$80,MATCH($E28,Settings!$A$4:$A$80,0))))),"No",IF($D28&gt;INDEX(Settings!$E$4:$E$80,MATCH($E28,Settings!$A$4:$A$80,0)),"Yes","No")),""))</f>
        <v>No</v>
      </c>
      <c r="H28" t="str">
        <f>IFERROR(TRIM(INDEX('Raw Data'!$S$5:$S$400,MATCH($B28,'Raw Data'!$H$5:$H$400,0))),"")</f>
        <v>RLN2MA/MY26B016475, LEFT</v>
      </c>
    </row>
    <row r="29" spans="1:8" hidden="1">
      <c r="A29" s="18">
        <f>IFERROR(INDEX('Raw Data'!$D$5:$D$400,MATCH($B29,'Raw Data'!$H$5:$H$400,0)),"")</f>
        <v>46126.383657407408</v>
      </c>
      <c r="B29" s="2" t="s">
        <v>784</v>
      </c>
      <c r="C29" s="2" t="str">
        <f>IFERROR(TRIM(INDEX('Raw Data'!$J$5:$J$400,MATCH($B29,'Raw Data'!$H$5:$H$400,0))),"")</f>
        <v>Dollar General #21016</v>
      </c>
      <c r="D29" s="15">
        <f>IFERROR(INDEX('Store List'!$B$4:$B$300,MATCH($C29,'Store List'!$A$4:$A$300,0)),"")</f>
        <v>46119</v>
      </c>
      <c r="E29" s="2" t="s">
        <v>1158</v>
      </c>
      <c r="F29" s="2"/>
      <c r="G29" s="4" t="str">
        <f>IF($E29="","",IFERROR(IF(OR(NOT(ISNUMBER($D29)),NOT(ISNUMBER(INDEX(Settings!$E$4:$E$80,MATCH($E29,Settings!$A$4:$A$80,0))))),"No",IF($D29&gt;INDEX(Settings!$E$4:$E$80,MATCH($E29,Settings!$A$4:$A$80,0)),"Yes","No")),""))</f>
        <v>No</v>
      </c>
      <c r="H29" t="str">
        <f>IFERROR(TRIM(INDEX('Raw Data'!$S$5:$S$400,MATCH($B29,'Raw Data'!$H$5:$H$400,0))),"")</f>
        <v>RMN3MA/MY26B016499</v>
      </c>
    </row>
    <row r="30" spans="1:8" hidden="1">
      <c r="A30" s="18">
        <f>IFERROR(INDEX('Raw Data'!$D$5:$D$400,MATCH($B30,'Raw Data'!$H$5:$H$400,0)),"")</f>
        <v>46126.512106481481</v>
      </c>
      <c r="B30" s="2" t="s">
        <v>776</v>
      </c>
      <c r="C30" s="2" t="str">
        <f>IFERROR(TRIM(INDEX('Raw Data'!$J$5:$J$400,MATCH($B30,'Raw Data'!$H$5:$H$400,0))),"")</f>
        <v>Dollar General #14104</v>
      </c>
      <c r="D30" s="15">
        <f>IFERROR(INDEX('Store List'!$B$4:$B$300,MATCH($C30,'Store List'!$A$4:$A$300,0)),"")</f>
        <v>46105</v>
      </c>
      <c r="E30" s="2" t="s">
        <v>1159</v>
      </c>
      <c r="F30" s="2"/>
      <c r="G30" s="4" t="str">
        <f>IF($E30="","",IFERROR(IF(OR(NOT(ISNUMBER($D30)),NOT(ISNUMBER(INDEX(Settings!$E$4:$E$80,MATCH($E30,Settings!$A$4:$A$80,0))))),"No",IF($D30&gt;INDEX(Settings!$E$4:$E$80,MATCH($E30,Settings!$A$4:$A$80,0)),"Yes","No")),""))</f>
        <v>No</v>
      </c>
      <c r="H30" t="str">
        <f>IFERROR(TRIM(INDEX('Raw Data'!$S$5:$S$400,MATCH($B30,'Raw Data'!$H$5:$H$400,0))),"")</f>
        <v>RLN2MA/MY26B015990 Left</v>
      </c>
    </row>
    <row r="31" spans="1:8" hidden="1">
      <c r="A31" s="18">
        <f>IFERROR(INDEX('Raw Data'!$D$5:$D$400,MATCH($B31,'Raw Data'!$H$5:$H$400,0)),"")</f>
        <v>46126.520231481481</v>
      </c>
      <c r="B31" s="2" t="s">
        <v>769</v>
      </c>
      <c r="C31" s="2" t="str">
        <f>IFERROR(TRIM(INDEX('Raw Data'!$J$5:$J$400,MATCH($B31,'Raw Data'!$H$5:$H$400,0))),"")</f>
        <v>Dollar General #22286</v>
      </c>
      <c r="D31" s="15">
        <f>IFERROR(INDEX('Store List'!$B$4:$B$300,MATCH($C31,'Store List'!$A$4:$A$300,0)),"")</f>
        <v>46099</v>
      </c>
      <c r="E31" s="2" t="s">
        <v>1155</v>
      </c>
      <c r="F31" s="2"/>
      <c r="G31" s="4" t="str">
        <f>IF($E31="","",IFERROR(IF(OR(NOT(ISNUMBER($D31)),NOT(ISNUMBER(INDEX(Settings!$E$4:$E$80,MATCH($E31,Settings!$A$4:$A$80,0))))),"No",IF($D31&gt;INDEX(Settings!$E$4:$E$80,MATCH($E31,Settings!$A$4:$A$80,0)),"Yes","No")),""))</f>
        <v>No</v>
      </c>
      <c r="H31" t="str">
        <f>IFERROR(TRIM(INDEX('Raw Data'!$S$5:$S$400,MATCH($B31,'Raw Data'!$H$5:$H$400,0))),"")</f>
        <v>RLN2MA/MY26B014938, LEFT</v>
      </c>
    </row>
    <row r="32" spans="1:8" hidden="1">
      <c r="A32" s="18">
        <f>IFERROR(INDEX('Raw Data'!$D$5:$D$400,MATCH($B32,'Raw Data'!$H$5:$H$400,0)),"")</f>
        <v>46126.525127314817</v>
      </c>
      <c r="B32" s="2" t="s">
        <v>762</v>
      </c>
      <c r="C32" s="2" t="str">
        <f>IFERROR(TRIM(INDEX('Raw Data'!$J$5:$J$400,MATCH($B32,'Raw Data'!$H$5:$H$400,0))),"")</f>
        <v>Dollar General #20876</v>
      </c>
      <c r="D32" s="15">
        <f>IFERROR(INDEX('Store List'!$B$4:$B$300,MATCH($C32,'Store List'!$A$4:$A$300,0)),"")</f>
        <v>46112</v>
      </c>
      <c r="E32" s="2" t="s">
        <v>1147</v>
      </c>
      <c r="F32" s="2"/>
      <c r="G32" s="4" t="str">
        <f>IF($E32="","",IFERROR(IF(OR(NOT(ISNUMBER($D32)),NOT(ISNUMBER(INDEX(Settings!$E$4:$E$80,MATCH($E32,Settings!$A$4:$A$80,0))))),"No",IF($D32&gt;INDEX(Settings!$E$4:$E$80,MATCH($E32,Settings!$A$4:$A$80,0)),"Yes","No")),""))</f>
        <v>No</v>
      </c>
      <c r="H32" t="str">
        <f>IFERROR(TRIM(INDEX('Raw Data'!$S$5:$S$400,MATCH($B32,'Raw Data'!$H$5:$H$400,0))),"")</f>
        <v>RLN2MA/MY26B013812</v>
      </c>
    </row>
    <row r="33" spans="1:8" hidden="1">
      <c r="A33" s="18">
        <f>IFERROR(INDEX('Raw Data'!$D$5:$D$400,MATCH($B33,'Raw Data'!$H$5:$H$400,0)),"")</f>
        <v>46126.53460648148</v>
      </c>
      <c r="B33" s="2" t="s">
        <v>756</v>
      </c>
      <c r="C33" s="2" t="str">
        <f>IFERROR(TRIM(INDEX('Raw Data'!$J$5:$J$400,MATCH($B33,'Raw Data'!$H$5:$H$400,0))),"")</f>
        <v>Dollar General #22281</v>
      </c>
      <c r="D33" s="15">
        <f>IFERROR(INDEX('Store List'!$B$4:$B$300,MATCH($C33,'Store List'!$A$4:$A$300,0)),"")</f>
        <v>46118</v>
      </c>
      <c r="E33" s="2" t="s">
        <v>1156</v>
      </c>
      <c r="F33" s="2"/>
      <c r="G33" s="4" t="str">
        <f>IF($E33="","",IFERROR(IF(OR(NOT(ISNUMBER($D33)),NOT(ISNUMBER(INDEX(Settings!$E$4:$E$80,MATCH($E33,Settings!$A$4:$A$80,0))))),"No",IF($D33&gt;INDEX(Settings!$E$4:$E$80,MATCH($E33,Settings!$A$4:$A$80,0)),"Yes","No")),""))</f>
        <v>No</v>
      </c>
      <c r="H33" t="str">
        <f>IFERROR(TRIM(INDEX('Raw Data'!$S$5:$S$400,MATCH($B33,'Raw Data'!$H$5:$H$400,0))),"")</f>
        <v>RLN3MA/MY26B016019, RIGHT</v>
      </c>
    </row>
    <row r="34" spans="1:8" hidden="1">
      <c r="A34" s="18">
        <f>IFERROR(INDEX('Raw Data'!$D$5:$D$400,MATCH($B34,'Raw Data'!$H$5:$H$400,0)),"")</f>
        <v>46126.53460648148</v>
      </c>
      <c r="B34" s="2" t="s">
        <v>756</v>
      </c>
      <c r="C34" s="2" t="str">
        <f>IFERROR(TRIM(INDEX('Raw Data'!$J$5:$J$400,MATCH($B34,'Raw Data'!$H$5:$H$400,0))),"")</f>
        <v>Dollar General #22281</v>
      </c>
      <c r="D34" s="15">
        <f>IFERROR(INDEX('Store List'!$B$4:$B$300,MATCH($C34,'Store List'!$A$4:$A$300,0)),"")</f>
        <v>46118</v>
      </c>
      <c r="E34" s="2" t="s">
        <v>1155</v>
      </c>
      <c r="F34" s="2"/>
      <c r="G34" s="4" t="str">
        <f>IF($E34="","",IFERROR(IF(OR(NOT(ISNUMBER($D34)),NOT(ISNUMBER(INDEX(Settings!$E$4:$E$80,MATCH($E34,Settings!$A$4:$A$80,0))))),"No",IF($D34&gt;INDEX(Settings!$E$4:$E$80,MATCH($E34,Settings!$A$4:$A$80,0)),"Yes","No")),""))</f>
        <v>No</v>
      </c>
      <c r="H34" t="str">
        <f>IFERROR(TRIM(INDEX('Raw Data'!$S$5:$S$400,MATCH($B34,'Raw Data'!$H$5:$H$400,0))),"")</f>
        <v>RLN3MA/MY26B016019, RIGHT</v>
      </c>
    </row>
    <row r="35" spans="1:8" hidden="1">
      <c r="A35" s="18">
        <f>IFERROR(INDEX('Raw Data'!$D$5:$D$400,MATCH($B35,'Raw Data'!$H$5:$H$400,0)),"")</f>
        <v>46126.54146990741</v>
      </c>
      <c r="B35" s="2" t="s">
        <v>749</v>
      </c>
      <c r="C35" s="2" t="str">
        <f>IFERROR(TRIM(INDEX('Raw Data'!$J$5:$J$400,MATCH($B35,'Raw Data'!$H$5:$H$400,0))),"")</f>
        <v>Dollar General #3270</v>
      </c>
      <c r="D35" s="15">
        <f>IFERROR(INDEX('Store List'!$B$4:$B$300,MATCH($C35,'Store List'!$A$4:$A$300,0)),"")</f>
        <v>46120</v>
      </c>
      <c r="E35" s="2" t="s">
        <v>1148</v>
      </c>
      <c r="F35" s="2"/>
      <c r="G35" s="4" t="str">
        <f>IF($E35="","",IFERROR(IF(OR(NOT(ISNUMBER($D35)),NOT(ISNUMBER(INDEX(Settings!$E$4:$E$80,MATCH($E35,Settings!$A$4:$A$80,0))))),"No",IF($D35&gt;INDEX(Settings!$E$4:$E$80,MATCH($E35,Settings!$A$4:$A$80,0)),"Yes","No")),""))</f>
        <v>No</v>
      </c>
      <c r="H35" t="str">
        <f>IFERROR(TRIM(INDEX('Raw Data'!$S$5:$S$400,MATCH($B35,'Raw Data'!$H$5:$H$400,0))),"")</f>
        <v>RLN3MA/MY26B016488, RIGHT</v>
      </c>
    </row>
    <row r="36" spans="1:8" hidden="1">
      <c r="A36" s="18">
        <f>IFERROR(INDEX('Raw Data'!$D$5:$D$400,MATCH($B36,'Raw Data'!$H$5:$H$400,0)),"")</f>
        <v>46126.558541666673</v>
      </c>
      <c r="B36" s="2" t="s">
        <v>742</v>
      </c>
      <c r="C36" s="2" t="str">
        <f>IFERROR(TRIM(INDEX('Raw Data'!$J$5:$J$400,MATCH($B36,'Raw Data'!$H$5:$H$400,0))),"")</f>
        <v>Dollar General #22613</v>
      </c>
      <c r="D36" s="15">
        <f>IFERROR(INDEX('Store List'!$B$4:$B$300,MATCH($C36,'Store List'!$A$4:$A$300,0)),"")</f>
        <v>46099</v>
      </c>
      <c r="E36" s="2" t="s">
        <v>1154</v>
      </c>
      <c r="F36" s="2"/>
      <c r="G36" s="4" t="str">
        <f>IF($E36="","",IFERROR(IF(OR(NOT(ISNUMBER($D36)),NOT(ISNUMBER(INDEX(Settings!$E$4:$E$80,MATCH($E36,Settings!$A$4:$A$80,0))))),"No",IF($D36&gt;INDEX(Settings!$E$4:$E$80,MATCH($E36,Settings!$A$4:$A$80,0)),"Yes","No")),""))</f>
        <v>No</v>
      </c>
      <c r="H36" t="str">
        <f>IFERROR(TRIM(INDEX('Raw Data'!$S$5:$S$400,MATCH($B36,'Raw Data'!$H$5:$H$400,0))),"")</f>
        <v>RLN2MA/MY26B014941</v>
      </c>
    </row>
    <row r="37" spans="1:8" hidden="1">
      <c r="A37" s="18">
        <f>IFERROR(INDEX('Raw Data'!$D$5:$D$400,MATCH($B37,'Raw Data'!$H$5:$H$400,0)),"")</f>
        <v>46126.561631944453</v>
      </c>
      <c r="B37" s="2" t="s">
        <v>736</v>
      </c>
      <c r="C37" s="2" t="str">
        <f>IFERROR(TRIM(INDEX('Raw Data'!$J$5:$J$400,MATCH($B37,'Raw Data'!$H$5:$H$400,0))),"")</f>
        <v>Dollar General #14858</v>
      </c>
      <c r="D37" s="15">
        <f>IFERROR(INDEX('Store List'!$B$4:$B$300,MATCH($C37,'Store List'!$A$4:$A$300,0)),"")</f>
        <v>46097</v>
      </c>
      <c r="E37" s="2" t="s">
        <v>1160</v>
      </c>
      <c r="F37" s="2"/>
      <c r="G37" s="4" t="str">
        <f>IF($E37="","",IFERROR(IF(OR(NOT(ISNUMBER($D37)),NOT(ISNUMBER(INDEX(Settings!$E$4:$E$80,MATCH($E37,Settings!$A$4:$A$80,0))))),"No",IF($D37&gt;INDEX(Settings!$E$4:$E$80,MATCH($E37,Settings!$A$4:$A$80,0)),"Yes","No")),""))</f>
        <v>No</v>
      </c>
      <c r="H37" t="str">
        <f>IFERROR(TRIM(INDEX('Raw Data'!$S$5:$S$400,MATCH($B37,'Raw Data'!$H$5:$H$400,0))),"")</f>
        <v>RLN3MA/MY26B016004</v>
      </c>
    </row>
    <row r="38" spans="1:8" hidden="1">
      <c r="A38" s="18">
        <f>IFERROR(INDEX('Raw Data'!$D$5:$D$400,MATCH($B38,'Raw Data'!$H$5:$H$400,0)),"")</f>
        <v>46126.561631944453</v>
      </c>
      <c r="B38" s="2" t="s">
        <v>736</v>
      </c>
      <c r="C38" s="2" t="str">
        <f>IFERROR(TRIM(INDEX('Raw Data'!$J$5:$J$400,MATCH($B38,'Raw Data'!$H$5:$H$400,0))),"")</f>
        <v>Dollar General #14858</v>
      </c>
      <c r="D38" s="15">
        <f>IFERROR(INDEX('Store List'!$B$4:$B$300,MATCH($C38,'Store List'!$A$4:$A$300,0)),"")</f>
        <v>46097</v>
      </c>
      <c r="E38" s="2" t="s">
        <v>1156</v>
      </c>
      <c r="F38" s="2"/>
      <c r="G38" s="4" t="str">
        <f>IF($E38="","",IFERROR(IF(OR(NOT(ISNUMBER($D38)),NOT(ISNUMBER(INDEX(Settings!$E$4:$E$80,MATCH($E38,Settings!$A$4:$A$80,0))))),"No",IF($D38&gt;INDEX(Settings!$E$4:$E$80,MATCH($E38,Settings!$A$4:$A$80,0)),"Yes","No")),""))</f>
        <v>No</v>
      </c>
      <c r="H38" t="str">
        <f>IFERROR(TRIM(INDEX('Raw Data'!$S$5:$S$400,MATCH($B38,'Raw Data'!$H$5:$H$400,0))),"")</f>
        <v>RLN3MA/MY26B016004</v>
      </c>
    </row>
    <row r="39" spans="1:8" hidden="1">
      <c r="A39" s="18">
        <f>IFERROR(INDEX('Raw Data'!$D$5:$D$400,MATCH($B39,'Raw Data'!$H$5:$H$400,0)),"")</f>
        <v>46127.248645833337</v>
      </c>
      <c r="B39" s="2" t="s">
        <v>727</v>
      </c>
      <c r="C39" s="2" t="str">
        <f>IFERROR(TRIM(INDEX('Raw Data'!$J$5:$J$400,MATCH($B39,'Raw Data'!$H$5:$H$400,0))),"")</f>
        <v>Dollar General #22930</v>
      </c>
      <c r="D39" s="15">
        <f>IFERROR(INDEX('Store List'!$B$4:$B$300,MATCH($C39,'Store List'!$A$4:$A$300,0)),"")</f>
        <v>46128</v>
      </c>
      <c r="E39" s="2" t="s">
        <v>1148</v>
      </c>
      <c r="F39" s="2"/>
      <c r="G39" s="4" t="str">
        <f>IF($E39="","",IFERROR(IF(OR(NOT(ISNUMBER($D39)),NOT(ISNUMBER(INDEX(Settings!$E$4:$E$80,MATCH($E39,Settings!$A$4:$A$80,0))))),"No",IF($D39&gt;INDEX(Settings!$E$4:$E$80,MATCH($E39,Settings!$A$4:$A$80,0)),"Yes","No")),""))</f>
        <v>No</v>
      </c>
      <c r="H39" t="str">
        <f>IFERROR(TRIM(INDEX('Raw Data'!$S$5:$S$400,MATCH($B39,'Raw Data'!$H$5:$H$400,0))),"")</f>
        <v>RMN3MA/MY26C025316</v>
      </c>
    </row>
    <row r="40" spans="1:8" hidden="1">
      <c r="A40" s="18">
        <f>IFERROR(INDEX('Raw Data'!$D$5:$D$400,MATCH($B40,'Raw Data'!$H$5:$H$400,0)),"")</f>
        <v>46127.321759259263</v>
      </c>
      <c r="B40" s="2" t="s">
        <v>721</v>
      </c>
      <c r="C40" s="2" t="str">
        <f>IFERROR(TRIM(INDEX('Raw Data'!$J$5:$J$400,MATCH($B40,'Raw Data'!$H$5:$H$400,0))),"")</f>
        <v>Dollar General #21377</v>
      </c>
      <c r="D40" s="15">
        <f>IFERROR(INDEX('Store List'!$B$4:$B$300,MATCH($C40,'Store List'!$A$4:$A$300,0)),"")</f>
        <v>46093</v>
      </c>
      <c r="E40" s="2" t="s">
        <v>1160</v>
      </c>
      <c r="F40" s="2"/>
      <c r="G40" s="4" t="str">
        <f>IF($E40="","",IFERROR(IF(OR(NOT(ISNUMBER($D40)),NOT(ISNUMBER(INDEX(Settings!$E$4:$E$80,MATCH($E40,Settings!$A$4:$A$80,0))))),"No",IF($D40&gt;INDEX(Settings!$E$4:$E$80,MATCH($E40,Settings!$A$4:$A$80,0)),"Yes","No")),""))</f>
        <v>No</v>
      </c>
      <c r="H40" t="str">
        <f>IFERROR(TRIM(INDEX('Raw Data'!$S$5:$S$400,MATCH($B40,'Raw Data'!$H$5:$H$400,0))),"")</f>
        <v>RLN2MA/MY26B013804, LEFT</v>
      </c>
    </row>
    <row r="41" spans="1:8" hidden="1">
      <c r="A41" s="18">
        <f>IFERROR(INDEX('Raw Data'!$D$5:$D$400,MATCH($B41,'Raw Data'!$H$5:$H$400,0)),"")</f>
        <v>46128.454930555563</v>
      </c>
      <c r="B41" s="2" t="s">
        <v>712</v>
      </c>
      <c r="C41" s="2" t="str">
        <f>IFERROR(TRIM(INDEX('Raw Data'!$J$5:$J$400,MATCH($B41,'Raw Data'!$H$5:$H$400,0))),"")</f>
        <v>Dollar General #21135</v>
      </c>
      <c r="D41" s="15">
        <f>IFERROR(INDEX('Store List'!$B$4:$B$300,MATCH($C41,'Store List'!$A$4:$A$300,0)),"")</f>
        <v>46106</v>
      </c>
      <c r="E41" s="2" t="s">
        <v>1144</v>
      </c>
      <c r="F41" s="2" t="s">
        <v>1161</v>
      </c>
      <c r="G41" s="4" t="str">
        <f>IF($E41="","",IFERROR(IF(OR(NOT(ISNUMBER($D41)),NOT(ISNUMBER(INDEX(Settings!$E$4:$E$80,MATCH($E41,Settings!$A$4:$A$80,0))))),"No",IF($D41&gt;INDEX(Settings!$E$4:$E$80,MATCH($E41,Settings!$A$4:$A$80,0)),"Yes","No")),""))</f>
        <v>No</v>
      </c>
      <c r="H41" t="str">
        <f>IFERROR(TRIM(INDEX('Raw Data'!$S$5:$S$400,MATCH($B41,'Raw Data'!$H$5:$H$400,0))),"")</f>
        <v>RMN3MA/MY26b016480</v>
      </c>
    </row>
    <row r="42" spans="1:8" hidden="1">
      <c r="A42" s="18">
        <f>IFERROR(INDEX('Raw Data'!$D$5:$D$400,MATCH($B42,'Raw Data'!$H$5:$H$400,0)),"")</f>
        <v>46128.454930555563</v>
      </c>
      <c r="B42" s="2" t="s">
        <v>712</v>
      </c>
      <c r="C42" s="2" t="str">
        <f>IFERROR(TRIM(INDEX('Raw Data'!$J$5:$J$400,MATCH($B42,'Raw Data'!$H$5:$H$400,0))),"")</f>
        <v>Dollar General #21135</v>
      </c>
      <c r="D42" s="15">
        <f>IFERROR(INDEX('Store List'!$B$4:$B$300,MATCH($C42,'Store List'!$A$4:$A$300,0)),"")</f>
        <v>46106</v>
      </c>
      <c r="E42" s="2" t="s">
        <v>1146</v>
      </c>
      <c r="F42" s="2"/>
      <c r="G42" s="4" t="str">
        <f>IF($E42="","",IFERROR(IF(OR(NOT(ISNUMBER($D42)),NOT(ISNUMBER(INDEX(Settings!$E$4:$E$80,MATCH($E42,Settings!$A$4:$A$80,0))))),"No",IF($D42&gt;INDEX(Settings!$E$4:$E$80,MATCH($E42,Settings!$A$4:$A$80,0)),"Yes","No")),""))</f>
        <v>No</v>
      </c>
      <c r="H42" t="str">
        <f>IFERROR(TRIM(INDEX('Raw Data'!$S$5:$S$400,MATCH($B42,'Raw Data'!$H$5:$H$400,0))),"")</f>
        <v>RMN3MA/MY26b016480</v>
      </c>
    </row>
    <row r="43" spans="1:8" hidden="1">
      <c r="A43" s="18">
        <f>IFERROR(INDEX('Raw Data'!$D$5:$D$400,MATCH($B43,'Raw Data'!$H$5:$H$400,0)),"")</f>
        <v>46130.377754629633</v>
      </c>
      <c r="B43" s="2" t="s">
        <v>694</v>
      </c>
      <c r="C43" s="2" t="str">
        <f>IFERROR(TRIM(INDEX('Raw Data'!$J$5:$J$400,MATCH($B43,'Raw Data'!$H$5:$H$400,0))),"")</f>
        <v>Dollar General #22982</v>
      </c>
      <c r="D43" s="15">
        <f>IFERROR(INDEX('Store List'!$B$4:$B$300,MATCH($C43,'Store List'!$A$4:$A$300,0)),"")</f>
        <v>46126</v>
      </c>
      <c r="E43" s="2" t="s">
        <v>1160</v>
      </c>
      <c r="F43" s="2"/>
      <c r="G43" s="4" t="str">
        <f>IF($E43="","",IFERROR(IF(OR(NOT(ISNUMBER($D43)),NOT(ISNUMBER(INDEX(Settings!$E$4:$E$80,MATCH($E43,Settings!$A$4:$A$80,0))))),"No",IF($D43&gt;INDEX(Settings!$E$4:$E$80,MATCH($E43,Settings!$A$4:$A$80,0)),"Yes","No")),""))</f>
        <v>No</v>
      </c>
      <c r="H43" t="str">
        <f>IFERROR(TRIM(INDEX('Raw Data'!$S$5:$S$400,MATCH($B43,'Raw Data'!$H$5:$H$400,0))),"")</f>
        <v>RLN4MA/MY26B014967, LEFT</v>
      </c>
    </row>
    <row r="44" spans="1:8" hidden="1">
      <c r="A44" s="18">
        <f>IFERROR(INDEX('Raw Data'!$D$5:$D$400,MATCH($B44,'Raw Data'!$H$5:$H$400,0)),"")</f>
        <v>46133.411481481482</v>
      </c>
      <c r="B44" s="2" t="s">
        <v>674</v>
      </c>
      <c r="C44" s="2" t="str">
        <f>IFERROR(TRIM(INDEX('Raw Data'!$J$5:$J$400,MATCH($B44,'Raw Data'!$H$5:$H$400,0))),"")</f>
        <v>Dollar General #22930</v>
      </c>
      <c r="D44" s="15">
        <f>IFERROR(INDEX('Store List'!$B$4:$B$300,MATCH($C44,'Store List'!$A$4:$A$300,0)),"")</f>
        <v>46128</v>
      </c>
      <c r="E44" s="2" t="s">
        <v>1149</v>
      </c>
      <c r="F44" s="2"/>
      <c r="G44" s="4" t="str">
        <f>IF($E44="","",IFERROR(IF(OR(NOT(ISNUMBER($D44)),NOT(ISNUMBER(INDEX(Settings!$E$4:$E$80,MATCH($E44,Settings!$A$4:$A$80,0))))),"No",IF($D44&gt;INDEX(Settings!$E$4:$E$80,MATCH($E44,Settings!$A$4:$A$80,0)),"Yes","No")),""))</f>
        <v>No</v>
      </c>
      <c r="H44" t="str">
        <f>IFERROR(TRIM(INDEX('Raw Data'!$S$5:$S$400,MATCH($B44,'Raw Data'!$H$5:$H$400,0))),"")</f>
        <v>RLN4MA/MY26B014974</v>
      </c>
    </row>
    <row r="45" spans="1:8" hidden="1">
      <c r="A45" s="18">
        <f>IFERROR(INDEX('Raw Data'!$D$5:$D$400,MATCH($B45,'Raw Data'!$H$5:$H$400,0)),"")</f>
        <v>46133.411481481482</v>
      </c>
      <c r="B45" s="2" t="s">
        <v>674</v>
      </c>
      <c r="C45" s="2" t="str">
        <f>IFERROR(TRIM(INDEX('Raw Data'!$J$5:$J$400,MATCH($B45,'Raw Data'!$H$5:$H$400,0))),"")</f>
        <v>Dollar General #22930</v>
      </c>
      <c r="D45" s="15">
        <f>IFERROR(INDEX('Store List'!$B$4:$B$300,MATCH($C45,'Store List'!$A$4:$A$300,0)),"")</f>
        <v>46128</v>
      </c>
      <c r="E45" s="2" t="s">
        <v>1152</v>
      </c>
      <c r="F45" s="2"/>
      <c r="G45" s="4" t="str">
        <f>IF($E45="","",IFERROR(IF(OR(NOT(ISNUMBER($D45)),NOT(ISNUMBER(INDEX(Settings!$E$4:$E$80,MATCH($E45,Settings!$A$4:$A$80,0))))),"No",IF($D45&gt;INDEX(Settings!$E$4:$E$80,MATCH($E45,Settings!$A$4:$A$80,0)),"Yes","No")),""))</f>
        <v>No</v>
      </c>
      <c r="H45" t="str">
        <f>IFERROR(TRIM(INDEX('Raw Data'!$S$5:$S$400,MATCH($B45,'Raw Data'!$H$5:$H$400,0))),"")</f>
        <v>RLN4MA/MY26B014974</v>
      </c>
    </row>
    <row r="46" spans="1:8" hidden="1">
      <c r="A46" s="18">
        <f>IFERROR(INDEX('Raw Data'!$D$5:$D$400,MATCH($B46,'Raw Data'!$H$5:$H$400,0)),"")</f>
        <v>46135.265810185178</v>
      </c>
      <c r="B46" s="2" t="s">
        <v>659</v>
      </c>
      <c r="C46" s="2" t="str">
        <f>IFERROR(TRIM(INDEX('Raw Data'!$J$5:$J$400,MATCH($B46,'Raw Data'!$H$5:$H$400,0))),"")</f>
        <v>Dollar General #21130</v>
      </c>
      <c r="D46" s="15">
        <f>IFERROR(INDEX('Store List'!$B$4:$B$300,MATCH($C46,'Store List'!$A$4:$A$300,0)),"")</f>
        <v>46125</v>
      </c>
      <c r="E46" s="2" t="s">
        <v>1162</v>
      </c>
      <c r="F46" s="2"/>
      <c r="G46" s="4" t="str">
        <f>IF($E46="","",IFERROR(IF(OR(NOT(ISNUMBER($D46)),NOT(ISNUMBER(INDEX(Settings!$E$4:$E$80,MATCH($E46,Settings!$A$4:$A$80,0))))),"No",IF($D46&gt;INDEX(Settings!$E$4:$E$80,MATCH($E46,Settings!$A$4:$A$80,0)),"Yes","No")),""))</f>
        <v>No</v>
      </c>
      <c r="H46" t="str">
        <f>IFERROR(TRIM(INDEX('Raw Data'!$S$5:$S$400,MATCH($B46,'Raw Data'!$H$5:$H$400,0))),"")</f>
        <v>RLN3MA/MY26C019887</v>
      </c>
    </row>
    <row r="47" spans="1:8" hidden="1">
      <c r="A47" s="18">
        <f>IFERROR(INDEX('Raw Data'!$D$5:$D$400,MATCH($B47,'Raw Data'!$H$5:$H$400,0)),"")</f>
        <v>46134.244606481479</v>
      </c>
      <c r="B47" s="2" t="s">
        <v>664</v>
      </c>
      <c r="C47" s="2" t="str">
        <f>IFERROR(TRIM(INDEX('Raw Data'!$J$5:$J$400,MATCH($B47,'Raw Data'!$H$5:$H$400,0))),"")</f>
        <v>Dollar General #20876</v>
      </c>
      <c r="D47" s="15">
        <f>IFERROR(INDEX('Store List'!$B$4:$B$300,MATCH($C47,'Store List'!$A$4:$A$300,0)),"")</f>
        <v>46112</v>
      </c>
      <c r="E47" s="2" t="s">
        <v>1150</v>
      </c>
      <c r="F47" s="2"/>
      <c r="G47" s="4" t="str">
        <f>IF($E47="","",IFERROR(IF(OR(NOT(ISNUMBER($D47)),NOT(ISNUMBER(INDEX(Settings!$E$4:$E$80,MATCH($E47,Settings!$A$4:$A$80,0))))),"No",IF($D47&gt;INDEX(Settings!$E$4:$E$80,MATCH($E47,Settings!$A$4:$A$80,0)),"Yes","No")),""))</f>
        <v>No</v>
      </c>
      <c r="H47" t="str">
        <f>IFERROR(TRIM(INDEX('Raw Data'!$S$5:$S$400,MATCH($B47,'Raw Data'!$H$5:$H$400,0))),"")</f>
        <v>RMN4MA/MY26B013850, RLN3MA/MY26B013819, RNL2MA/MY26B013812, RMN3MA/MY26B013772, RMN3MA/MY26B013770, RFMN5/MY19M090256, RFMN5/MY19M090255, RFLN4/MY19M090238, RFLN4/MY19M090237, RFLN3/MY19M090226</v>
      </c>
    </row>
    <row r="48" spans="1:8" hidden="1">
      <c r="A48" s="18">
        <f>IFERROR(INDEX('Raw Data'!$D$5:$D$400,MATCH($B48,'Raw Data'!$H$5:$H$400,0)),"")</f>
        <v>46134.244606481479</v>
      </c>
      <c r="B48" s="2" t="s">
        <v>664</v>
      </c>
      <c r="C48" s="2" t="str">
        <f>IFERROR(TRIM(INDEX('Raw Data'!$J$5:$J$400,MATCH($B48,'Raw Data'!$H$5:$H$400,0))),"")</f>
        <v>Dollar General #20876</v>
      </c>
      <c r="D48" s="15">
        <f>IFERROR(INDEX('Store List'!$B$4:$B$300,MATCH($C48,'Store List'!$A$4:$A$300,0)),"")</f>
        <v>46112</v>
      </c>
      <c r="E48" s="2" t="s">
        <v>1147</v>
      </c>
      <c r="F48" s="2"/>
      <c r="G48" s="4" t="str">
        <f>IF($E48="","",IFERROR(IF(OR(NOT(ISNUMBER($D48)),NOT(ISNUMBER(INDEX(Settings!$E$4:$E$80,MATCH($E48,Settings!$A$4:$A$80,0))))),"No",IF($D48&gt;INDEX(Settings!$E$4:$E$80,MATCH($E48,Settings!$A$4:$A$80,0)),"Yes","No")),""))</f>
        <v>No</v>
      </c>
      <c r="H48" t="str">
        <f>IFERROR(TRIM(INDEX('Raw Data'!$S$5:$S$400,MATCH($B48,'Raw Data'!$H$5:$H$400,0))),"")</f>
        <v>RMN4MA/MY26B013850, RLN3MA/MY26B013819, RNL2MA/MY26B013812, RMN3MA/MY26B013772, RMN3MA/MY26B013770, RFMN5/MY19M090256, RFMN5/MY19M090255, RFLN4/MY19M090238, RFLN4/MY19M090237, RFLN3/MY19M090226</v>
      </c>
    </row>
    <row r="49" spans="1:8" hidden="1">
      <c r="A49" s="18">
        <f>IFERROR(INDEX('Raw Data'!$D$5:$D$400,MATCH($B49,'Raw Data'!$H$5:$H$400,0)),"")</f>
        <v>46139.225393518522</v>
      </c>
      <c r="B49" s="2" t="s">
        <v>642</v>
      </c>
      <c r="C49" s="2" t="str">
        <f>IFERROR(TRIM(INDEX('Raw Data'!$J$5:$J$400,MATCH($B49,'Raw Data'!$H$5:$H$400,0))),"")</f>
        <v>Dollar General #21342</v>
      </c>
      <c r="D49" s="15">
        <f>IFERROR(INDEX('Store List'!$B$4:$B$300,MATCH($C49,'Store List'!$A$4:$A$300,0)),"")</f>
        <v>46122</v>
      </c>
      <c r="E49" s="2" t="s">
        <v>1148</v>
      </c>
      <c r="F49" s="2"/>
      <c r="G49" s="4" t="str">
        <f>IF($E49="","",IFERROR(IF(OR(NOT(ISNUMBER($D49)),NOT(ISNUMBER(INDEX(Settings!$E$4:$E$80,MATCH($E49,Settings!$A$4:$A$80,0))))),"No",IF($D49&gt;INDEX(Settings!$E$4:$E$80,MATCH($E49,Settings!$A$4:$A$80,0)),"Yes","No")),""))</f>
        <v>No</v>
      </c>
      <c r="H49" t="str">
        <f>IFERROR(TRIM(INDEX('Raw Data'!$S$5:$S$400,MATCH($B49,'Raw Data'!$H$5:$H$400,0))),"")</f>
        <v>RLN3MA/MY26B016018, LEFT</v>
      </c>
    </row>
    <row r="50" spans="1:8" hidden="1">
      <c r="A50" s="18">
        <f>IFERROR(INDEX('Raw Data'!$D$5:$D$400,MATCH($B50,'Raw Data'!$H$5:$H$400,0)),"")</f>
        <v>46139.317384259259</v>
      </c>
      <c r="B50" s="2" t="s">
        <v>632</v>
      </c>
      <c r="C50" s="2" t="str">
        <f>IFERROR(TRIM(INDEX('Raw Data'!$J$5:$J$400,MATCH($B50,'Raw Data'!$H$5:$H$400,0))),"")</f>
        <v>Dollar General #20582</v>
      </c>
      <c r="D50" s="15">
        <f>IFERROR(INDEX('Store List'!$B$4:$B$300,MATCH($C50,'Store List'!$A$4:$A$300,0)),"")</f>
        <v>46098</v>
      </c>
      <c r="E50" s="2" t="s">
        <v>1149</v>
      </c>
      <c r="F50" s="2"/>
      <c r="G50" s="4" t="str">
        <f>IF($E50="","",IFERROR(IF(OR(NOT(ISNUMBER($D50)),NOT(ISNUMBER(INDEX(Settings!$E$4:$E$80,MATCH($E50,Settings!$A$4:$A$80,0))))),"No",IF($D50&gt;INDEX(Settings!$E$4:$E$80,MATCH($E50,Settings!$A$4:$A$80,0)),"Yes","No")),""))</f>
        <v>No</v>
      </c>
      <c r="H50" t="str">
        <f>IFERROR(TRIM(INDEX('Raw Data'!$S$5:$S$400,MATCH($B50,'Raw Data'!$H$5:$H$400,0))),"")</f>
        <v>RLN2MA/MY26B016475</v>
      </c>
    </row>
    <row r="51" spans="1:8" hidden="1">
      <c r="A51" s="18">
        <f>IFERROR(INDEX('Raw Data'!$D$5:$D$400,MATCH($B51,'Raw Data'!$H$5:$H$400,0)),"")</f>
        <v>46139.317384259259</v>
      </c>
      <c r="B51" s="2" t="s">
        <v>632</v>
      </c>
      <c r="C51" s="2" t="str">
        <f>IFERROR(TRIM(INDEX('Raw Data'!$J$5:$J$400,MATCH($B51,'Raw Data'!$H$5:$H$400,0))),"")</f>
        <v>Dollar General #20582</v>
      </c>
      <c r="D51" s="15">
        <f>IFERROR(INDEX('Store List'!$B$4:$B$300,MATCH($C51,'Store List'!$A$4:$A$300,0)),"")</f>
        <v>46098</v>
      </c>
      <c r="E51" s="2" t="s">
        <v>1163</v>
      </c>
      <c r="F51" s="2"/>
      <c r="G51" s="4" t="str">
        <f>IF($E51="","",IFERROR(IF(OR(NOT(ISNUMBER($D51)),NOT(ISNUMBER(INDEX(Settings!$E$4:$E$80,MATCH($E51,Settings!$A$4:$A$80,0))))),"No",IF($D51&gt;INDEX(Settings!$E$4:$E$80,MATCH($E51,Settings!$A$4:$A$80,0)),"Yes","No")),""))</f>
        <v>No</v>
      </c>
      <c r="H51" t="str">
        <f>IFERROR(TRIM(INDEX('Raw Data'!$S$5:$S$400,MATCH($B51,'Raw Data'!$H$5:$H$400,0))),"")</f>
        <v>RLN2MA/MY26B016475</v>
      </c>
    </row>
    <row r="52" spans="1:8" hidden="1">
      <c r="A52" s="18">
        <f>IFERROR(INDEX('Raw Data'!$D$5:$D$400,MATCH($B52,'Raw Data'!$H$5:$H$400,0)),"")</f>
        <v>46144.319444444453</v>
      </c>
      <c r="B52" s="2" t="s">
        <v>602</v>
      </c>
      <c r="C52" s="2" t="str">
        <f>IFERROR(TRIM(INDEX('Raw Data'!$J$5:$J$400,MATCH($B52,'Raw Data'!$H$5:$H$400,0))),"")</f>
        <v>Dollar General #13396</v>
      </c>
      <c r="D52" s="15">
        <f>IFERROR(INDEX('Store List'!$B$4:$B$300,MATCH($C52,'Store List'!$A$4:$A$300,0)),"")</f>
        <v>46141</v>
      </c>
      <c r="E52" s="2" t="s">
        <v>1150</v>
      </c>
      <c r="F52" s="2"/>
      <c r="G52" s="4" t="str">
        <f>IF($E52="","",IFERROR(IF(OR(NOT(ISNUMBER($D52)),NOT(ISNUMBER(INDEX(Settings!$E$4:$E$80,MATCH($E52,Settings!$A$4:$A$80,0))))),"No",IF($D52&gt;INDEX(Settings!$E$4:$E$80,MATCH($E52,Settings!$A$4:$A$80,0)),"Yes","No")),""))</f>
        <v>No</v>
      </c>
      <c r="H52" t="str">
        <f>IFERROR(TRIM(INDEX('Raw Data'!$S$5:$S$400,MATCH($B52,'Raw Data'!$H$5:$H$400,0))),"")</f>
        <v>RLN2MA MY26B016003</v>
      </c>
    </row>
    <row r="53" spans="1:8" hidden="1">
      <c r="A53" s="18">
        <f>IFERROR(INDEX('Raw Data'!$D$5:$D$400,MATCH($B53,'Raw Data'!$H$5:$H$400,0)),"")</f>
        <v>46147</v>
      </c>
      <c r="B53" s="2" t="s">
        <v>592</v>
      </c>
      <c r="C53" s="2" t="str">
        <f>IFERROR(TRIM(INDEX('Raw Data'!$J$5:$J$400,MATCH($B53,'Raw Data'!$H$5:$H$400,0))),"")</f>
        <v>Dollar General #13631</v>
      </c>
      <c r="D53" s="15">
        <f>IFERROR(INDEX('Store List'!$B$4:$B$300,MATCH($C53,'Store List'!$A$4:$A$300,0)),"")</f>
        <v>46147</v>
      </c>
      <c r="E53" s="2" t="s">
        <v>1155</v>
      </c>
      <c r="F53" s="2"/>
      <c r="G53" s="4" t="str">
        <f>IF($E53="","",IFERROR(IF(OR(NOT(ISNUMBER($D53)),NOT(ISNUMBER(INDEX(Settings!$E$4:$E$80,MATCH($E53,Settings!$A$4:$A$80,0))))),"No",IF($D53&gt;INDEX(Settings!$E$4:$E$80,MATCH($E53,Settings!$A$4:$A$80,0)),"Yes","No")),""))</f>
        <v>No</v>
      </c>
      <c r="H53" t="str">
        <f>IFERROR(TRIM(INDEX('Raw Data'!$S$5:$S$400,MATCH($B53,'Raw Data'!$H$5:$H$400,0))),"")</f>
        <v>RMN4MA/MY26D028116</v>
      </c>
    </row>
    <row r="54" spans="1:8" hidden="1">
      <c r="A54" s="18">
        <f>IFERROR(INDEX('Raw Data'!$D$5:$D$400,MATCH($B54,'Raw Data'!$H$5:$H$400,0)),"")</f>
        <v>46148</v>
      </c>
      <c r="B54" s="2" t="s">
        <v>582</v>
      </c>
      <c r="C54" s="2" t="str">
        <f>IFERROR(TRIM(INDEX('Raw Data'!$J$5:$J$400,MATCH($B54,'Raw Data'!$H$5:$H$400,0))),"")</f>
        <v>Dollar General #21606</v>
      </c>
      <c r="D54" s="15">
        <f>IFERROR(INDEX('Store List'!$B$4:$B$300,MATCH($C54,'Store List'!$A$4:$A$300,0)),"")</f>
        <v>46084</v>
      </c>
      <c r="E54" s="2" t="s">
        <v>1160</v>
      </c>
      <c r="F54" s="2"/>
      <c r="G54" s="4" t="str">
        <f>IF($E54="","",IFERROR(IF(OR(NOT(ISNUMBER($D54)),NOT(ISNUMBER(INDEX(Settings!$E$4:$E$80,MATCH($E54,Settings!$A$4:$A$80,0))))),"No",IF($D54&gt;INDEX(Settings!$E$4:$E$80,MATCH($E54,Settings!$A$4:$A$80,0)),"Yes","No")),""))</f>
        <v>No</v>
      </c>
      <c r="H54" t="str">
        <f>IFERROR(TRIM(INDEX('Raw Data'!$S$5:$S$400,MATCH($B54,'Raw Data'!$H$5:$H$400,0))),"")</f>
        <v>RLN3MA MY26B013826</v>
      </c>
    </row>
    <row r="55" spans="1:8" hidden="1">
      <c r="A55" s="18">
        <f>IFERROR(INDEX('Raw Data'!$D$5:$D$400,MATCH($B55,'Raw Data'!$H$5:$H$400,0)),"")</f>
        <v>46148</v>
      </c>
      <c r="B55" s="2" t="s">
        <v>582</v>
      </c>
      <c r="C55" s="2" t="str">
        <f>IFERROR(TRIM(INDEX('Raw Data'!$J$5:$J$400,MATCH($B55,'Raw Data'!$H$5:$H$400,0))),"")</f>
        <v>Dollar General #21606</v>
      </c>
      <c r="D55" s="15">
        <f>IFERROR(INDEX('Store List'!$B$4:$B$300,MATCH($C55,'Store List'!$A$4:$A$300,0)),"")</f>
        <v>46084</v>
      </c>
      <c r="E55" s="2" t="s">
        <v>1156</v>
      </c>
      <c r="F55" s="2"/>
      <c r="G55" s="4" t="str">
        <f>IF($E55="","",IFERROR(IF(OR(NOT(ISNUMBER($D55)),NOT(ISNUMBER(INDEX(Settings!$E$4:$E$80,MATCH($E55,Settings!$A$4:$A$80,0))))),"No",IF($D55&gt;INDEX(Settings!$E$4:$E$80,MATCH($E55,Settings!$A$4:$A$80,0)),"Yes","No")),""))</f>
        <v>No</v>
      </c>
      <c r="H55" t="str">
        <f>IFERROR(TRIM(INDEX('Raw Data'!$S$5:$S$400,MATCH($B55,'Raw Data'!$H$5:$H$400,0))),"")</f>
        <v>RLN3MA MY26B013826</v>
      </c>
    </row>
    <row r="56" spans="1:8" hidden="1">
      <c r="A56" s="18">
        <f>IFERROR(INDEX('Raw Data'!$D$5:$D$400,MATCH($B56,'Raw Data'!$H$5:$H$400,0)),"")</f>
        <v>46147.45208333333</v>
      </c>
      <c r="B56" s="2" t="s">
        <v>587</v>
      </c>
      <c r="C56" s="2" t="str">
        <f>IFERROR(TRIM(INDEX('Raw Data'!$J$5:$J$400,MATCH($B56,'Raw Data'!$H$5:$H$400,0))),"")</f>
        <v>Dollar General #10339</v>
      </c>
      <c r="D56" s="15">
        <f>IFERROR(INDEX('Store List'!$B$4:$B$300,MATCH($C56,'Store List'!$A$4:$A$300,0)),"")</f>
        <v>46141</v>
      </c>
      <c r="E56" s="2" t="s">
        <v>1164</v>
      </c>
      <c r="F56" s="2"/>
      <c r="G56" s="4" t="str">
        <f>IF($E56="","",IFERROR(IF(OR(NOT(ISNUMBER($D56)),NOT(ISNUMBER(INDEX(Settings!$E$4:$E$80,MATCH($E56,Settings!$A$4:$A$80,0))))),"No",IF($D56&gt;INDEX(Settings!$E$4:$E$80,MATCH($E56,Settings!$A$4:$A$80,0)),"Yes","No")),""))</f>
        <v>No</v>
      </c>
      <c r="H56" t="str">
        <f>IFERROR(TRIM(INDEX('Raw Data'!$S$5:$S$400,MATCH($B56,'Raw Data'!$H$5:$H$400,0))),"")</f>
        <v>RLN2MA MY26B016459</v>
      </c>
    </row>
    <row r="57" spans="1:8" hidden="1">
      <c r="A57" s="18">
        <f>IFERROR(INDEX('Raw Data'!$D$5:$D$400,MATCH($B57,'Raw Data'!$H$5:$H$400,0)),"")</f>
        <v>46150.382638888892</v>
      </c>
      <c r="B57" s="2" t="s">
        <v>576</v>
      </c>
      <c r="C57" s="2" t="str">
        <f>IFERROR(TRIM(INDEX('Raw Data'!$J$5:$J$400,MATCH($B57,'Raw Data'!$H$5:$H$400,0))),"")</f>
        <v>Dollar General #20639</v>
      </c>
      <c r="D57" s="15">
        <f>IFERROR(INDEX('Store List'!$B$4:$B$300,MATCH($C57,'Store List'!$A$4:$A$300,0)),"")</f>
        <v>46125</v>
      </c>
      <c r="E57" s="2" t="s">
        <v>1144</v>
      </c>
      <c r="F57" s="2" t="s">
        <v>1145</v>
      </c>
      <c r="G57" s="4" t="str">
        <f>IF($E57="","",IFERROR(IF(OR(NOT(ISNUMBER($D57)),NOT(ISNUMBER(INDEX(Settings!$E$4:$E$80,MATCH($E57,Settings!$A$4:$A$80,0))))),"No",IF($D57&gt;INDEX(Settings!$E$4:$E$80,MATCH($E57,Settings!$A$4:$A$80,0)),"Yes","No")),""))</f>
        <v>No</v>
      </c>
      <c r="H57" t="str">
        <f>IFERROR(TRIM(INDEX('Raw Data'!$S$5:$S$400,MATCH($B57,'Raw Data'!$H$5:$H$400,0))),"")</f>
        <v>RLN3MA/MY26B016016</v>
      </c>
    </row>
    <row r="58" spans="1:8" hidden="1">
      <c r="A58" s="18">
        <f>IFERROR(INDEX('Raw Data'!$D$5:$D$400,MATCH($B58,'Raw Data'!$H$5:$H$400,0)),"")</f>
        <v>46152.15625</v>
      </c>
      <c r="B58" s="2" t="s">
        <v>572</v>
      </c>
      <c r="C58" s="2" t="str">
        <f>IFERROR(TRIM(INDEX('Raw Data'!$J$5:$J$400,MATCH($B58,'Raw Data'!$H$5:$H$400,0))),"")</f>
        <v>Dollar General #22864</v>
      </c>
      <c r="D58" s="15">
        <f>IFERROR(INDEX('Store List'!$B$4:$B$300,MATCH($C58,'Store List'!$A$4:$A$300,0)),"")</f>
        <v>46105</v>
      </c>
      <c r="E58" s="2" t="s">
        <v>1236</v>
      </c>
      <c r="F58" s="2"/>
      <c r="G58" s="4" t="str">
        <f>IF($E58="","",IFERROR(IF(OR(NOT(ISNUMBER($D58)),NOT(ISNUMBER(INDEX(Settings!$E$4:$E$80,MATCH($E58,Settings!$A$4:$A$80,0))))),"No",IF($D58&gt;INDEX(Settings!$E$4:$E$80,MATCH($E58,Settings!$A$4:$A$80,0)),"Yes","No")),""))</f>
        <v>No</v>
      </c>
      <c r="H58" t="str">
        <f>IFERROR(TRIM(INDEX('Raw Data'!$S$5:$S$400,MATCH($B58,'Raw Data'!$H$5:$H$400,0))),"")</f>
        <v>RLN3MA/MY26B014958</v>
      </c>
    </row>
    <row r="59" spans="1:8" hidden="1">
      <c r="A59" s="18">
        <f>IFERROR(INDEX('Raw Data'!$D$5:$D$400,MATCH($B59,'Raw Data'!$H$5:$H$400,0)),"")</f>
        <v>46154.490277777782</v>
      </c>
      <c r="B59" s="2" t="s">
        <v>549</v>
      </c>
      <c r="C59" s="2" t="str">
        <f>IFERROR(TRIM(INDEX('Raw Data'!$J$5:$J$400,MATCH($B59,'Raw Data'!$H$5:$H$400,0))),"")</f>
        <v>Dollar General #22613</v>
      </c>
      <c r="D59" s="15">
        <f>IFERROR(INDEX('Store List'!$B$4:$B$300,MATCH($C59,'Store List'!$A$4:$A$300,0)),"")</f>
        <v>46099</v>
      </c>
      <c r="E59" s="2" t="s">
        <v>1148</v>
      </c>
      <c r="F59" s="2"/>
      <c r="G59" s="4" t="str">
        <f>IF($E59="","",IFERROR(IF(OR(NOT(ISNUMBER($D59)),NOT(ISNUMBER(INDEX(Settings!$E$4:$E$80,MATCH($E59,Settings!$A$4:$A$80,0))))),"No",IF($D59&gt;INDEX(Settings!$E$4:$E$80,MATCH($E59,Settings!$A$4:$A$80,0)),"Yes","No")),""))</f>
        <v>No</v>
      </c>
      <c r="H59" t="str">
        <f>IFERROR(TRIM(INDEX('Raw Data'!$S$5:$S$400,MATCH($B59,'Raw Data'!$H$5:$H$400,0))),"")</f>
        <v>RLN2MA/MY26B014941</v>
      </c>
    </row>
    <row r="60" spans="1:8" hidden="1">
      <c r="A60" s="18">
        <f>IFERROR(INDEX('Raw Data'!$D$5:$D$400,MATCH($B60,'Raw Data'!$H$5:$H$400,0)),"")</f>
        <v>46154.492361111108</v>
      </c>
      <c r="B60" s="2" t="s">
        <v>544</v>
      </c>
      <c r="C60" s="2" t="str">
        <f>IFERROR(TRIM(INDEX('Raw Data'!$J$5:$J$400,MATCH($B60,'Raw Data'!$H$5:$H$400,0))),"")</f>
        <v>Dollar General #14858</v>
      </c>
      <c r="D60" s="15">
        <f>IFERROR(INDEX('Store List'!$B$4:$B$300,MATCH($C60,'Store List'!$A$4:$A$300,0)),"")</f>
        <v>46097</v>
      </c>
      <c r="E60" s="2" t="s">
        <v>1148</v>
      </c>
      <c r="F60" s="2"/>
      <c r="G60" s="4" t="str">
        <f>IF($E60="","",IFERROR(IF(OR(NOT(ISNUMBER($D60)),NOT(ISNUMBER(INDEX(Settings!$E$4:$E$80,MATCH($E60,Settings!$A$4:$A$80,0))))),"No",IF($D60&gt;INDEX(Settings!$E$4:$E$80,MATCH($E60,Settings!$A$4:$A$80,0)),"Yes","No")),""))</f>
        <v>No</v>
      </c>
      <c r="H60" t="str">
        <f>IFERROR(TRIM(INDEX('Raw Data'!$S$5:$S$400,MATCH($B60,'Raw Data'!$H$5:$H$400,0))),"")</f>
        <v>RLN3MA/MY26B016004</v>
      </c>
    </row>
    <row r="61" spans="1:8" hidden="1">
      <c r="A61" s="18">
        <f>IFERROR(INDEX('Raw Data'!$D$5:$D$400,MATCH($B61,'Raw Data'!$H$5:$H$400,0)),"")</f>
        <v>46154.177083333343</v>
      </c>
      <c r="B61" s="2" t="s">
        <v>567</v>
      </c>
      <c r="C61" s="2" t="str">
        <f>IFERROR(TRIM(INDEX('Raw Data'!$J$5:$J$400,MATCH($B61,'Raw Data'!$H$5:$H$400,0))),"")</f>
        <v>Dollar General #3270</v>
      </c>
      <c r="D61" s="15">
        <f>IFERROR(INDEX('Store List'!$B$4:$B$300,MATCH($C61,'Store List'!$A$4:$A$300,0)),"")</f>
        <v>46120</v>
      </c>
      <c r="E61" s="2" t="s">
        <v>1148</v>
      </c>
      <c r="F61" s="2"/>
      <c r="G61" s="4" t="str">
        <f>IF($E61="","",IFERROR(IF(OR(NOT(ISNUMBER($D61)),NOT(ISNUMBER(INDEX(Settings!$E$4:$E$80,MATCH($E61,Settings!$A$4:$A$80,0))))),"No",IF($D61&gt;INDEX(Settings!$E$4:$E$80,MATCH($E61,Settings!$A$4:$A$80,0)),"Yes","No")),""))</f>
        <v>No</v>
      </c>
      <c r="H61" t="str">
        <f>IFERROR(TRIM(INDEX('Raw Data'!$S$5:$S$400,MATCH($B61,'Raw Data'!$H$5:$H$400,0))),"")</f>
        <v>RLN3MA/ MY26B016488, CENTER/RIGHT</v>
      </c>
    </row>
    <row r="62" spans="1:8" hidden="1">
      <c r="A62" s="18">
        <f>IFERROR(INDEX('Raw Data'!$D$5:$D$400,MATCH($B62,'Raw Data'!$H$5:$H$400,0)),"")</f>
        <v>46154.484722222223</v>
      </c>
      <c r="B62" s="2" t="s">
        <v>555</v>
      </c>
      <c r="C62" s="2" t="str">
        <f>IFERROR(TRIM(INDEX('Raw Data'!$J$5:$J$400,MATCH($B62,'Raw Data'!$H$5:$H$400,0))),"")</f>
        <v>Dollar General #14104</v>
      </c>
      <c r="D62" s="15">
        <f>IFERROR(INDEX('Store List'!$B$4:$B$300,MATCH($C62,'Store List'!$A$4:$A$300,0)),"")</f>
        <v>46105</v>
      </c>
      <c r="E62" s="2" t="s">
        <v>1165</v>
      </c>
      <c r="F62" s="2"/>
      <c r="G62" s="4" t="str">
        <f>IF($E62="","",IFERROR(IF(OR(NOT(ISNUMBER($D62)),NOT(ISNUMBER(INDEX(Settings!$E$4:$E$80,MATCH($E62,Settings!$A$4:$A$80,0))))),"No",IF($D62&gt;INDEX(Settings!$E$4:$E$80,MATCH($E62,Settings!$A$4:$A$80,0)),"Yes","No")),""))</f>
        <v>No</v>
      </c>
      <c r="H62" t="str">
        <f>IFERROR(TRIM(INDEX('Raw Data'!$S$5:$S$400,MATCH($B62,'Raw Data'!$H$5:$H$400,0))),"")</f>
        <v>RLN2MA/MY26B015990</v>
      </c>
    </row>
    <row r="63" spans="1:8" hidden="1">
      <c r="A63" s="18">
        <f>IFERROR(INDEX('Raw Data'!$D$5:$D$400,MATCH($B63,'Raw Data'!$H$5:$H$400,0)),"")</f>
        <v>46154.484722222223</v>
      </c>
      <c r="B63" s="2" t="s">
        <v>555</v>
      </c>
      <c r="C63" s="2" t="str">
        <f>IFERROR(TRIM(INDEX('Raw Data'!$J$5:$J$400,MATCH($B63,'Raw Data'!$H$5:$H$400,0))),"")</f>
        <v>Dollar General #14104</v>
      </c>
      <c r="D63" s="15">
        <f>IFERROR(INDEX('Store List'!$B$4:$B$300,MATCH($C63,'Store List'!$A$4:$A$300,0)),"")</f>
        <v>46105</v>
      </c>
      <c r="E63" s="2" t="s">
        <v>1166</v>
      </c>
      <c r="F63" s="2"/>
      <c r="G63" s="4" t="str">
        <f>IF($E63="","",IFERROR(IF(OR(NOT(ISNUMBER($D63)),NOT(ISNUMBER(INDEX(Settings!$E$4:$E$80,MATCH($E63,Settings!$A$4:$A$80,0))))),"No",IF($D63&gt;INDEX(Settings!$E$4:$E$80,MATCH($E63,Settings!$A$4:$A$80,0)),"Yes","No")),""))</f>
        <v>No</v>
      </c>
      <c r="H63" t="str">
        <f>IFERROR(TRIM(INDEX('Raw Data'!$S$5:$S$400,MATCH($B63,'Raw Data'!$H$5:$H$400,0))),"")</f>
        <v>RLN2MA/MY26B015990</v>
      </c>
    </row>
    <row r="64" spans="1:8" hidden="1">
      <c r="A64" s="18">
        <f>IFERROR(INDEX('Raw Data'!$D$5:$D$400,MATCH($B64,'Raw Data'!$H$5:$H$400,0)),"")</f>
        <v>46154.495138888888</v>
      </c>
      <c r="B64" s="2" t="s">
        <v>540</v>
      </c>
      <c r="C64" s="2" t="str">
        <f>IFERROR(TRIM(INDEX('Raw Data'!$J$5:$J$400,MATCH($B64,'Raw Data'!$H$5:$H$400,0))),"")</f>
        <v>Dollar General #22286</v>
      </c>
      <c r="D64" s="15">
        <f>IFERROR(INDEX('Store List'!$B$4:$B$300,MATCH($C64,'Store List'!$A$4:$A$300,0)),"")</f>
        <v>46099</v>
      </c>
      <c r="E64" s="2" t="s">
        <v>1165</v>
      </c>
      <c r="F64" s="2"/>
      <c r="G64" s="4" t="str">
        <f>IF($E64="","",IFERROR(IF(OR(NOT(ISNUMBER($D64)),NOT(ISNUMBER(INDEX(Settings!$E$4:$E$80,MATCH($E64,Settings!$A$4:$A$80,0))))),"No",IF($D64&gt;INDEX(Settings!$E$4:$E$80,MATCH($E64,Settings!$A$4:$A$80,0)),"Yes","No")),""))</f>
        <v>No</v>
      </c>
      <c r="H64" t="str">
        <f>IFERROR(TRIM(INDEX('Raw Data'!$S$5:$S$400,MATCH($B64,'Raw Data'!$H$5:$H$400,0))),"")</f>
        <v>RLN2MA/MY26B014938</v>
      </c>
    </row>
    <row r="65" spans="1:8" hidden="1">
      <c r="A65" s="18">
        <f>IFERROR(INDEX('Raw Data'!$D$5:$D$400,MATCH($B65,'Raw Data'!$H$5:$H$400,0)),"")</f>
        <v>46155.342361111107</v>
      </c>
      <c r="B65" s="2" t="s">
        <v>524</v>
      </c>
      <c r="C65" s="2" t="str">
        <f>IFERROR(TRIM(INDEX('Raw Data'!$J$5:$J$400,MATCH($B65,'Raw Data'!$H$5:$H$400,0))),"")</f>
        <v>Dollar General #21375</v>
      </c>
      <c r="D65" s="15">
        <f>IFERROR(INDEX('Store List'!$B$4:$B$300,MATCH($C65,'Store List'!$A$4:$A$300,0)),"")</f>
        <v>46091</v>
      </c>
      <c r="E65" s="2" t="s">
        <v>1236</v>
      </c>
      <c r="F65" s="2"/>
      <c r="G65" s="4" t="str">
        <f>IF($E65="","",IFERROR(IF(OR(NOT(ISNUMBER($D65)),NOT(ISNUMBER(INDEX(Settings!$E$4:$E$80,MATCH($E65,Settings!$A$4:$A$80,0))))),"No",IF($D65&gt;INDEX(Settings!$E$4:$E$80,MATCH($E65,Settings!$A$4:$A$80,0)),"Yes","No")),""))</f>
        <v>No</v>
      </c>
      <c r="H65" t="str">
        <f>IFERROR(TRIM(INDEX('Raw Data'!$S$5:$S$400,MATCH($B65,'Raw Data'!$H$5:$H$400,0))),"")</f>
        <v>RLN3MA/MY26B013828</v>
      </c>
    </row>
    <row r="66" spans="1:8" hidden="1">
      <c r="A66" s="18">
        <f>IFERROR(INDEX('Raw Data'!$D$5:$D$400,MATCH($B66,'Raw Data'!$H$5:$H$400,0)),"")</f>
        <v>46155.359722222223</v>
      </c>
      <c r="B66" s="2" t="s">
        <v>517</v>
      </c>
      <c r="C66" s="2" t="str">
        <f>IFERROR(TRIM(INDEX('Raw Data'!$J$5:$J$400,MATCH($B66,'Raw Data'!$H$5:$H$400,0))),"")</f>
        <v>Dollar General #21130</v>
      </c>
      <c r="D66" s="15">
        <f>IFERROR(INDEX('Store List'!$B$4:$B$300,MATCH($C66,'Store List'!$A$4:$A$300,0)),"")</f>
        <v>46125</v>
      </c>
      <c r="E66" s="2" t="s">
        <v>1146</v>
      </c>
      <c r="F66" s="2"/>
      <c r="G66" s="4" t="str">
        <f>IF($E66="","",IFERROR(IF(OR(NOT(ISNUMBER($D66)),NOT(ISNUMBER(INDEX(Settings!$E$4:$E$80,MATCH($E66,Settings!$A$4:$A$80,0))))),"No",IF($D66&gt;INDEX(Settings!$E$4:$E$80,MATCH($E66,Settings!$A$4:$A$80,0)),"Yes","No")),""))</f>
        <v>No</v>
      </c>
      <c r="H66" t="str">
        <f>IFERROR(TRIM(INDEX('Raw Data'!$S$5:$S$400,MATCH($B66,'Raw Data'!$H$5:$H$400,0))),"")</f>
        <v>RLN3MA/MY26C019887</v>
      </c>
    </row>
    <row r="67" spans="1:8" hidden="1">
      <c r="A67" s="18">
        <f>IFERROR(INDEX('Raw Data'!$D$5:$D$400,MATCH($B67,'Raw Data'!$H$5:$H$400,0)),"")</f>
        <v>46159.354166666657</v>
      </c>
      <c r="B67" s="2" t="s">
        <v>504</v>
      </c>
      <c r="C67" s="2" t="str">
        <f>IFERROR(TRIM(INDEX('Raw Data'!$J$5:$J$400,MATCH($B67,'Raw Data'!$H$5:$H$400,0))),"")</f>
        <v>Dollar General #20597</v>
      </c>
      <c r="D67" s="15">
        <f>IFERROR(INDEX('Store List'!$B$4:$B$300,MATCH($C67,'Store List'!$A$4:$A$300,0)),"")</f>
        <v>46134</v>
      </c>
      <c r="E67" s="2" t="s">
        <v>1167</v>
      </c>
      <c r="F67" s="2"/>
      <c r="G67" s="4" t="str">
        <f>IF($E67="","",IFERROR(IF(OR(NOT(ISNUMBER($D67)),NOT(ISNUMBER(INDEX(Settings!$E$4:$E$80,MATCH($E67,Settings!$A$4:$A$80,0))))),"No",IF($D67&gt;INDEX(Settings!$E$4:$E$80,MATCH($E67,Settings!$A$4:$A$80,0)),"Yes","No")),""))</f>
        <v>No</v>
      </c>
      <c r="H67" t="str">
        <f>IFERROR(TRIM(INDEX('Raw Data'!$S$5:$S$400,MATCH($B67,'Raw Data'!$H$5:$H$400,0))),"")</f>
        <v>RLN3MA/MY26B016493</v>
      </c>
    </row>
    <row r="68" spans="1:8" hidden="1">
      <c r="A68" s="18">
        <f>IFERROR(INDEX('Raw Data'!$D$5:$D$400,MATCH($B68,'Raw Data'!$H$5:$H$400,0)),"")</f>
        <v>46158.42083333333</v>
      </c>
      <c r="B68" s="2" t="s">
        <v>507</v>
      </c>
      <c r="C68" s="2" t="str">
        <f>IFERROR(TRIM(INDEX('Raw Data'!$J$5:$J$400,MATCH($B68,'Raw Data'!$H$5:$H$400,0))),"")</f>
        <v>Dollar General #21778</v>
      </c>
      <c r="D68" s="15">
        <f>IFERROR(INDEX('Store List'!$B$4:$B$300,MATCH($C68,'Store List'!$A$4:$A$300,0)),"")</f>
        <v>46148</v>
      </c>
      <c r="E68" s="2" t="s">
        <v>1146</v>
      </c>
      <c r="F68" s="2"/>
      <c r="G68" s="4" t="str">
        <f>IF($E68="","",IFERROR(IF(OR(NOT(ISNUMBER($D68)),NOT(ISNUMBER(INDEX(Settings!$E$4:$E$80,MATCH($E68,Settings!$A$4:$A$80,0))))),"No",IF($D68&gt;INDEX(Settings!$E$4:$E$80,MATCH($E68,Settings!$A$4:$A$80,0)),"Yes","No")),""))</f>
        <v>No</v>
      </c>
      <c r="H68" t="str">
        <f>IFERROR(TRIM(INDEX('Raw Data'!$S$5:$S$400,MATCH($B68,'Raw Data'!$H$5:$H$400,0))),"")</f>
        <v>RLN3MA/MY26D028107</v>
      </c>
    </row>
    <row r="69" spans="1:8" hidden="1">
      <c r="A69" s="18">
        <f>IFERROR(INDEX('Raw Data'!$D$5:$D$400,MATCH($B69,'Raw Data'!$H$5:$H$400,0)),"")</f>
        <v>46157.116666666669</v>
      </c>
      <c r="B69" s="2" t="s">
        <v>511</v>
      </c>
      <c r="C69" s="2" t="str">
        <f>IFERROR(TRIM(INDEX('Raw Data'!$J$5:$J$400,MATCH($B69,'Raw Data'!$H$5:$H$400,0))),"")</f>
        <v>Dollar General #14928</v>
      </c>
      <c r="D69" s="15">
        <f>IFERROR(INDEX('Store List'!$B$4:$B$300,MATCH($C69,'Store List'!$A$4:$A$300,0)),"")</f>
        <v>46154</v>
      </c>
      <c r="E69" s="2" t="s">
        <v>1160</v>
      </c>
      <c r="F69" s="2"/>
      <c r="G69" s="4" t="str">
        <f>IF($E69="","",IFERROR(IF(OR(NOT(ISNUMBER($D69)),NOT(ISNUMBER(INDEX(Settings!$E$4:$E$80,MATCH($E69,Settings!$A$4:$A$80,0))))),"No",IF($D69&gt;INDEX(Settings!$E$4:$E$80,MATCH($E69,Settings!$A$4:$A$80,0)),"Yes","No")),""))</f>
        <v>No</v>
      </c>
      <c r="H69" t="str">
        <f>IFERROR(TRIM(INDEX('Raw Data'!$S$5:$S$400,MATCH($B69,'Raw Data'!$H$5:$H$400,0))),"")</f>
        <v>RLN2MA/MY26D02809, RLN3MA/MY26D03141</v>
      </c>
    </row>
    <row r="70" spans="1:8" hidden="1">
      <c r="A70" s="18">
        <f>IFERROR(INDEX('Raw Data'!$D$5:$D$400,MATCH($B70,'Raw Data'!$H$5:$H$400,0)),"")</f>
        <v>46168.521793981483</v>
      </c>
      <c r="B70" s="2" t="s">
        <v>457</v>
      </c>
      <c r="C70" s="2" t="str">
        <f>IFERROR(TRIM(INDEX('Raw Data'!$J$5:$J$400,MATCH($B70,'Raw Data'!$H$5:$H$400,0))),"")</f>
        <v>Dollar General #12799</v>
      </c>
      <c r="D70" s="15" t="str">
        <f>IFERROR(INDEX('Store List'!$B$4:$B$300,MATCH($C70,'Store List'!$A$4:$A$300,0)),"")</f>
        <v/>
      </c>
      <c r="E70" s="2" t="s">
        <v>1162</v>
      </c>
      <c r="F70" s="2" t="s">
        <v>1168</v>
      </c>
      <c r="G70" s="4" t="str">
        <f>IF($E70="","",IFERROR(IF(OR(NOT(ISNUMBER($D70)),NOT(ISNUMBER(INDEX(Settings!$E$4:$E$80,MATCH($E70,Settings!$A$4:$A$80,0))))),"No",IF($D70&gt;INDEX(Settings!$E$4:$E$80,MATCH($E70,Settings!$A$4:$A$80,0)),"Yes","No")),""))</f>
        <v>No</v>
      </c>
      <c r="H70" t="str">
        <f>IFERROR(TRIM(INDEX('Raw Data'!$S$5:$S$400,MATCH($B70,'Raw Data'!$H$5:$H$400,0))),"")</f>
        <v/>
      </c>
    </row>
    <row r="71" spans="1:8" hidden="1">
      <c r="A71" s="18">
        <f>IFERROR(INDEX('Raw Data'!$D$5:$D$400,MATCH($B71,'Raw Data'!$H$5:$H$400,0)),"")</f>
        <v>46164.331030092602</v>
      </c>
      <c r="B71" s="2" t="s">
        <v>469</v>
      </c>
      <c r="C71" s="2" t="str">
        <f>IFERROR(TRIM(INDEX('Raw Data'!$J$5:$J$400,MATCH($B71,'Raw Data'!$H$5:$H$400,0))),"")</f>
        <v>Dollar General #10339</v>
      </c>
      <c r="D71" s="15">
        <f>IFERROR(INDEX('Store List'!$B$4:$B$300,MATCH($C71,'Store List'!$A$4:$A$300,0)),"")</f>
        <v>46141</v>
      </c>
      <c r="E71" s="2" t="s">
        <v>1146</v>
      </c>
      <c r="F71" s="2"/>
      <c r="G71" s="4" t="str">
        <f>IF($E71="","",IFERROR(IF(OR(NOT(ISNUMBER($D71)),NOT(ISNUMBER(INDEX(Settings!$E$4:$E$80,MATCH($E71,Settings!$A$4:$A$80,0))))),"No",IF($D71&gt;INDEX(Settings!$E$4:$E$80,MATCH($E71,Settings!$A$4:$A$80,0)),"Yes","No")),""))</f>
        <v>No</v>
      </c>
      <c r="H71" t="str">
        <f>IFERROR(TRIM(INDEX('Raw Data'!$S$5:$S$400,MATCH($B71,'Raw Data'!$H$5:$H$400,0))),"")</f>
        <v>RLN2MA/MY26B016459 (same case from 5/5)</v>
      </c>
    </row>
    <row r="72" spans="1:8" hidden="1">
      <c r="A72" s="18">
        <f>IFERROR(INDEX('Raw Data'!$D$5:$D$400,MATCH($B72,'Raw Data'!$H$5:$H$400,0)),"")</f>
        <v>46164.251944444448</v>
      </c>
      <c r="B72" s="2" t="s">
        <v>476</v>
      </c>
      <c r="C72" s="2" t="str">
        <f>IFERROR(TRIM(INDEX('Raw Data'!$J$5:$J$400,MATCH($B72,'Raw Data'!$H$5:$H$400,0))),"")</f>
        <v>Dollar General #19997</v>
      </c>
      <c r="D72" s="15">
        <f>IFERROR(INDEX('Store List'!$B$4:$B$300,MATCH($C72,'Store List'!$A$4:$A$300,0)),"")</f>
        <v>46142</v>
      </c>
      <c r="E72" s="2" t="s">
        <v>1144</v>
      </c>
      <c r="F72" s="2" t="s">
        <v>1145</v>
      </c>
      <c r="G72" s="4" t="str">
        <f>IF($E72="","",IFERROR(IF(OR(NOT(ISNUMBER($D72)),NOT(ISNUMBER(INDEX(Settings!$E$4:$E$80,MATCH($E72,Settings!$A$4:$A$80,0))))),"No",IF($D72&gt;INDEX(Settings!$E$4:$E$80,MATCH($E72,Settings!$A$4:$A$80,0)),"Yes","No")),""))</f>
        <v>No</v>
      </c>
      <c r="H72" t="str">
        <f>IFERROR(TRIM(INDEX('Raw Data'!$S$5:$S$400,MATCH($B72,'Raw Data'!$H$5:$H$400,0))),"")</f>
        <v>RMN4MA/MY26B016517</v>
      </c>
    </row>
    <row r="73" spans="1:8" hidden="1">
      <c r="A73" s="18">
        <f>IFERROR(INDEX('Raw Data'!$D$5:$D$400,MATCH($B73,'Raw Data'!$H$5:$H$400,0)),"")</f>
        <v>46162.52847222222</v>
      </c>
      <c r="B73" s="2" t="s">
        <v>484</v>
      </c>
      <c r="C73" s="2" t="str">
        <f>IFERROR(TRIM(INDEX('Raw Data'!$J$5:$J$400,MATCH($B73,'Raw Data'!$H$5:$H$400,0))),"")</f>
        <v>Dollar General #20107</v>
      </c>
      <c r="D73" s="15">
        <f>IFERROR(INDEX('Store List'!$B$4:$B$300,MATCH($C73,'Store List'!$A$4:$A$300,0)),"")</f>
        <v>46148</v>
      </c>
      <c r="E73" s="2" t="s">
        <v>1169</v>
      </c>
      <c r="F73" s="2"/>
      <c r="G73" s="4" t="str">
        <f>IF($E73="","",IFERROR(IF(OR(NOT(ISNUMBER($D73)),NOT(ISNUMBER(INDEX(Settings!$E$4:$E$80,MATCH($E73,Settings!$A$4:$A$80,0))))),"No",IF($D73&gt;INDEX(Settings!$E$4:$E$80,MATCH($E73,Settings!$A$4:$A$80,0)),"Yes","No")),""))</f>
        <v>No</v>
      </c>
      <c r="H73" t="str">
        <f>IFERROR(TRIM(INDEX('Raw Data'!$S$5:$S$400,MATCH($B73,'Raw Data'!$H$5:$H$400,0))),"")</f>
        <v>RLN2MA/MY26B015992 (not pulling up in PP)</v>
      </c>
    </row>
    <row r="74" spans="1:8" hidden="1">
      <c r="A74" s="18">
        <f>IFERROR(INDEX('Raw Data'!$D$5:$D$400,MATCH($B74,'Raw Data'!$H$5:$H$400,0)),"")</f>
        <v>46162.09652777778</v>
      </c>
      <c r="B74" s="2" t="s">
        <v>491</v>
      </c>
      <c r="C74" s="2" t="str">
        <f>IFERROR(TRIM(INDEX('Raw Data'!$J$5:$J$400,MATCH($B74,'Raw Data'!$H$5:$H$400,0))),"")</f>
        <v>Dollar General #21223</v>
      </c>
      <c r="D74" s="15">
        <f>IFERROR(INDEX('Store List'!$B$4:$B$300,MATCH($C74,'Store List'!$A$4:$A$300,0)),"")</f>
        <v>46120</v>
      </c>
      <c r="E74" s="2" t="s">
        <v>1162</v>
      </c>
      <c r="F74" s="2"/>
      <c r="G74" s="4" t="str">
        <f>IF($E74="","",IFERROR(IF(OR(NOT(ISNUMBER($D74)),NOT(ISNUMBER(INDEX(Settings!$E$4:$E$80,MATCH($E74,Settings!$A$4:$A$80,0))))),"No",IF($D74&gt;INDEX(Settings!$E$4:$E$80,MATCH($E74,Settings!$A$4:$A$80,0)),"Yes","No")),""))</f>
        <v>No</v>
      </c>
      <c r="H74" t="str">
        <f>IFERROR(TRIM(INDEX('Raw Data'!$S$5:$S$400,MATCH($B74,'Raw Data'!$H$5:$H$400,0))),"")</f>
        <v>RLN2MA MY26B014946</v>
      </c>
    </row>
    <row r="75" spans="1:8" hidden="1">
      <c r="A75" s="18">
        <f>IFERROR(INDEX('Raw Data'!$D$5:$D$400,MATCH($B75,'Raw Data'!$H$5:$H$400,0)),"")</f>
        <v>46160.246527777781</v>
      </c>
      <c r="B75" s="2" t="s">
        <v>498</v>
      </c>
      <c r="C75" s="2" t="str">
        <f>IFERROR(TRIM(INDEX('Raw Data'!$J$5:$J$400,MATCH($B75,'Raw Data'!$H$5:$H$400,0))),"")</f>
        <v>Dollar General #7231</v>
      </c>
      <c r="D75" s="15" t="str">
        <f>IFERROR(INDEX('Store List'!$B$4:$B$300,MATCH($C75,'Store List'!$A$4:$A$300,0)),"")</f>
        <v/>
      </c>
      <c r="E75" s="2" t="s">
        <v>1159</v>
      </c>
      <c r="F75" s="2"/>
      <c r="G75" s="4" t="str">
        <f>IF($E75="","",IFERROR(IF(OR(NOT(ISNUMBER($D75)),NOT(ISNUMBER(INDEX(Settings!$E$4:$E$80,MATCH($E75,Settings!$A$4:$A$80,0))))),"No",IF($D75&gt;INDEX(Settings!$E$4:$E$80,MATCH($E75,Settings!$A$4:$A$80,0)),"Yes","No")),""))</f>
        <v>No</v>
      </c>
      <c r="H75" t="str">
        <f>IFERROR(TRIM(INDEX('Raw Data'!$S$5:$S$400,MATCH($B75,'Raw Data'!$H$5:$H$400,0))),"")</f>
        <v/>
      </c>
    </row>
    <row r="76" spans="1:8" hidden="1">
      <c r="A76" s="18">
        <f>IFERROR(INDEX('Raw Data'!$D$5:$D$400,MATCH($B76,'Raw Data'!$H$5:$H$400,0)),"")</f>
        <v>46171.398611111108</v>
      </c>
      <c r="B76" s="2" t="s">
        <v>446</v>
      </c>
      <c r="C76" s="2" t="str">
        <f>IFERROR(TRIM(INDEX('Raw Data'!$J$5:$J$400,MATCH($B76,'Raw Data'!$H$5:$H$400,0))),"")</f>
        <v>Dollar General #20582</v>
      </c>
      <c r="D76" s="15">
        <f>IFERROR(INDEX('Store List'!$B$4:$B$300,MATCH($C76,'Store List'!$A$4:$A$300,0)),"")</f>
        <v>46098</v>
      </c>
      <c r="E76" s="2" t="s">
        <v>1144</v>
      </c>
      <c r="F76" s="2" t="s">
        <v>1145</v>
      </c>
      <c r="G76" s="4" t="str">
        <f>IF($E76="","",IFERROR(IF(OR(NOT(ISNUMBER($D76)),NOT(ISNUMBER(INDEX(Settings!$E$4:$E$80,MATCH($E76,Settings!$A$4:$A$80,0))))),"No",IF($D76&gt;INDEX(Settings!$E$4:$E$80,MATCH($E76,Settings!$A$4:$A$80,0)),"Yes","No")),""))</f>
        <v>No</v>
      </c>
      <c r="H76" t="str">
        <f>IFERROR(TRIM(INDEX('Raw Data'!$S$5:$S$400,MATCH($B76,'Raw Data'!$H$5:$H$400,0))),"")</f>
        <v>RLN3MA/MY26B014956</v>
      </c>
    </row>
    <row r="77" spans="1:8" hidden="1">
      <c r="A77" s="18">
        <f>IFERROR(INDEX('Raw Data'!$D$5:$D$400,MATCH($B77,'Raw Data'!$H$5:$H$400,0)),"")</f>
        <v>46172.206250000003</v>
      </c>
      <c r="B77" s="2" t="s">
        <v>432</v>
      </c>
      <c r="C77" s="2" t="str">
        <f>IFERROR(TRIM(INDEX('Raw Data'!$J$5:$J$400,MATCH($B77,'Raw Data'!$H$5:$H$400,0))),"")</f>
        <v>Dollar General #21415</v>
      </c>
      <c r="D77" s="15">
        <f>IFERROR(INDEX('Store List'!$B$4:$B$300,MATCH($C77,'Store List'!$A$4:$A$300,0)),"")</f>
        <v>46170</v>
      </c>
      <c r="E77" s="2" t="s">
        <v>1159</v>
      </c>
      <c r="F77" s="2" t="s">
        <v>1170</v>
      </c>
      <c r="G77" s="4" t="str">
        <f>IF($E77="","",IFERROR(IF(OR(NOT(ISNUMBER($D77)),NOT(ISNUMBER(INDEX(Settings!$E$4:$E$80,MATCH($E77,Settings!$A$4:$A$80,0))))),"No",IF($D77&gt;INDEX(Settings!$E$4:$E$80,MATCH($E77,Settings!$A$4:$A$80,0)),"Yes","No")),""))</f>
        <v>No</v>
      </c>
      <c r="H77" t="str">
        <f>IFERROR(TRIM(INDEX('Raw Data'!$S$5:$S$400,MATCH($B77,'Raw Data'!$H$5:$H$400,0))),"")</f>
        <v/>
      </c>
    </row>
    <row r="78" spans="1:8" hidden="1">
      <c r="A78" s="18">
        <f>IFERROR(INDEX('Raw Data'!$D$5:$D$400,MATCH($B78,'Raw Data'!$H$5:$H$400,0)),"")</f>
        <v>46172.145833333343</v>
      </c>
      <c r="B78" s="2" t="s">
        <v>439</v>
      </c>
      <c r="C78" s="2" t="str">
        <f>IFERROR(TRIM(INDEX('Raw Data'!$J$5:$J$400,MATCH($B78,'Raw Data'!$H$5:$H$400,0))),"")</f>
        <v>Dollar General #6372</v>
      </c>
      <c r="D78" s="15">
        <f>IFERROR(INDEX('Store List'!$B$4:$B$300,MATCH($C78,'Store List'!$A$4:$A$300,0)),"")</f>
        <v>46126</v>
      </c>
      <c r="E78" s="2" t="s">
        <v>1158</v>
      </c>
      <c r="F78" s="2" t="s">
        <v>1171</v>
      </c>
      <c r="G78" s="4" t="str">
        <f>IF($E78="","",IFERROR(IF(OR(NOT(ISNUMBER($D78)),NOT(ISNUMBER(INDEX(Settings!$E$4:$E$80,MATCH($E78,Settings!$A$4:$A$80,0))))),"No",IF($D78&gt;INDEX(Settings!$E$4:$E$80,MATCH($E78,Settings!$A$4:$A$80,0)),"Yes","No")),""))</f>
        <v>No</v>
      </c>
      <c r="H78" t="str">
        <f>IFERROR(TRIM(INDEX('Raw Data'!$S$5:$S$400,MATCH($B78,'Raw Data'!$H$5:$H$400,0))),"")</f>
        <v>RLN3MA/MY26C019883, RMN4MA/MY26B016031</v>
      </c>
    </row>
    <row r="79" spans="1:8" hidden="1">
      <c r="A79" s="18">
        <f>IFERROR(INDEX('Raw Data'!$D$5:$D$400,MATCH($B79,'Raw Data'!$H$5:$H$400,0)),"")</f>
        <v>46171.192361111112</v>
      </c>
      <c r="B79" s="2" t="s">
        <v>452</v>
      </c>
      <c r="C79" s="2" t="str">
        <f>IFERROR(TRIM(INDEX('Raw Data'!$J$5:$J$400,MATCH($B79,'Raw Data'!$H$5:$H$400,0))),"")</f>
        <v>Dollar General #14347</v>
      </c>
      <c r="D79" s="15">
        <f>IFERROR(INDEX('Store List'!$B$4:$B$300,MATCH($C79,'Store List'!$A$4:$A$300,0)),"")</f>
        <v>46134</v>
      </c>
      <c r="E79" s="2" t="s">
        <v>1146</v>
      </c>
      <c r="F79" s="2" t="s">
        <v>1172</v>
      </c>
      <c r="G79" s="4" t="str">
        <f>IF($E79="","",IFERROR(IF(OR(NOT(ISNUMBER($D79)),NOT(ISNUMBER(INDEX(Settings!$E$4:$E$80,MATCH($E79,Settings!$A$4:$A$80,0))))),"No",IF($D79&gt;INDEX(Settings!$E$4:$E$80,MATCH($E79,Settings!$A$4:$A$80,0)),"Yes","No")),""))</f>
        <v>No</v>
      </c>
      <c r="H79" t="str">
        <f>IFERROR(TRIM(INDEX('Raw Data'!$S$5:$S$400,MATCH($B79,'Raw Data'!$H$5:$H$400,0))),"")</f>
        <v/>
      </c>
    </row>
    <row r="80" spans="1:8" hidden="1">
      <c r="A80" s="18">
        <f>IFERROR(INDEX('Raw Data'!$D$5:$D$400,MATCH($B80,'Raw Data'!$H$5:$H$400,0)),"")</f>
        <v>46171.192361111112</v>
      </c>
      <c r="B80" s="2" t="s">
        <v>452</v>
      </c>
      <c r="C80" s="2" t="str">
        <f>IFERROR(TRIM(INDEX('Raw Data'!$J$5:$J$400,MATCH($B80,'Raw Data'!$H$5:$H$400,0))),"")</f>
        <v>Dollar General #14347</v>
      </c>
      <c r="D80" s="15">
        <f>IFERROR(INDEX('Store List'!$B$4:$B$300,MATCH($C80,'Store List'!$A$4:$A$300,0)),"")</f>
        <v>46134</v>
      </c>
      <c r="E80" s="2" t="s">
        <v>1159</v>
      </c>
      <c r="F80" s="2" t="s">
        <v>1170</v>
      </c>
      <c r="G80" s="4" t="str">
        <f>IF($E80="","",IFERROR(IF(OR(NOT(ISNUMBER($D80)),NOT(ISNUMBER(INDEX(Settings!$E$4:$E$80,MATCH($E80,Settings!$A$4:$A$80,0))))),"No",IF($D80&gt;INDEX(Settings!$E$4:$E$80,MATCH($E80,Settings!$A$4:$A$80,0)),"Yes","No")),""))</f>
        <v>No</v>
      </c>
      <c r="H80" t="str">
        <f>IFERROR(TRIM(INDEX('Raw Data'!$S$5:$S$400,MATCH($B80,'Raw Data'!$H$5:$H$400,0))),"")</f>
        <v/>
      </c>
    </row>
    <row r="81" spans="1:9">
      <c r="A81" s="18">
        <f>IFERROR(INDEX('Raw Data'!$D$5:$D$400,MATCH($B81,'Raw Data'!$H$5:$H$400,0)),"")</f>
        <v>46181.536805555559</v>
      </c>
      <c r="B81" s="2" t="s">
        <v>341</v>
      </c>
      <c r="C81" s="2" t="str">
        <f>IFERROR(TRIM(INDEX('Raw Data'!$J$5:$J$400,MATCH($B81,'Raw Data'!$H$5:$H$400,0))),"")</f>
        <v>Dollar General #2600</v>
      </c>
      <c r="D81" s="15">
        <f>IFERROR(INDEX('Store List'!$B$4:$B$300,MATCH($C81,'Store List'!$A$4:$A$300,0)),"")</f>
        <v>46169</v>
      </c>
      <c r="E81" s="2" t="s">
        <v>1173</v>
      </c>
      <c r="F81" s="2" t="s">
        <v>1174</v>
      </c>
      <c r="G81" s="4" t="str">
        <f>IF($E81="","",IFERROR(IF(OR(NOT(ISNUMBER($D81)),NOT(ISNUMBER(INDEX(Settings!$E$4:$E$80,MATCH($E81,Settings!$A$4:$A$80,0))))),"No",IF($D81&gt;INDEX(Settings!$E$4:$E$80,MATCH($E81,Settings!$A$4:$A$80,0)),"Yes","No")),""))</f>
        <v>Yes</v>
      </c>
      <c r="H81" t="str">
        <f>IFERROR(TRIM(INDEX('Raw Data'!$S$5:$S$400,MATCH($B81,'Raw Data'!$H$5:$H$400,0))),"")</f>
        <v>RMN3MA/MY26D026820</v>
      </c>
    </row>
    <row r="82" spans="1:9">
      <c r="A82" s="18">
        <f>IFERROR(INDEX('Raw Data'!$D$5:$D$400,MATCH($B82,'Raw Data'!$H$5:$H$400,0)),"")</f>
        <v>46180.355555555558</v>
      </c>
      <c r="B82" s="2" t="s">
        <v>358</v>
      </c>
      <c r="C82" s="2" t="str">
        <f>IFERROR(TRIM(INDEX('Raw Data'!$J$5:$J$400,MATCH($B82,'Raw Data'!$H$5:$H$400,0))),"")</f>
        <v>Dollar General #3277</v>
      </c>
      <c r="D82" s="15">
        <f>IFERROR(INDEX('Store List'!$B$4:$B$300,MATCH($C82,'Store List'!$A$4:$A$300,0)),"")</f>
        <v>46149</v>
      </c>
      <c r="E82" s="2" t="s">
        <v>1175</v>
      </c>
      <c r="F82" s="2" t="s">
        <v>1176</v>
      </c>
      <c r="G82" s="4" t="str">
        <f>IF($E82="","",IFERROR(IF(OR(NOT(ISNUMBER($D82)),NOT(ISNUMBER(INDEX(Settings!$E$4:$E$80,MATCH($E82,Settings!$A$4:$A$80,0))))),"No",IF($D82&gt;INDEX(Settings!$E$4:$E$80,MATCH($E82,Settings!$A$4:$A$80,0)),"Yes","No")),""))</f>
        <v>No</v>
      </c>
      <c r="H82" t="str">
        <f>IFERROR(TRIM(INDEX('Raw Data'!$S$5:$S$400,MATCH($B82,'Raw Data'!$H$5:$H$400,0))),"")</f>
        <v>RLN3MA/MY26D028108</v>
      </c>
    </row>
    <row r="83" spans="1:9" hidden="1">
      <c r="A83" s="18">
        <f>IFERROR(INDEX('Raw Data'!$D$5:$D$400,MATCH($B83,'Raw Data'!$H$5:$H$400,0)),"")</f>
        <v>46178.18472222222</v>
      </c>
      <c r="B83" s="2" t="s">
        <v>372</v>
      </c>
      <c r="C83" s="2" t="str">
        <f>IFERROR(TRIM(INDEX('Raw Data'!$J$5:$J$400,MATCH($B83,'Raw Data'!$H$5:$H$400,0))),"")</f>
        <v>Dollar General #1247</v>
      </c>
      <c r="D83" s="15">
        <f>IFERROR(INDEX('Store List'!$B$4:$B$300,MATCH($C83,'Store List'!$A$4:$A$300,0)),"")</f>
        <v>46174</v>
      </c>
      <c r="E83" t="s">
        <v>1148</v>
      </c>
      <c r="F83" s="2" t="s">
        <v>1177</v>
      </c>
      <c r="G83" s="4" t="str">
        <f>IF($E83="","",IFERROR(IF(OR(NOT(ISNUMBER($D83)),NOT(ISNUMBER(INDEX(Settings!$E$4:$E$80,MATCH($E83,Settings!$A$4:$A$80,0))))),"No",IF($D83&gt;INDEX(Settings!$E$4:$E$80,MATCH($E83,Settings!$A$4:$A$80,0)),"Yes","No")),""))</f>
        <v>Yes</v>
      </c>
      <c r="H83" t="str">
        <f>IFERROR(TRIM(INDEX('Raw Data'!$S$5:$S$400,MATCH($B83,'Raw Data'!$H$5:$H$400,0))),"")</f>
        <v>RLN4MA/MY26C019909</v>
      </c>
    </row>
    <row r="84" spans="1:9" hidden="1">
      <c r="A84" s="18">
        <f>IFERROR(INDEX('Raw Data'!$D$5:$D$400,MATCH($B84,'Raw Data'!$H$5:$H$400,0)),"")</f>
        <v>46177.4375</v>
      </c>
      <c r="B84" s="2" t="s">
        <v>389</v>
      </c>
      <c r="C84" s="2" t="str">
        <f>IFERROR(TRIM(INDEX('Raw Data'!$J$5:$J$400,MATCH($B84,'Raw Data'!$H$5:$H$400,0))),"")</f>
        <v>Dollar General #21342</v>
      </c>
      <c r="D84" s="15">
        <f>IFERROR(INDEX('Store List'!$B$4:$B$300,MATCH($C84,'Store List'!$A$4:$A$300,0)),"")</f>
        <v>46122</v>
      </c>
      <c r="E84" s="2" t="s">
        <v>1159</v>
      </c>
      <c r="F84" s="2" t="s">
        <v>1178</v>
      </c>
      <c r="G84" s="4" t="str">
        <f>IF($E84="","",IFERROR(IF(OR(NOT(ISNUMBER($D84)),NOT(ISNUMBER(INDEX(Settings!$E$4:$E$80,MATCH($E84,Settings!$A$4:$A$80,0))))),"No",IF($D84&gt;INDEX(Settings!$E$4:$E$80,MATCH($E84,Settings!$A$4:$A$80,0)),"Yes","No")),""))</f>
        <v>No</v>
      </c>
      <c r="H84" t="str">
        <f>IFERROR(TRIM(INDEX('Raw Data'!$S$5:$S$400,MATCH($B84,'Raw Data'!$H$5:$H$400,0))),"")</f>
        <v>RLN2MA/MY26C019880</v>
      </c>
    </row>
    <row r="85" spans="1:9" hidden="1">
      <c r="A85" s="18">
        <f>IFERROR(INDEX('Raw Data'!$D$5:$D$400,MATCH($B85,'Raw Data'!$H$5:$H$400,0)),"")</f>
        <v>46176.926388888889</v>
      </c>
      <c r="B85" s="2" t="s">
        <v>409</v>
      </c>
      <c r="C85" s="2" t="str">
        <f>IFERROR(TRIM(INDEX('Raw Data'!$J$5:$J$400,MATCH($B85,'Raw Data'!$H$5:$H$400,0))),"")</f>
        <v>Dollar General #1247</v>
      </c>
      <c r="D85" s="15">
        <f>IFERROR(INDEX('Store List'!$B$4:$B$300,MATCH($C85,'Store List'!$A$4:$A$300,0)),"")</f>
        <v>46174</v>
      </c>
      <c r="E85" s="2" t="s">
        <v>1148</v>
      </c>
      <c r="F85" s="2" t="s">
        <v>1179</v>
      </c>
      <c r="G85" s="4" t="str">
        <f>IF($E85="","",IFERROR(IF(OR(NOT(ISNUMBER($D85)),NOT(ISNUMBER(INDEX(Settings!$E$4:$E$80,MATCH($E85,Settings!$A$4:$A$80,0))))),"No",IF($D85&gt;INDEX(Settings!$E$4:$E$80,MATCH($E85,Settings!$A$4:$A$80,0)),"Yes","No")),""))</f>
        <v>Yes</v>
      </c>
      <c r="H85" t="str">
        <f>IFERROR(TRIM(INDEX('Raw Data'!$S$5:$S$400,MATCH($B85,'Raw Data'!$H$5:$H$400,0))),"")</f>
        <v>RMN4MA/MY26B016036</v>
      </c>
    </row>
    <row r="86" spans="1:9" hidden="1">
      <c r="A86" s="18">
        <f>IFERROR(INDEX('Raw Data'!$D$5:$D$400,MATCH($B86,'Raw Data'!$H$5:$H$400,0)),"")</f>
        <v>46176.40347222222</v>
      </c>
      <c r="B86" s="2" t="s">
        <v>415</v>
      </c>
      <c r="C86" s="2" t="str">
        <f>IFERROR(TRIM(INDEX('Raw Data'!$J$5:$J$400,MATCH($B86,'Raw Data'!$H$5:$H$400,0))),"")</f>
        <v>Dollar General #20336</v>
      </c>
      <c r="D86" s="15">
        <f>IFERROR(INDEX('Store List'!$B$4:$B$300,MATCH($C86,'Store List'!$A$4:$A$300,0)),"")</f>
        <v>46126</v>
      </c>
      <c r="E86" s="2" t="s">
        <v>1155</v>
      </c>
      <c r="F86" s="71" t="s">
        <v>1180</v>
      </c>
      <c r="G86" s="4" t="str">
        <f>IF($E86="","",IFERROR(IF(OR(NOT(ISNUMBER($D86)),NOT(ISNUMBER(INDEX(Settings!$E$4:$E$80,MATCH($E86,Settings!$A$4:$A$80,0))))),"No",IF($D86&gt;INDEX(Settings!$E$4:$E$80,MATCH($E86,Settings!$A$4:$A$80,0)),"Yes","No")),""))</f>
        <v>No</v>
      </c>
      <c r="H86" t="str">
        <f>IFERROR(TRIM(INDEX('Raw Data'!$S$5:$S$400,MATCH($B86,'Raw Data'!$H$5:$H$400,0))),"")</f>
        <v>RLN2MA/MY26B015996</v>
      </c>
      <c r="I86" t="s">
        <v>1181</v>
      </c>
    </row>
    <row r="87" spans="1:9">
      <c r="A87" s="18">
        <f>IFERROR(INDEX('Raw Data'!$D$5:$D$400,MATCH($B87,'Raw Data'!$H$5:$H$400,0)),"")</f>
        <v>46175.419444444437</v>
      </c>
      <c r="B87" s="2" t="s">
        <v>422</v>
      </c>
      <c r="C87" s="2" t="str">
        <f>IFERROR(TRIM(INDEX('Raw Data'!$J$5:$J$400,MATCH($B87,'Raw Data'!$H$5:$H$400,0))),"")</f>
        <v>Dollar General #20440</v>
      </c>
      <c r="D87" s="15">
        <f>IFERROR(INDEX('Store List'!$B$4:$B$300,MATCH($C87,'Store List'!$A$4:$A$300,0)),"")</f>
        <v>46161</v>
      </c>
      <c r="E87" s="2" t="s">
        <v>1167</v>
      </c>
      <c r="F87" s="2" t="s">
        <v>1182</v>
      </c>
      <c r="G87" s="4" t="str">
        <f>IF($E87="","",IFERROR(IF(OR(NOT(ISNUMBER($D87)),NOT(ISNUMBER(INDEX(Settings!$E$4:$E$80,MATCH($E87,Settings!$A$4:$A$80,0))))),"No",IF($D87&gt;INDEX(Settings!$E$4:$E$80,MATCH($E87,Settings!$A$4:$A$80,0)),"Yes","No")),""))</f>
        <v>No</v>
      </c>
      <c r="H87" t="str">
        <f>IFERROR(TRIM(INDEX('Raw Data'!$S$5:$S$400,MATCH($B87,'Raw Data'!$H$5:$H$400,0))),"")</f>
        <v>RLN3MA/MY26B016036</v>
      </c>
    </row>
    <row r="88" spans="1:9" hidden="1">
      <c r="A88" s="18">
        <f>IFERROR(INDEX('Raw Data'!$D$5:$D$400,MATCH($B88,'Raw Data'!$H$5:$H$400,0)),"")</f>
        <v>46175.418749999997</v>
      </c>
      <c r="B88" s="2" t="s">
        <v>428</v>
      </c>
      <c r="C88" s="2" t="str">
        <f>IFERROR(TRIM(INDEX('Raw Data'!$J$5:$J$400,MATCH($B88,'Raw Data'!$H$5:$H$400,0))),"")</f>
        <v>Dollar General #21709</v>
      </c>
      <c r="D88" s="15">
        <f>IFERROR(INDEX('Store List'!$B$4:$B$300,MATCH($C88,'Store List'!$A$4:$A$300,0)),"")</f>
        <v>46169</v>
      </c>
      <c r="E88" s="2" t="s">
        <v>1155</v>
      </c>
      <c r="F88" s="72" t="s">
        <v>1183</v>
      </c>
      <c r="G88" s="4" t="str">
        <f>IF($E88="","",IFERROR(IF(OR(NOT(ISNUMBER($D88)),NOT(ISNUMBER(INDEX(Settings!$E$4:$E$80,MATCH($E88,Settings!$A$4:$A$80,0))))),"No",IF($D88&gt;INDEX(Settings!$E$4:$E$80,MATCH($E88,Settings!$A$4:$A$80,0)),"Yes","No")),""))</f>
        <v>Yes</v>
      </c>
      <c r="H88" t="str">
        <f>IFERROR(TRIM(INDEX('Raw Data'!$S$5:$S$400,MATCH($B88,'Raw Data'!$H$5:$H$400,0))),"")</f>
        <v>RLN2MA/MY26B016465</v>
      </c>
    </row>
    <row r="89" spans="1:9" hidden="1">
      <c r="A89" s="18">
        <f>IFERROR(INDEX('Raw Data'!$D$5:$D$400,MATCH($B89,'Raw Data'!$H$5:$H$400,0)),"")</f>
        <v>46183</v>
      </c>
      <c r="B89" s="2" t="s">
        <v>320</v>
      </c>
      <c r="C89" s="2" t="str">
        <f>IFERROR(TRIM(INDEX('Raw Data'!$J$5:$J$400,MATCH($B89,'Raw Data'!$H$5:$H$400,0))),"")</f>
        <v>Dollar General # 13069</v>
      </c>
      <c r="D89" s="15">
        <f>IFERROR(INDEX('Store List'!$B$4:$B$300,MATCH($C89,'Store List'!$A$4:$A$300,0)),"")</f>
        <v>46127</v>
      </c>
      <c r="E89" s="2" t="s">
        <v>1175</v>
      </c>
      <c r="F89" s="2" t="s">
        <v>1184</v>
      </c>
      <c r="G89" s="4" t="str">
        <f>IF($E89="","",IFERROR(IF(OR(NOT(ISNUMBER($D89)),NOT(ISNUMBER(INDEX(Settings!$E$4:$E$80,MATCH($E89,Settings!$A$4:$A$80,0))))),"No",IF($D89&gt;INDEX(Settings!$E$4:$E$80,MATCH($E89,Settings!$A$4:$A$80,0)),"Yes","No")),""))</f>
        <v>No</v>
      </c>
      <c r="H89" t="str">
        <f>IFERROR(TRIM(INDEX('Raw Data'!$S$5:$S$400,MATCH($B89,'Raw Data'!$H$5:$H$400,0))),"")</f>
        <v>RMN4MA/MY26B014985</v>
      </c>
    </row>
    <row r="90" spans="1:9">
      <c r="A90" s="18">
        <f>IFERROR(INDEX('Raw Data'!$D$5:$D$400,MATCH($B90,'Raw Data'!$H$5:$H$400,0)),"")</f>
        <v>46182.395138888889</v>
      </c>
      <c r="B90" s="2" t="s">
        <v>329</v>
      </c>
      <c r="C90" s="2" t="str">
        <f>IFERROR(TRIM(INDEX('Raw Data'!$J$5:$J$400,MATCH($B90,'Raw Data'!$H$5:$H$400,0))),"")</f>
        <v>Dollar General #14341</v>
      </c>
      <c r="D90" s="15">
        <f>IFERROR(INDEX('Store List'!$B$4:$B$300,MATCH($C90,'Store List'!$A$4:$A$300,0)),"")</f>
        <v>46132</v>
      </c>
      <c r="E90" s="2" t="s">
        <v>1154</v>
      </c>
      <c r="F90" s="2" t="s">
        <v>1185</v>
      </c>
      <c r="G90" s="4" t="str">
        <f>IF($E90="","",IFERROR(IF(OR(NOT(ISNUMBER($D90)),NOT(ISNUMBER(INDEX(Settings!$E$4:$E$80,MATCH($E90,Settings!$A$4:$A$80,0))))),"No",IF($D90&gt;INDEX(Settings!$E$4:$E$80,MATCH($E90,Settings!$A$4:$A$80,0)),"Yes","No")),""))</f>
        <v>Yes</v>
      </c>
      <c r="H90" t="str">
        <f>IFERROR(TRIM(INDEX('Raw Data'!$S$5:$S$400,MATCH($B90,'Raw Data'!$H$5:$H$400,0))),"")</f>
        <v>RLN3MA/MY26B016495</v>
      </c>
    </row>
    <row r="91" spans="1:9">
      <c r="A91" s="18">
        <f>IFERROR(INDEX('Raw Data'!$D$5:$D$400,MATCH($B91,'Raw Data'!$H$5:$H$400,0)),"")</f>
        <v>46182.1875</v>
      </c>
      <c r="B91" s="2" t="s">
        <v>335</v>
      </c>
      <c r="C91" s="2" t="str">
        <f>IFERROR(TRIM(INDEX('Raw Data'!$J$5:$J$400,MATCH($B91,'Raw Data'!$H$5:$H$400,0))),"")</f>
        <v>Dollar General #22799</v>
      </c>
      <c r="D91" s="15">
        <f>IFERROR(INDEX('Store List'!$B$4:$B$300,MATCH($C91,'Store List'!$A$4:$A$300,0)),"")</f>
        <v>46099</v>
      </c>
      <c r="E91" s="2" t="s">
        <v>1167</v>
      </c>
      <c r="F91" s="2" t="s">
        <v>1186</v>
      </c>
      <c r="G91" s="4" t="str">
        <f>IF($E91="","",IFERROR(IF(OR(NOT(ISNUMBER($D91)),NOT(ISNUMBER(INDEX(Settings!$E$4:$E$80,MATCH($E91,Settings!$A$4:$A$80,0))))),"No",IF($D91&gt;INDEX(Settings!$E$4:$E$80,MATCH($E91,Settings!$A$4:$A$80,0)),"Yes","No")),""))</f>
        <v>No</v>
      </c>
      <c r="H91" t="str">
        <f>IFERROR(TRIM(INDEX('Raw Data'!$S$5:$S$400,MATCH($B91,'Raw Data'!$H$5:$H$400,0))),"")</f>
        <v>RLN3MA/MY26B016006</v>
      </c>
    </row>
    <row r="92" spans="1:9" hidden="1">
      <c r="A92" s="18"/>
      <c r="B92" s="2"/>
      <c r="C92" s="2"/>
      <c r="D92" s="15"/>
      <c r="E92" s="2"/>
      <c r="F92" s="2"/>
      <c r="G92" s="4" t="str">
        <f>IF($E92="","",IFERROR(IF(OR(NOT(ISNUMBER($D92)),NOT(ISNUMBER(INDEX(Settings!$E$4:$E$80,MATCH($E92,Settings!$A$4:$A$80,0))))),"No",IF($D92&gt;INDEX(Settings!$E$4:$E$80,MATCH($E92,Settings!$A$4:$A$80,0)),"Yes","No")),""))</f>
        <v/>
      </c>
    </row>
    <row r="93" spans="1:9" hidden="1">
      <c r="A93" s="18">
        <f>IFERROR(INDEX('Raw Data'!$D$5:$D$400,MATCH($B93,'Raw Data'!$H$5:$H$400,0)),"")</f>
        <v>46181.424305555563</v>
      </c>
      <c r="B93" s="2" t="s">
        <v>348</v>
      </c>
      <c r="C93" s="2" t="str">
        <f>IFERROR(TRIM(INDEX('Raw Data'!$J$5:$J$400,MATCH($B93,'Raw Data'!$H$5:$H$400,0))),"")</f>
        <v>Dollar General #20654</v>
      </c>
      <c r="D93" s="15">
        <f>IFERROR(INDEX('Store List'!$B$4:$B$300,MATCH($C93,'Store List'!$A$4:$A$300,0)),"")</f>
        <v>46106</v>
      </c>
      <c r="E93" s="2" t="s">
        <v>1187</v>
      </c>
      <c r="F93" s="2" t="s">
        <v>1188</v>
      </c>
      <c r="G93" s="4" t="str">
        <f>IF($E93="","",IFERROR(IF(OR(NOT(ISNUMBER($D93)),NOT(ISNUMBER(INDEX(Settings!$E$4:$E$80,MATCH($E93,Settings!$A$4:$A$80,0))))),"No",IF($D93&gt;INDEX(Settings!$E$4:$E$80,MATCH($E93,Settings!$A$4:$A$80,0)),"Yes","No")),""))</f>
        <v>No</v>
      </c>
      <c r="H93" t="str">
        <f>IFERROR(TRIM(INDEX('Raw Data'!$S$5:$S$400,MATCH($B93,'Raw Data'!$H$5:$H$400,0))),"")</f>
        <v>RLN2MA/MY26B016474</v>
      </c>
    </row>
    <row r="94" spans="1:9" hidden="1">
      <c r="A94" s="18">
        <f>IFERROR(INDEX('Raw Data'!$D$5:$D$400,MATCH($B94,'Raw Data'!$H$5:$H$400,0)),"")</f>
        <v>46181.335416666669</v>
      </c>
      <c r="B94" s="2" t="s">
        <v>353</v>
      </c>
      <c r="C94" s="2" t="str">
        <f>IFERROR(TRIM(INDEX('Raw Data'!$J$5:$J$400,MATCH($B94,'Raw Data'!$H$5:$H$400,0))),"")</f>
        <v>Dollar General #20761</v>
      </c>
      <c r="D94" s="15">
        <f>IFERROR(INDEX('Store List'!$B$4:$B$300,MATCH($C94,'Store List'!$A$4:$A$300,0)),"")</f>
        <v>46106</v>
      </c>
      <c r="E94" s="2" t="s">
        <v>1155</v>
      </c>
      <c r="F94" s="71" t="s">
        <v>1189</v>
      </c>
      <c r="G94" s="4" t="str">
        <f>IF($E94="","",IFERROR(IF(OR(NOT(ISNUMBER($D94)),NOT(ISNUMBER(INDEX(Settings!$E$4:$E$80,MATCH($E94,Settings!$A$4:$A$80,0))))),"No",IF($D94&gt;INDEX(Settings!$E$4:$E$80,MATCH($E94,Settings!$A$4:$A$80,0)),"Yes","No")),""))</f>
        <v>No</v>
      </c>
      <c r="H94" t="str">
        <f>IFERROR(TRIM(INDEX('Raw Data'!$S$5:$S$400,MATCH($B94,'Raw Data'!$H$5:$H$400,0))),"")</f>
        <v>RMN4MA/MY26B016036</v>
      </c>
      <c r="I94" t="s">
        <v>1181</v>
      </c>
    </row>
    <row r="95" spans="1:9" hidden="1">
      <c r="A95" s="18">
        <f>IFERROR(INDEX('Raw Data'!$D$5:$D$400,MATCH($B95,'Raw Data'!$H$5:$H$400,0)),"")</f>
        <v>46186.342361111107</v>
      </c>
      <c r="B95" s="2" t="s">
        <v>263</v>
      </c>
      <c r="C95" s="2" t="str">
        <f>IFERROR(TRIM(INDEX('Raw Data'!$J$5:$J$400,MATCH($B95,'Raw Data'!$H$5:$H$400,0))),"")</f>
        <v>Dollar General #13396</v>
      </c>
      <c r="D95" s="15">
        <f>IFERROR(INDEX('Store List'!$B$4:$B$300,MATCH($C95,'Store List'!$A$4:$A$300,0)),"")</f>
        <v>46141</v>
      </c>
      <c r="E95" s="2" t="s">
        <v>1147</v>
      </c>
      <c r="F95" s="2" t="s">
        <v>1190</v>
      </c>
      <c r="G95" s="4" t="str">
        <f>IF($E95="","",IFERROR(IF(OR(NOT(ISNUMBER($D95)),NOT(ISNUMBER(INDEX(Settings!$E$4:$E$80,MATCH($E95,Settings!$A$4:$A$80,0))))),"No",IF($D95&gt;INDEX(Settings!$E$4:$E$80,MATCH($E95,Settings!$A$4:$A$80,0)),"Yes","No")),""))</f>
        <v>No</v>
      </c>
      <c r="H95" t="str">
        <f>IFERROR(TRIM(INDEX('Raw Data'!$S$5:$S$400,MATCH($B95,'Raw Data'!$H$5:$H$400,0))),"")</f>
        <v>RLN2MA/MY26B016003</v>
      </c>
    </row>
    <row r="96" spans="1:9" hidden="1">
      <c r="A96" s="18">
        <f>IFERROR(INDEX('Raw Data'!$D$5:$D$400,MATCH($B96,'Raw Data'!$H$5:$H$400,0)),"")</f>
        <v>46185.45208333333</v>
      </c>
      <c r="B96" s="2" t="s">
        <v>270</v>
      </c>
      <c r="C96" s="2" t="str">
        <f>IFERROR(TRIM(INDEX('Raw Data'!$J$5:$J$400,MATCH($B96,'Raw Data'!$H$5:$H$400,0))),"")</f>
        <v>Dollar General #22286</v>
      </c>
      <c r="D96" s="15">
        <f>IFERROR(INDEX('Store List'!$B$4:$B$300,MATCH($C96,'Store List'!$A$4:$A$300,0)),"")</f>
        <v>46099</v>
      </c>
      <c r="E96" s="2" t="s">
        <v>1155</v>
      </c>
      <c r="F96" s="71" t="s">
        <v>1191</v>
      </c>
      <c r="G96" s="4" t="str">
        <f>IF($E96="","",IFERROR(IF(OR(NOT(ISNUMBER($D96)),NOT(ISNUMBER(INDEX(Settings!$E$4:$E$80,MATCH($E96,Settings!$A$4:$A$80,0))))),"No",IF($D96&gt;INDEX(Settings!$E$4:$E$80,MATCH($E96,Settings!$A$4:$A$80,0)),"Yes","No")),""))</f>
        <v>No</v>
      </c>
      <c r="H96" t="str">
        <f>IFERROR(TRIM(INDEX('Raw Data'!$S$5:$S$400,MATCH($B96,'Raw Data'!$H$5:$H$400,0))),"")</f>
        <v>RMN4MA/MY26B016036</v>
      </c>
      <c r="I96" t="s">
        <v>1181</v>
      </c>
    </row>
    <row r="97" spans="1:9" hidden="1">
      <c r="A97" s="18">
        <f>IFERROR(INDEX('Raw Data'!$D$5:$D$400,MATCH($B97,'Raw Data'!$H$5:$H$400,0)),"")</f>
        <v>46185.38958333333</v>
      </c>
      <c r="B97" s="2" t="s">
        <v>276</v>
      </c>
      <c r="C97" s="2" t="str">
        <f>IFERROR(TRIM(INDEX('Raw Data'!$J$5:$J$400,MATCH($B97,'Raw Data'!$H$5:$H$400,0))),"")</f>
        <v>Dollar General #11509</v>
      </c>
      <c r="D97" s="15">
        <f>IFERROR(INDEX('Store List'!$B$4:$B$300,MATCH($C97,'Store List'!$A$4:$A$300,0)),"")</f>
        <v>46161</v>
      </c>
      <c r="E97" s="2" t="s">
        <v>1162</v>
      </c>
      <c r="F97" s="2" t="s">
        <v>1192</v>
      </c>
      <c r="G97" s="4" t="str">
        <f>IF($E97="","",IFERROR(IF(OR(NOT(ISNUMBER($D97)),NOT(ISNUMBER(INDEX(Settings!$E$4:$E$80,MATCH($E97,Settings!$A$4:$A$80,0))))),"No",IF($D97&gt;INDEX(Settings!$E$4:$E$80,MATCH($E97,Settings!$A$4:$A$80,0)),"Yes","No")),""))</f>
        <v>No</v>
      </c>
      <c r="H97" t="str">
        <f>IFERROR(TRIM(INDEX('Raw Data'!$S$5:$S$400,MATCH($B97,'Raw Data'!$H$5:$H$400,0))),"")</f>
        <v>MY26B016494, RMN4MA/MY26B016536</v>
      </c>
    </row>
    <row r="98" spans="1:9">
      <c r="A98" s="18">
        <f>IFERROR(INDEX('Raw Data'!$D$5:$D$400,MATCH($B98,'Raw Data'!$H$5:$H$400,0)),"")</f>
        <v>46185.326388888891</v>
      </c>
      <c r="B98" s="2" t="s">
        <v>284</v>
      </c>
      <c r="C98" s="2" t="str">
        <f>IFERROR(TRIM(INDEX('Raw Data'!$J$5:$J$400,MATCH($B98,'Raw Data'!$H$5:$H$400,0))),"")</f>
        <v>Dollar General #22982</v>
      </c>
      <c r="D98" s="15">
        <f>IFERROR(INDEX('Store List'!$B$4:$B$300,MATCH($C98,'Store List'!$A$4:$A$300,0)),"")</f>
        <v>46126</v>
      </c>
      <c r="E98" s="2" t="s">
        <v>1162</v>
      </c>
      <c r="F98" s="2" t="s">
        <v>1193</v>
      </c>
      <c r="G98" s="4" t="str">
        <f>IF($E98="","",IFERROR(IF(OR(NOT(ISNUMBER($D98)),NOT(ISNUMBER(INDEX(Settings!$E$4:$E$80,MATCH($E98,Settings!$A$4:$A$80,0))))),"No",IF($D98&gt;INDEX(Settings!$E$4:$E$80,MATCH($E98,Settings!$A$4:$A$80,0)),"Yes","No")),""))</f>
        <v>No</v>
      </c>
      <c r="H98" t="str">
        <f>IFERROR(TRIM(INDEX('Raw Data'!$S$5:$S$400,MATCH($B98,'Raw Data'!$H$5:$H$400,0))),"")</f>
        <v>RLN3MA/MY26B016502, MY26B016013, RLN4MA/MY26B014967</v>
      </c>
    </row>
    <row r="99" spans="1:9">
      <c r="A99" s="18">
        <f>IFERROR(INDEX('Raw Data'!$D$5:$D$400,MATCH($B99,'Raw Data'!$H$5:$H$400,0)),"")</f>
        <v>46185.283333333333</v>
      </c>
      <c r="B99" s="2" t="s">
        <v>289</v>
      </c>
      <c r="C99" s="2" t="str">
        <f>IFERROR(TRIM(INDEX('Raw Data'!$J$5:$J$400,MATCH($B99,'Raw Data'!$H$5:$H$400,0))),"")</f>
        <v>Dollar General #21778</v>
      </c>
      <c r="D99" s="15">
        <f>IFERROR(INDEX('Store List'!$B$4:$B$300,MATCH($C99,'Store List'!$A$4:$A$300,0)),"")</f>
        <v>46148</v>
      </c>
      <c r="E99" s="2" t="s">
        <v>1146</v>
      </c>
      <c r="F99" s="2" t="s">
        <v>1194</v>
      </c>
      <c r="G99" s="4" t="str">
        <f>IF($E99="","",IFERROR(IF(OR(NOT(ISNUMBER($D99)),NOT(ISNUMBER(INDEX(Settings!$E$4:$E$80,MATCH($E99,Settings!$A$4:$A$80,0))))),"No",IF($D99&gt;INDEX(Settings!$E$4:$E$80,MATCH($E99,Settings!$A$4:$A$80,0)),"Yes","No")),""))</f>
        <v>No</v>
      </c>
      <c r="H99" t="str">
        <f>IFERROR(TRIM(INDEX('Raw Data'!$S$5:$S$400,MATCH($B99,'Raw Data'!$H$5:$H$400,0))),"")</f>
        <v>RLN3MA/MY26D028107</v>
      </c>
    </row>
    <row r="100" spans="1:9" hidden="1">
      <c r="A100" s="18">
        <f>IFERROR(INDEX('Raw Data'!$D$5:$D$400,MATCH($B100,'Raw Data'!$H$5:$H$400,0)),"")</f>
        <v>46185.274305555547</v>
      </c>
      <c r="B100" s="2" t="s">
        <v>294</v>
      </c>
      <c r="C100" s="2" t="str">
        <f>IFERROR(TRIM(INDEX('Raw Data'!$J$5:$J$400,MATCH($B100,'Raw Data'!$H$5:$H$400,0))),"")</f>
        <v>Dollar General #22281</v>
      </c>
      <c r="D100" s="15">
        <f>IFERROR(INDEX('Store List'!$B$4:$B$300,MATCH($C100,'Store List'!$A$4:$A$300,0)),"")</f>
        <v>46118</v>
      </c>
      <c r="E100" s="2" t="s">
        <v>1150</v>
      </c>
      <c r="F100" s="2" t="s">
        <v>1195</v>
      </c>
      <c r="G100" s="4" t="str">
        <f>IF($E100="","",IFERROR(IF(OR(NOT(ISNUMBER($D100)),NOT(ISNUMBER(INDEX(Settings!$E$4:$E$80,MATCH($E100,Settings!$A$4:$A$80,0))))),"No",IF($D100&gt;INDEX(Settings!$E$4:$E$80,MATCH($E100,Settings!$A$4:$A$80,0)),"Yes","No")),""))</f>
        <v>No</v>
      </c>
      <c r="H100" t="str">
        <f>IFERROR(TRIM(INDEX('Raw Data'!$S$5:$S$400,MATCH($B100,'Raw Data'!$H$5:$H$400,0))),"")</f>
        <v>RLN2MA/MY26C019876, MY26B016513, MY26B16019</v>
      </c>
    </row>
    <row r="101" spans="1:9" hidden="1">
      <c r="A101" s="18">
        <f>IFERROR(INDEX('Raw Data'!$D$5:$D$400,MATCH($B101,'Raw Data'!$H$5:$H$400,0)),"")</f>
        <v>46184.377083333333</v>
      </c>
      <c r="B101" s="2" t="s">
        <v>298</v>
      </c>
      <c r="C101" s="2" t="str">
        <f>IFERROR(TRIM(INDEX('Raw Data'!$J$5:$J$400,MATCH($B101,'Raw Data'!$H$5:$H$400,0))),"")</f>
        <v>Dollar General #22286</v>
      </c>
      <c r="D101" s="15">
        <f>IFERROR(INDEX('Store List'!$B$4:$B$300,MATCH($C101,'Store List'!$A$4:$A$300,0)),"")</f>
        <v>46099</v>
      </c>
      <c r="E101" s="2" t="s">
        <v>1144</v>
      </c>
      <c r="F101" s="2" t="s">
        <v>1196</v>
      </c>
      <c r="G101" s="4" t="str">
        <f>IF($E101="","",IFERROR(IF(OR(NOT(ISNUMBER($D101)),NOT(ISNUMBER(INDEX(Settings!$E$4:$E$80,MATCH($E101,Settings!$A$4:$A$80,0))))),"No",IF($D101&gt;INDEX(Settings!$E$4:$E$80,MATCH($E101,Settings!$A$4:$A$80,0)),"Yes","No")),""))</f>
        <v>No</v>
      </c>
      <c r="H101" t="str">
        <f>IFERROR(TRIM(INDEX('Raw Data'!$S$5:$S$400,MATCH($B101,'Raw Data'!$H$5:$H$400,0))),"")</f>
        <v>RLN2MA/MY26B014938</v>
      </c>
    </row>
    <row r="102" spans="1:9" hidden="1">
      <c r="A102" s="18">
        <f>IFERROR(INDEX('Raw Data'!$D$5:$D$400,MATCH($B102,'Raw Data'!$H$5:$H$400,0)),"")</f>
        <v>46184.052083333343</v>
      </c>
      <c r="B102" s="2" t="s">
        <v>304</v>
      </c>
      <c r="C102" s="2" t="str">
        <f>IFERROR(TRIM(INDEX('Raw Data'!$J$5:$J$400,MATCH($B102,'Raw Data'!$H$5:$H$400,0))),"")</f>
        <v>Dollar General #16435</v>
      </c>
      <c r="D102" s="15">
        <f>IFERROR(INDEX('Store List'!$B$4:$B$300,MATCH($C102,'Store List'!$A$4:$A$300,0)),"")</f>
        <v>46106</v>
      </c>
      <c r="E102" s="2" t="s">
        <v>1162</v>
      </c>
      <c r="F102" s="2" t="s">
        <v>1197</v>
      </c>
      <c r="G102" s="4" t="str">
        <f>IF($E102="","",IFERROR(IF(OR(NOT(ISNUMBER($D102)),NOT(ISNUMBER(INDEX(Settings!$E$4:$E$80,MATCH($E102,Settings!$A$4:$A$80,0))))),"No",IF($D102&gt;INDEX(Settings!$E$4:$E$80,MATCH($E102,Settings!$A$4:$A$80,0)),"Yes","No")),""))</f>
        <v>No</v>
      </c>
      <c r="H102" t="str">
        <f>IFERROR(TRIM(INDEX('Raw Data'!$S$5:$S$400,MATCH($B102,'Raw Data'!$H$5:$H$400,0))),"")</f>
        <v>RMN4MA/MY26B013841</v>
      </c>
    </row>
    <row r="103" spans="1:9">
      <c r="A103" s="18">
        <f>IFERROR(INDEX('Raw Data'!$D$5:$D$400,MATCH($B103,'Raw Data'!$H$5:$H$400,0)),"")</f>
        <v>46184</v>
      </c>
      <c r="B103" s="2" t="s">
        <v>312</v>
      </c>
      <c r="C103" s="2" t="str">
        <f>IFERROR(TRIM(INDEX('Raw Data'!$J$5:$J$400,MATCH($B103,'Raw Data'!$H$5:$H$400,0))),"")</f>
        <v>Dollar General #21135</v>
      </c>
      <c r="D103" s="15">
        <f>IFERROR(INDEX('Store List'!$B$4:$B$300,MATCH($C103,'Store List'!$A$4:$A$300,0)),"")</f>
        <v>46106</v>
      </c>
      <c r="E103" s="2" t="s">
        <v>1144</v>
      </c>
      <c r="F103" s="2" t="s">
        <v>1198</v>
      </c>
      <c r="G103" s="4" t="str">
        <f>IF($E103="","",IFERROR(IF(OR(NOT(ISNUMBER($D103)),NOT(ISNUMBER(INDEX(Settings!$E$4:$E$80,MATCH($E103,Settings!$A$4:$A$80,0))))),"No",IF($D103&gt;INDEX(Settings!$E$4:$E$80,MATCH($E103,Settings!$A$4:$A$80,0)),"Yes","No")),""))</f>
        <v>No</v>
      </c>
      <c r="H103" t="str">
        <f>IFERROR(TRIM(INDEX('Raw Data'!$S$5:$S$400,MATCH($B103,'Raw Data'!$H$5:$H$400,0))),"")</f>
        <v>RMN3MA/MY26B016480</v>
      </c>
    </row>
    <row r="104" spans="1:9" hidden="1">
      <c r="A104" s="18">
        <f>IFERROR(INDEX('Raw Data'!$D$5:$D$400,MATCH($B104,'Raw Data'!$H$5:$H$400,0)),"")</f>
        <v>46183</v>
      </c>
      <c r="B104" s="2" t="s">
        <v>320</v>
      </c>
      <c r="C104" s="2" t="str">
        <f>IFERROR(TRIM(INDEX('Raw Data'!$J$5:$J$400,MATCH($B104,'Raw Data'!$H$5:$H$400,0))),"")</f>
        <v>Dollar General # 13069</v>
      </c>
      <c r="D104" s="15">
        <f>IFERROR(INDEX('Store List'!$B$4:$B$300,MATCH($C104,'Store List'!$A$4:$A$300,0)),"")</f>
        <v>46127</v>
      </c>
      <c r="E104" s="2" t="s">
        <v>1175</v>
      </c>
      <c r="F104" s="2" t="s">
        <v>1184</v>
      </c>
      <c r="G104" s="4" t="str">
        <f>IF($E104="","",IFERROR(IF(OR(NOT(ISNUMBER($D104)),NOT(ISNUMBER(INDEX(Settings!$E$4:$E$80,MATCH($E104,Settings!$A$4:$A$80,0))))),"No",IF($D104&gt;INDEX(Settings!$E$4:$E$80,MATCH($E104,Settings!$A$4:$A$80,0)),"Yes","No")),""))</f>
        <v>No</v>
      </c>
      <c r="H104" t="str">
        <f>IFERROR(TRIM(INDEX('Raw Data'!$S$5:$S$400,MATCH($B104,'Raw Data'!$H$5:$H$400,0))),"")</f>
        <v>RMN4MA/MY26B014985</v>
      </c>
    </row>
    <row r="105" spans="1:9" hidden="1">
      <c r="A105" s="18">
        <f>IFERROR(INDEX('Raw Data'!$D$5:$D$400,MATCH($B105,'Raw Data'!$H$5:$H$400,0)),"")</f>
        <v>46183</v>
      </c>
      <c r="B105" s="2" t="s">
        <v>325</v>
      </c>
      <c r="C105" s="2" t="str">
        <f>IFERROR(TRIM(INDEX('Raw Data'!$J$5:$J$400,MATCH($B105,'Raw Data'!$H$5:$H$400,0))),"")</f>
        <v>Dollar General #14104</v>
      </c>
      <c r="D105" s="15">
        <f>IFERROR(INDEX('Store List'!$B$4:$B$300,MATCH($C105,'Store List'!$A$4:$A$300,0)),"")</f>
        <v>46105</v>
      </c>
      <c r="E105" s="2" t="s">
        <v>1187</v>
      </c>
      <c r="F105" s="2" t="s">
        <v>1199</v>
      </c>
      <c r="G105" s="4" t="str">
        <f>IF($E105="","",IFERROR(IF(OR(NOT(ISNUMBER($D105)),NOT(ISNUMBER(INDEX(Settings!$E$4:$E$80,MATCH($E105,Settings!$A$4:$A$80,0))))),"No",IF($D105&gt;INDEX(Settings!$E$4:$E$80,MATCH($E105,Settings!$A$4:$A$80,0)),"Yes","No")),""))</f>
        <v>No</v>
      </c>
      <c r="H105" t="str">
        <f>IFERROR(TRIM(INDEX('Raw Data'!$S$5:$S$400,MATCH($B105,'Raw Data'!$H$5:$H$400,0))),"")</f>
        <v>RLN2MA/MY26B015990</v>
      </c>
    </row>
    <row r="106" spans="1:9" hidden="1">
      <c r="A106" s="18">
        <f>IFERROR(INDEX('Raw Data'!$D$5:$D$400,MATCH($B106,'Raw Data'!$H$5:$H$400,0)),"")</f>
        <v>46200.147916666669</v>
      </c>
      <c r="B106" s="2" t="s">
        <v>156</v>
      </c>
      <c r="C106" s="2" t="str">
        <f>IFERROR(TRIM(INDEX('Raw Data'!$J$5:$J$400,MATCH($B106,'Raw Data'!$H$5:$H$400,0))),"")</f>
        <v>Dollar General #20100</v>
      </c>
      <c r="D106" s="15">
        <f>IFERROR(INDEX('Store List'!$B$4:$B$300,MATCH($C106,'Store List'!$A$4:$A$300,0)),"")</f>
        <v>46190</v>
      </c>
      <c r="E106" s="2" t="s">
        <v>1164</v>
      </c>
      <c r="F106" s="2" t="s">
        <v>1200</v>
      </c>
      <c r="G106" s="4" t="str">
        <f>IF($E106="","",IFERROR(IF(OR(NOT(ISNUMBER($D106)),NOT(ISNUMBER(INDEX(Settings!$E$4:$E$80,MATCH($E106,Settings!$A$4:$A$80,0))))),"No",IF($D106&gt;INDEX(Settings!$E$4:$E$80,MATCH($E106,Settings!$A$4:$A$80,0)),"Yes","No")),""))</f>
        <v>Yes</v>
      </c>
      <c r="H106" t="str">
        <f>IFERROR(TRIM(INDEX('Raw Data'!$S$5:$S$400,MATCH($B106,'Raw Data'!$H$5:$H$400,0))),"")</f>
        <v>RLN2MA MY26D029644</v>
      </c>
    </row>
    <row r="107" spans="1:9">
      <c r="A107" s="18">
        <f>IFERROR(INDEX('Raw Data'!$D$5:$D$400,MATCH($B107,'Raw Data'!$H$5:$H$400,0)),"")</f>
        <v>46199.431250000001</v>
      </c>
      <c r="B107" s="2" t="s">
        <v>161</v>
      </c>
      <c r="C107" s="2" t="str">
        <f>IFERROR(TRIM(INDEX('Raw Data'!$J$5:$J$400,MATCH($B107,'Raw Data'!$H$5:$H$400,0))),"")</f>
        <v>Dollar General #21359</v>
      </c>
      <c r="D107" s="15">
        <f>IFERROR(INDEX('Store List'!$B$4:$B$300,MATCH($C107,'Store List'!$A$4:$A$300,0)),"")</f>
        <v>46140</v>
      </c>
      <c r="E107" s="2" t="s">
        <v>1147</v>
      </c>
      <c r="F107" s="2" t="s">
        <v>1201</v>
      </c>
      <c r="G107" s="4" t="str">
        <f>IF($E107="","",IFERROR(IF(OR(NOT(ISNUMBER($D107)),NOT(ISNUMBER(INDEX(Settings!$E$4:$E$80,MATCH($E107,Settings!$A$4:$A$80,0))))),"No",IF($D107&gt;INDEX(Settings!$E$4:$E$80,MATCH($E107,Settings!$A$4:$A$80,0)),"Yes","No")),""))</f>
        <v>No</v>
      </c>
      <c r="H107" t="str">
        <f>IFERROR(TRIM(INDEX('Raw Data'!$S$5:$S$400,MATCH($B107,'Raw Data'!$H$5:$H$400,0))),"")</f>
        <v>RLN3MA / MY26B016014</v>
      </c>
    </row>
    <row r="108" spans="1:9">
      <c r="A108" s="18">
        <f>IFERROR(INDEX('Raw Data'!$D$5:$D$400,MATCH($B108,'Raw Data'!$H$5:$H$400,0)),"")</f>
        <v>46199.416666666657</v>
      </c>
      <c r="B108" s="2" t="s">
        <v>168</v>
      </c>
      <c r="C108" s="2" t="str">
        <f>IFERROR(TRIM(INDEX('Raw Data'!$J$5:$J$400,MATCH($B108,'Raw Data'!$H$5:$H$400,0))),"")</f>
        <v>Dollar General #20440</v>
      </c>
      <c r="D108" s="15">
        <f>IFERROR(INDEX('Store List'!$B$4:$B$300,MATCH($C108,'Store List'!$A$4:$A$300,0)),"")</f>
        <v>46161</v>
      </c>
      <c r="E108" s="2" t="s">
        <v>1144</v>
      </c>
      <c r="F108" s="2" t="s">
        <v>1202</v>
      </c>
      <c r="G108" s="4" t="str">
        <f>IF($E108="","",IFERROR(IF(OR(NOT(ISNUMBER($D108)),NOT(ISNUMBER(INDEX(Settings!$E$4:$E$80,MATCH($E108,Settings!$A$4:$A$80,0))))),"No",IF($D108&gt;INDEX(Settings!$E$4:$E$80,MATCH($E108,Settings!$A$4:$A$80,0)),"Yes","No")),""))</f>
        <v>No</v>
      </c>
      <c r="H108" t="str">
        <f>IFERROR(TRIM(INDEX('Raw Data'!$S$5:$S$400,MATCH($B108,'Raw Data'!$H$5:$H$400,0))),"")</f>
        <v>RLN3MA/ MY26D032603</v>
      </c>
    </row>
    <row r="109" spans="1:9">
      <c r="A109" s="18">
        <f>IFERROR(INDEX('Raw Data'!$D$5:$D$400,MATCH($B109,'Raw Data'!$H$5:$H$400,0)),"")</f>
        <v>46199.416666666657</v>
      </c>
      <c r="B109" s="2" t="s">
        <v>168</v>
      </c>
      <c r="C109" s="2" t="str">
        <f>IFERROR(TRIM(INDEX('Raw Data'!$J$5:$J$400,MATCH($B109,'Raw Data'!$H$5:$H$400,0))),"")</f>
        <v>Dollar General #20440</v>
      </c>
      <c r="D109" s="15">
        <f>IFERROR(INDEX('Store List'!$B$4:$B$300,MATCH($C109,'Store List'!$A$4:$A$300,0)),"")</f>
        <v>46161</v>
      </c>
      <c r="E109" s="2" t="s">
        <v>1162</v>
      </c>
      <c r="F109" s="2" t="s">
        <v>1203</v>
      </c>
      <c r="G109" s="4" t="str">
        <f>IF($E109="","",IFERROR(IF(OR(NOT(ISNUMBER($D109)),NOT(ISNUMBER(INDEX(Settings!$E$4:$E$80,MATCH($E109,Settings!$A$4:$A$80,0))))),"No",IF($D109&gt;INDEX(Settings!$E$4:$E$80,MATCH($E109,Settings!$A$4:$A$80,0)),"Yes","No")),""))</f>
        <v>No</v>
      </c>
      <c r="H109" t="str">
        <f>IFERROR(TRIM(INDEX('Raw Data'!$S$5:$S$400,MATCH($B109,'Raw Data'!$H$5:$H$400,0))),"")</f>
        <v>RLN3MA/ MY26D032603</v>
      </c>
    </row>
    <row r="110" spans="1:9">
      <c r="A110" s="18">
        <f>IFERROR(INDEX('Raw Data'!$D$5:$D$400,MATCH($B110,'Raw Data'!$H$5:$H$400,0)),"")</f>
        <v>46199.177083333343</v>
      </c>
      <c r="B110" s="2" t="s">
        <v>173</v>
      </c>
      <c r="C110" s="2" t="str">
        <f>IFERROR(TRIM(INDEX('Raw Data'!$J$5:$J$400,MATCH($B110,'Raw Data'!$H$5:$H$400,0))),"")</f>
        <v>Dollar General #10520</v>
      </c>
      <c r="D110" s="15">
        <f>IFERROR(INDEX('Store List'!$B$4:$B$300,MATCH($C110,'Store List'!$A$4:$A$300,0)),"")</f>
        <v>46199</v>
      </c>
      <c r="E110" s="2" t="s">
        <v>1155</v>
      </c>
      <c r="F110" s="75" t="s">
        <v>1204</v>
      </c>
      <c r="G110" s="4" t="str">
        <f>IF($E110="","",IFERROR(IF(OR(NOT(ISNUMBER($D110)),NOT(ISNUMBER(INDEX(Settings!$E$4:$E$80,MATCH($E110,Settings!$A$4:$A$80,0))))),"No",IF($D110&gt;INDEX(Settings!$E$4:$E$80,MATCH($E110,Settings!$A$4:$A$80,0)),"Yes","No")),""))</f>
        <v>Yes</v>
      </c>
      <c r="H110" t="str">
        <f>IFERROR(TRIM(INDEX('Raw Data'!$S$5:$S$400,MATCH($B110,'Raw Data'!$H$5:$H$400,0))),"")</f>
        <v>RLN3MA / MY26E039362</v>
      </c>
      <c r="I110" t="s">
        <v>1205</v>
      </c>
    </row>
    <row r="111" spans="1:9" hidden="1">
      <c r="A111" s="18">
        <f>IFERROR(INDEX('Raw Data'!$D$5:$D$400,MATCH($B111,'Raw Data'!$H$5:$H$400,0)),"")</f>
        <v>46198.496527777781</v>
      </c>
      <c r="B111" s="2" t="s">
        <v>178</v>
      </c>
      <c r="C111" s="2" t="str">
        <f>IFERROR(TRIM(INDEX('Raw Data'!$J$5:$J$400,MATCH($B111,'Raw Data'!$H$5:$H$400,0))),"")</f>
        <v>Dollar General #13009</v>
      </c>
      <c r="D111" s="15">
        <f>IFERROR(INDEX('Store List'!$B$4:$B$300,MATCH($C111,'Store List'!$A$4:$A$300,0)),"")</f>
        <v>46169</v>
      </c>
      <c r="E111" s="2" t="s">
        <v>1175</v>
      </c>
      <c r="F111" s="2" t="s">
        <v>1206</v>
      </c>
      <c r="G111" s="4" t="str">
        <f>IF($E111="","",IFERROR(IF(OR(NOT(ISNUMBER($D111)),NOT(ISNUMBER(INDEX(Settings!$E$4:$E$80,MATCH($E111,Settings!$A$4:$A$80,0))))),"No",IF($D111&gt;INDEX(Settings!$E$4:$E$80,MATCH($E111,Settings!$A$4:$A$80,0)),"Yes","No")),""))</f>
        <v>No</v>
      </c>
      <c r="H111" t="str">
        <f>IFERROR(TRIM(INDEX('Raw Data'!$S$5:$S$400,MATCH($B111,'Raw Data'!$H$5:$H$400,0))),"")</f>
        <v>RLN2MA / MY26C019875</v>
      </c>
    </row>
    <row r="112" spans="1:9" hidden="1">
      <c r="A112" s="18">
        <f>IFERROR(INDEX('Raw Data'!$D$5:$D$400,MATCH($B112,'Raw Data'!$H$5:$H$400,0)),"")</f>
        <v>46198.311805555553</v>
      </c>
      <c r="B112" s="2" t="s">
        <v>183</v>
      </c>
      <c r="C112" s="2" t="str">
        <f>IFERROR(TRIM(INDEX('Raw Data'!$J$5:$J$400,MATCH($B112,'Raw Data'!$H$5:$H$400,0))),"")</f>
        <v>Dollar General #21838</v>
      </c>
      <c r="D112" s="15">
        <f>IFERROR(INDEX('Store List'!$B$4:$B$300,MATCH($C112,'Store List'!$A$4:$A$300,0)),"")</f>
        <v>46190</v>
      </c>
      <c r="E112" s="2" t="s">
        <v>1155</v>
      </c>
      <c r="F112" s="72" t="s">
        <v>1207</v>
      </c>
      <c r="G112" s="4" t="str">
        <f>IF($E112="","",IFERROR(IF(OR(NOT(ISNUMBER($D112)),NOT(ISNUMBER(INDEX(Settings!$E$4:$E$80,MATCH($E112,Settings!$A$4:$A$80,0))))),"No",IF($D112&gt;INDEX(Settings!$E$4:$E$80,MATCH($E112,Settings!$A$4:$A$80,0)),"Yes","No")),""))</f>
        <v>Yes</v>
      </c>
      <c r="H112" t="str">
        <f>IFERROR(TRIM(INDEX('Raw Data'!$S$5:$S$400,MATCH($B112,'Raw Data'!$H$5:$H$400,0))),"")</f>
        <v>RMN4MA/MY26E039403</v>
      </c>
    </row>
    <row r="113" spans="1:8">
      <c r="A113" s="18">
        <f>IFERROR(INDEX('Raw Data'!$D$5:$D$400,MATCH($B113,'Raw Data'!$H$5:$H$400,0)),"")</f>
        <v>46198.151388888888</v>
      </c>
      <c r="B113" s="2" t="s">
        <v>187</v>
      </c>
      <c r="C113" s="2" t="str">
        <f>IFERROR(TRIM(INDEX('Raw Data'!$J$5:$J$400,MATCH($B113,'Raw Data'!$H$5:$H$400,0))),"")</f>
        <v>Dollar General #20597</v>
      </c>
      <c r="D113" s="15">
        <f>IFERROR(INDEX('Store List'!$B$4:$B$300,MATCH($C113,'Store List'!$A$4:$A$300,0)),"")</f>
        <v>46134</v>
      </c>
      <c r="E113" s="2" t="s">
        <v>1187</v>
      </c>
      <c r="F113" s="2" t="s">
        <v>1208</v>
      </c>
      <c r="G113" s="4" t="str">
        <f>IF($E113="","",IFERROR(IF(OR(NOT(ISNUMBER($D113)),NOT(ISNUMBER(INDEX(Settings!$E$4:$E$80,MATCH($E113,Settings!$A$4:$A$80,0))))),"No",IF($D113&gt;INDEX(Settings!$E$4:$E$80,MATCH($E113,Settings!$A$4:$A$80,0)),"Yes","No")),""))</f>
        <v>No</v>
      </c>
      <c r="H113" t="str">
        <f>IFERROR(TRIM(INDEX('Raw Data'!$S$5:$S$400,MATCH($B113,'Raw Data'!$H$5:$H$400,0))),"")</f>
        <v>RLN3MA/MY26B016493</v>
      </c>
    </row>
    <row r="114" spans="1:8" hidden="1">
      <c r="A114" s="18">
        <f>IFERROR(INDEX('Raw Data'!$D$5:$D$400,MATCH($B114,'Raw Data'!$H$5:$H$400,0)),"")</f>
        <v>46197.196527777778</v>
      </c>
      <c r="B114" s="2" t="s">
        <v>192</v>
      </c>
      <c r="C114" s="2" t="str">
        <f>IFERROR(TRIM(INDEX('Raw Data'!$J$5:$J$400,MATCH($B114,'Raw Data'!$H$5:$H$400,0))),"")</f>
        <v>Dollar General #6987</v>
      </c>
      <c r="D114" s="15">
        <f>IFERROR(INDEX('Store List'!$B$4:$B$300,MATCH($C114,'Store List'!$A$4:$A$300,0)),"")</f>
        <v>46189</v>
      </c>
      <c r="E114" s="2" t="s">
        <v>1155</v>
      </c>
      <c r="F114" s="73" t="s">
        <v>1209</v>
      </c>
      <c r="G114" s="4" t="str">
        <f>IF($E114="","",IFERROR(IF(OR(NOT(ISNUMBER($D114)),NOT(ISNUMBER(INDEX(Settings!$E$4:$E$80,MATCH($E114,Settings!$A$4:$A$80,0))))),"No",IF($D114&gt;INDEX(Settings!$E$4:$E$80,MATCH($E114,Settings!$A$4:$A$80,0)),"Yes","No")),""))</f>
        <v>Yes</v>
      </c>
      <c r="H114" t="str">
        <f>IFERROR(TRIM(INDEX('Raw Data'!$S$5:$S$400,MATCH($B114,'Raw Data'!$H$5:$H$400,0))),"")</f>
        <v>RMN4MA/MY26E039399</v>
      </c>
    </row>
    <row r="115" spans="1:8">
      <c r="A115" s="18">
        <f>IFERROR(INDEX('Raw Data'!$D$5:$D$400,MATCH($B115,'Raw Data'!$H$5:$H$400,0)),"")</f>
        <v>46196.487500000003</v>
      </c>
      <c r="B115" s="2" t="s">
        <v>201</v>
      </c>
      <c r="C115" s="2" t="str">
        <f>IFERROR(TRIM(INDEX('Raw Data'!$J$5:$J$400,MATCH($B115,'Raw Data'!$H$5:$H$400,0))),"")</f>
        <v>Dollar General #21342</v>
      </c>
      <c r="D115" s="15">
        <f>IFERROR(INDEX('Store List'!$B$4:$B$300,MATCH($C115,'Store List'!$A$4:$A$300,0)),"")</f>
        <v>46122</v>
      </c>
      <c r="E115" s="2" t="s">
        <v>1158</v>
      </c>
      <c r="F115" s="2" t="s">
        <v>1210</v>
      </c>
      <c r="G115" s="4" t="str">
        <f>IF($E115="","",IFERROR(IF(OR(NOT(ISNUMBER($D115)),NOT(ISNUMBER(INDEX(Settings!$E$4:$E$80,MATCH($E115,Settings!$A$4:$A$80,0))))),"No",IF($D115&gt;INDEX(Settings!$E$4:$E$80,MATCH($E115,Settings!$A$4:$A$80,0)),"Yes","No")),""))</f>
        <v>No</v>
      </c>
      <c r="H115" t="str">
        <f>IFERROR(TRIM(INDEX('Raw Data'!$S$5:$S$400,MATCH($B115,'Raw Data'!$H$5:$H$400,0))),"")</f>
        <v>RLN3MA/MY26B016018</v>
      </c>
    </row>
    <row r="116" spans="1:8" hidden="1">
      <c r="A116" s="18">
        <f>IFERROR(INDEX('Raw Data'!$D$5:$D$400,MATCH($B116,'Raw Data'!$H$5:$H$400,0)),"")</f>
        <v>46196.418749999997</v>
      </c>
      <c r="B116" s="2" t="s">
        <v>209</v>
      </c>
      <c r="C116" s="2" t="str">
        <f>IFERROR(TRIM(INDEX('Raw Data'!$J$5:$J$400,MATCH($B116,'Raw Data'!$H$5:$H$400,0))),"")</f>
        <v>Dollar General #22864</v>
      </c>
      <c r="D116" s="15">
        <f>IFERROR(INDEX('Store List'!$B$4:$B$300,MATCH($C116,'Store List'!$A$4:$A$300,0)),"")</f>
        <v>46105</v>
      </c>
      <c r="E116" s="2" t="s">
        <v>1155</v>
      </c>
      <c r="F116" s="73" t="s">
        <v>1209</v>
      </c>
      <c r="G116" s="4" t="str">
        <f>IF($E116="","",IFERROR(IF(OR(NOT(ISNUMBER($D116)),NOT(ISNUMBER(INDEX(Settings!$E$4:$E$80,MATCH($E116,Settings!$A$4:$A$80,0))))),"No",IF($D116&gt;INDEX(Settings!$E$4:$E$80,MATCH($E116,Settings!$A$4:$A$80,0)),"Yes","No")),""))</f>
        <v>No</v>
      </c>
      <c r="H116" t="str">
        <f>IFERROR(TRIM(INDEX('Raw Data'!$S$5:$S$400,MATCH($B116,'Raw Data'!$H$5:$H$400,0))),"")</f>
        <v>RMN5MA/MY26B016552</v>
      </c>
    </row>
    <row r="117" spans="1:8" hidden="1">
      <c r="A117" s="18">
        <f>IFERROR(INDEX('Raw Data'!$D$5:$D$400,MATCH($B117,'Raw Data'!$H$5:$H$400,0)),"")</f>
        <v>46195.463194444441</v>
      </c>
      <c r="B117" s="2" t="s">
        <v>217</v>
      </c>
      <c r="C117" s="2" t="str">
        <f>IFERROR(TRIM(INDEX('Raw Data'!$J$5:$J$400,MATCH($B117,'Raw Data'!$H$5:$H$400,0))),"")</f>
        <v>Dollar General #20100</v>
      </c>
      <c r="D117" s="15">
        <f>IFERROR(INDEX('Store List'!$B$4:$B$300,MATCH($C117,'Store List'!$A$4:$A$300,0)),"")</f>
        <v>46190</v>
      </c>
      <c r="E117" s="2" t="s">
        <v>1144</v>
      </c>
      <c r="F117" s="2" t="s">
        <v>1211</v>
      </c>
      <c r="G117" s="4" t="str">
        <f>IF($E117="","",IFERROR(IF(OR(NOT(ISNUMBER($D117)),NOT(ISNUMBER(INDEX(Settings!$E$4:$E$80,MATCH($E117,Settings!$A$4:$A$80,0))))),"No",IF($D117&gt;INDEX(Settings!$E$4:$E$80,MATCH($E117,Settings!$A$4:$A$80,0)),"Yes","No")),""))</f>
        <v>Yes</v>
      </c>
      <c r="H117" t="str">
        <f>IFERROR(TRIM(INDEX('Raw Data'!$S$5:$S$400,MATCH($B117,'Raw Data'!$H$5:$H$400,0))),"")</f>
        <v>RMN4MA / MY26E039404</v>
      </c>
    </row>
    <row r="118" spans="1:8" hidden="1">
      <c r="A118" s="18">
        <f>IFERROR(INDEX('Raw Data'!$D$5:$D$400,MATCH($B118,'Raw Data'!$H$5:$H$400,0)),"")</f>
        <v>46192.470833333333</v>
      </c>
      <c r="B118" s="2" t="s">
        <v>222</v>
      </c>
      <c r="C118" s="2" t="str">
        <f>IFERROR(TRIM(INDEX('Raw Data'!$J$5:$J$400,MATCH($B118,'Raw Data'!$H$5:$H$400,0))),"")</f>
        <v>Dollar General #22286</v>
      </c>
      <c r="D118" s="15">
        <f>IFERROR(INDEX('Store List'!$B$4:$B$300,MATCH($C118,'Store List'!$A$4:$A$300,0)),"")</f>
        <v>46099</v>
      </c>
      <c r="E118" s="2" t="s">
        <v>1150</v>
      </c>
      <c r="F118" s="2" t="s">
        <v>1212</v>
      </c>
      <c r="G118" s="4" t="str">
        <f>IF($E118="","",IFERROR(IF(OR(NOT(ISNUMBER($D118)),NOT(ISNUMBER(INDEX(Settings!$E$4:$E$80,MATCH($E118,Settings!$A$4:$A$80,0))))),"No",IF($D118&gt;INDEX(Settings!$E$4:$E$80,MATCH($E118,Settings!$A$4:$A$80,0)),"Yes","No")),""))</f>
        <v>No</v>
      </c>
      <c r="H118" t="str">
        <f>IFERROR(TRIM(INDEX('Raw Data'!$S$5:$S$400,MATCH($B118,'Raw Data'!$H$5:$H$400,0))),"")</f>
        <v>RLN2MA /MY26B014938</v>
      </c>
    </row>
    <row r="119" spans="1:8" hidden="1">
      <c r="A119" s="18">
        <f>IFERROR(INDEX('Raw Data'!$D$5:$D$400,MATCH($B119,'Raw Data'!$H$5:$H$400,0)),"")</f>
        <v>46191.436111111107</v>
      </c>
      <c r="B119" s="2" t="s">
        <v>229</v>
      </c>
      <c r="C119" s="2" t="str">
        <f>IFERROR(TRIM(INDEX('Raw Data'!$J$5:$J$400,MATCH($B119,'Raw Data'!$H$5:$H$400,0))),"")</f>
        <v>Dollar General #22286</v>
      </c>
      <c r="D119" s="15">
        <f>IFERROR(INDEX('Store List'!$B$4:$B$300,MATCH($C119,'Store List'!$A$4:$A$300,0)),"")</f>
        <v>46099</v>
      </c>
      <c r="E119" s="2" t="s">
        <v>1175</v>
      </c>
      <c r="F119" s="2" t="s">
        <v>1213</v>
      </c>
      <c r="G119" s="4" t="str">
        <f>IF($E119="","",IFERROR(IF(OR(NOT(ISNUMBER($D119)),NOT(ISNUMBER(INDEX(Settings!$E$4:$E$80,MATCH($E119,Settings!$A$4:$A$80,0))))),"No",IF($D119&gt;INDEX(Settings!$E$4:$E$80,MATCH($E119,Settings!$A$4:$A$80,0)),"Yes","No")),""))</f>
        <v>No</v>
      </c>
      <c r="H119" t="str">
        <f>IFERROR(TRIM(INDEX('Raw Data'!$S$5:$S$400,MATCH($B119,'Raw Data'!$H$5:$H$400,0))),"")</f>
        <v>RMN5MA/MY26B016552</v>
      </c>
    </row>
    <row r="120" spans="1:8" hidden="1">
      <c r="A120" s="18">
        <f>IFERROR(INDEX('Raw Data'!$D$5:$D$400,MATCH($B120,'Raw Data'!$H$5:$H$400,0)),"")</f>
        <v>46191.277777777781</v>
      </c>
      <c r="B120" s="2" t="s">
        <v>233</v>
      </c>
      <c r="C120" s="2" t="str">
        <f>IFERROR(TRIM(INDEX('Raw Data'!$J$5:$J$400,MATCH($B120,'Raw Data'!$H$5:$H$400,0))),"")</f>
        <v>Dollar General #14386</v>
      </c>
      <c r="D120" s="15">
        <f>IFERROR(INDEX('Store List'!$B$4:$B$300,MATCH($C120,'Store List'!$A$4:$A$300,0)),"")</f>
        <v>46188</v>
      </c>
      <c r="E120" s="2" t="s">
        <v>1152</v>
      </c>
      <c r="F120" s="2" t="s">
        <v>1214</v>
      </c>
      <c r="G120" s="4" t="str">
        <f>IF($E120="","",IFERROR(IF(OR(NOT(ISNUMBER($D120)),NOT(ISNUMBER(INDEX(Settings!$E$4:$E$80,MATCH($E120,Settings!$A$4:$A$80,0))))),"No",IF($D120&gt;INDEX(Settings!$E$4:$E$80,MATCH($E120,Settings!$A$4:$A$80,0)),"Yes","No")),""))</f>
        <v>No</v>
      </c>
      <c r="H120" t="str">
        <f>IFERROR(TRIM(INDEX('Raw Data'!$S$5:$S$400,MATCH($B120,'Raw Data'!$H$5:$H$400,0))),"")</f>
        <v>RLN2MA MY26B016452</v>
      </c>
    </row>
    <row r="121" spans="1:8" hidden="1">
      <c r="A121" s="18">
        <f>IFERROR(INDEX('Raw Data'!$D$5:$D$400,MATCH($B121,'Raw Data'!$H$5:$H$400,0)),"")</f>
        <v>46191.088888888888</v>
      </c>
      <c r="B121" s="2" t="s">
        <v>239</v>
      </c>
      <c r="C121" s="2" t="str">
        <f>IFERROR(TRIM(INDEX('Raw Data'!$J$5:$J$400,MATCH($B121,'Raw Data'!$H$5:$H$400,0))),"")</f>
        <v>Dollar General # 13070</v>
      </c>
      <c r="D121" s="15">
        <f>IFERROR(INDEX('Store List'!$B$4:$B$300,MATCH($C121,'Store List'!$A$4:$A$300,0)),"")</f>
        <v>46126</v>
      </c>
      <c r="E121" s="2" t="s">
        <v>1175</v>
      </c>
      <c r="F121" s="2" t="s">
        <v>1215</v>
      </c>
      <c r="G121" s="4" t="str">
        <f>IF($E121="","",IFERROR(IF(OR(NOT(ISNUMBER($D121)),NOT(ISNUMBER(INDEX(Settings!$E$4:$E$80,MATCH($E121,Settings!$A$4:$A$80,0))))),"No",IF($D121&gt;INDEX(Settings!$E$4:$E$80,MATCH($E121,Settings!$A$4:$A$80,0)),"Yes","No")),""))</f>
        <v>No</v>
      </c>
      <c r="H121" t="str">
        <f>IFERROR(TRIM(INDEX('Raw Data'!$S$5:$S$400,MATCH($B121,'Raw Data'!$H$5:$H$400,0))),"")</f>
        <v>RMN4MA/MY26B014986</v>
      </c>
    </row>
    <row r="122" spans="1:8" hidden="1">
      <c r="A122" s="18">
        <f>IFERROR(INDEX('Raw Data'!$D$5:$D$400,MATCH($B122,'Raw Data'!$H$5:$H$400,0)),"")</f>
        <v>46189.152083333327</v>
      </c>
      <c r="B122" s="2" t="s">
        <v>242</v>
      </c>
      <c r="C122" s="2" t="str">
        <f>IFERROR(TRIM(INDEX('Raw Data'!$J$5:$J$400,MATCH($B122,'Raw Data'!$H$5:$H$400,0))),"")</f>
        <v>Dollar General #22286</v>
      </c>
      <c r="D122" s="15">
        <f>IFERROR(INDEX('Store List'!$B$4:$B$300,MATCH($C122,'Store List'!$A$4:$A$300,0)),"")</f>
        <v>46099</v>
      </c>
      <c r="E122" s="2" t="s">
        <v>1150</v>
      </c>
      <c r="F122" s="2" t="s">
        <v>1216</v>
      </c>
      <c r="G122" s="4" t="str">
        <f>IF($E122="","",IFERROR(IF(OR(NOT(ISNUMBER($D122)),NOT(ISNUMBER(INDEX(Settings!$E$4:$E$80,MATCH($E122,Settings!$A$4:$A$80,0))))),"No",IF($D122&gt;INDEX(Settings!$E$4:$E$80,MATCH($E122,Settings!$A$4:$A$80,0)),"Yes","No")),""))</f>
        <v>No</v>
      </c>
      <c r="H122" t="str">
        <f>IFERROR(TRIM(INDEX('Raw Data'!$S$5:$S$400,MATCH($B122,'Raw Data'!$H$5:$H$400,0))),"")</f>
        <v>RLN2MA MY26B014938</v>
      </c>
    </row>
    <row r="123" spans="1:8" hidden="1">
      <c r="A123" s="18">
        <f>IFERROR(INDEX('Raw Data'!$D$5:$D$400,MATCH($B123,'Raw Data'!$H$5:$H$400,0)),"")</f>
        <v>46189.09652777778</v>
      </c>
      <c r="B123" s="2" t="s">
        <v>247</v>
      </c>
      <c r="C123" s="2" t="str">
        <f>IFERROR(TRIM(INDEX('Raw Data'!$J$5:$J$400,MATCH($B123,'Raw Data'!$H$5:$H$400,0))),"")</f>
        <v>Dollar General #20761</v>
      </c>
      <c r="D123" s="15">
        <f>IFERROR(INDEX('Store List'!$B$4:$B$300,MATCH($C123,'Store List'!$A$4:$A$300,0)),"")</f>
        <v>46106</v>
      </c>
      <c r="E123" s="2" t="s">
        <v>1175</v>
      </c>
      <c r="F123" s="2" t="s">
        <v>1217</v>
      </c>
      <c r="G123" s="4" t="str">
        <f>IF($E123="","",IFERROR(IF(OR(NOT(ISNUMBER($D123)),NOT(ISNUMBER(INDEX(Settings!$E$4:$E$80,MATCH($E123,Settings!$A$4:$A$80,0))))),"No",IF($D123&gt;INDEX(Settings!$E$4:$E$80,MATCH($E123,Settings!$A$4:$A$80,0)),"Yes","No")),""))</f>
        <v>No</v>
      </c>
      <c r="H123" t="str">
        <f>IFERROR(TRIM(INDEX('Raw Data'!$S$5:$S$400,MATCH($B123,'Raw Data'!$H$5:$H$400,0))),"")</f>
        <v>RLN2MA MY26B013813</v>
      </c>
    </row>
    <row r="124" spans="1:8" hidden="1">
      <c r="A124" s="18">
        <f>IFERROR(INDEX('Raw Data'!$D$5:$D$400,MATCH($B124,'Raw Data'!$H$5:$H$400,0)),"")</f>
        <v>46188.451388888891</v>
      </c>
      <c r="B124" s="2" t="s">
        <v>250</v>
      </c>
      <c r="C124" s="2" t="str">
        <f>IFERROR(TRIM(INDEX('Raw Data'!$J$5:$J$400,MATCH($B124,'Raw Data'!$H$5:$H$400,0))),"")</f>
        <v>Dollar General #23988</v>
      </c>
      <c r="D124" s="15">
        <f>IFERROR(INDEX('Store List'!$B$4:$B$300,MATCH($C124,'Store List'!$A$4:$A$300,0)),"")</f>
        <v>46181</v>
      </c>
      <c r="E124" s="2" t="s">
        <v>1152</v>
      </c>
      <c r="F124" s="2" t="s">
        <v>1218</v>
      </c>
      <c r="G124" s="4" t="str">
        <f>IF($E124="","",IFERROR(IF(OR(NOT(ISNUMBER($D124)),NOT(ISNUMBER(INDEX(Settings!$E$4:$E$80,MATCH($E124,Settings!$A$4:$A$80,0))))),"No",IF($D124&gt;INDEX(Settings!$E$4:$E$80,MATCH($E124,Settings!$A$4:$A$80,0)),"Yes","No")),""))</f>
        <v>No</v>
      </c>
      <c r="H124" t="str">
        <f>IFERROR(TRIM(INDEX('Raw Data'!$S$5:$S$400,MATCH($B124,'Raw Data'!$H$5:$H$400,0))),"")</f>
        <v>RLN2MA MY26C025304</v>
      </c>
    </row>
    <row r="125" spans="1:8">
      <c r="A125" s="18">
        <f>IFERROR(INDEX('Raw Data'!$D$5:$D$400,MATCH($B125,'Raw Data'!$H$5:$H$400,0)),"")</f>
        <v>46188.447222222218</v>
      </c>
      <c r="B125" s="2" t="s">
        <v>257</v>
      </c>
      <c r="C125" s="2" t="str">
        <f>IFERROR(TRIM(INDEX('Raw Data'!$J$5:$J$400,MATCH($B125,'Raw Data'!$H$5:$H$400,0))),"")</f>
        <v>Dollar General #20107</v>
      </c>
      <c r="D125" s="15">
        <f>IFERROR(INDEX('Store List'!$B$4:$B$300,MATCH($C125,'Store List'!$A$4:$A$300,0)),"")</f>
        <v>46148</v>
      </c>
      <c r="E125" s="2" t="s">
        <v>1175</v>
      </c>
      <c r="F125" s="2" t="s">
        <v>1219</v>
      </c>
      <c r="G125" s="4" t="str">
        <f>IF($E125="","",IFERROR(IF(OR(NOT(ISNUMBER($D125)),NOT(ISNUMBER(INDEX(Settings!$E$4:$E$80,MATCH($E125,Settings!$A$4:$A$80,0))))),"No",IF($D125&gt;INDEX(Settings!$E$4:$E$80,MATCH($E125,Settings!$A$4:$A$80,0)),"Yes","No")),""))</f>
        <v>No</v>
      </c>
      <c r="H125" t="str">
        <f>IFERROR(TRIM(INDEX('Raw Data'!$S$5:$S$400,MATCH($B125,'Raw Data'!$H$5:$H$400,0))),"")</f>
        <v>RMN3MA MY26C025312</v>
      </c>
    </row>
    <row r="126" spans="1:8" hidden="1">
      <c r="A126" s="18">
        <f>IFERROR(INDEX('Raw Data'!$D$5:$D$400,MATCH($B126,'Raw Data'!$H$5:$H$400,0)),"")</f>
        <v>46209.673611111109</v>
      </c>
      <c r="B126" s="2" t="s">
        <v>25</v>
      </c>
      <c r="C126" s="2" t="str">
        <f>IFERROR(TRIM(INDEX('Raw Data'!$J$5:$J$400,MATCH($B126,'Raw Data'!$H$5:$H$400,0))),"")</f>
        <v>Dollar General #20761</v>
      </c>
      <c r="D126" s="15">
        <f>IFERROR(INDEX('Store List'!$B$4:$B$300,MATCH($C126,'Store List'!$A$4:$A$300,0)),"")</f>
        <v>46106</v>
      </c>
      <c r="E126" s="2" t="s">
        <v>1144</v>
      </c>
      <c r="F126" s="2" t="s">
        <v>1220</v>
      </c>
      <c r="G126" s="4" t="str">
        <f>IF($E126="","",IFERROR(IF(OR(NOT(ISNUMBER($D126)),NOT(ISNUMBER(INDEX(Settings!$E$4:$E$80,MATCH($E126,Settings!$A$4:$A$80,0))))),"No",IF($D126&gt;INDEX(Settings!$E$4:$E$80,MATCH($E126,Settings!$A$4:$A$80,0)),"Yes","No")),""))</f>
        <v>No</v>
      </c>
      <c r="H126" t="str">
        <f>IFERROR(TRIM(INDEX('Raw Data'!$S$5:$S$400,MATCH($B126,'Raw Data'!$H$5:$H$400,0))),"")</f>
        <v>RLN2MA / MY26B013813</v>
      </c>
    </row>
    <row r="127" spans="1:8">
      <c r="A127" s="18">
        <f>IFERROR(INDEX('Raw Data'!$D$5:$D$400,MATCH($B127,'Raw Data'!$H$5:$H$400,0)),"")</f>
        <v>46209.640972222223</v>
      </c>
      <c r="B127" s="2" t="s">
        <v>37</v>
      </c>
      <c r="C127" s="2" t="str">
        <f>IFERROR(TRIM(INDEX('Raw Data'!$J$5:$J$400,MATCH($B127,'Raw Data'!$H$5:$H$400,0))),"")</f>
        <v>Dollar General #3277</v>
      </c>
      <c r="D127" s="15">
        <f>IFERROR(INDEX('Store List'!$B$4:$B$300,MATCH($C127,'Store List'!$A$4:$A$300,0)),"")</f>
        <v>46149</v>
      </c>
      <c r="E127" s="2" t="s">
        <v>1144</v>
      </c>
      <c r="F127" s="2" t="s">
        <v>1221</v>
      </c>
      <c r="G127" s="4" t="str">
        <f>IF($E127="","",IFERROR(IF(OR(NOT(ISNUMBER($D127)),NOT(ISNUMBER(INDEX(Settings!$E$4:$E$80,MATCH($E127,Settings!$A$4:$A$80,0))))),"No",IF($D127&gt;INDEX(Settings!$E$4:$E$80,MATCH($E127,Settings!$A$4:$A$80,0)),"Yes","No")),""))</f>
        <v>No</v>
      </c>
      <c r="H127" t="str">
        <f>IFERROR(TRIM(INDEX('Raw Data'!$S$5:$S$400,MATCH($B127,'Raw Data'!$H$5:$H$400,0))),"")</f>
        <v>RLN3MA / MY26D028108</v>
      </c>
    </row>
    <row r="128" spans="1:8" hidden="1">
      <c r="A128" s="18">
        <f>IFERROR(INDEX('Raw Data'!$D$5:$D$400,MATCH($B128,'Raw Data'!$H$5:$H$400,0)),"")</f>
        <v>46209.491666666669</v>
      </c>
      <c r="B128" s="2" t="s">
        <v>49</v>
      </c>
      <c r="C128" s="2" t="str">
        <f>IFERROR(TRIM(INDEX('Raw Data'!$J$5:$J$400,MATCH($B128,'Raw Data'!$H$5:$H$400,0))),"")</f>
        <v>Dollar General #1768</v>
      </c>
      <c r="D128" s="15">
        <f>IFERROR(INDEX('Store List'!$B$4:$B$300,MATCH($C128,'Store List'!$A$4:$A$300,0)),"")</f>
        <v>46155</v>
      </c>
      <c r="E128" s="2" t="s">
        <v>1147</v>
      </c>
      <c r="F128" s="2" t="s">
        <v>1222</v>
      </c>
      <c r="G128" s="4" t="str">
        <f>IF($E128="","",IFERROR(IF(OR(NOT(ISNUMBER($D128)),NOT(ISNUMBER(INDEX(Settings!$E$4:$E$80,MATCH($E128,Settings!$A$4:$A$80,0))))),"No",IF($D128&gt;INDEX(Settings!$E$4:$E$80,MATCH($E128,Settings!$A$4:$A$80,0)),"Yes","No")),""))</f>
        <v>No</v>
      </c>
      <c r="H128" t="str">
        <f>IFERROR(TRIM(INDEX('Raw Data'!$S$5:$S$400,MATCH($B128,'Raw Data'!$H$5:$H$400,0))),"")</f>
        <v>RLN2MA / MY26D028097</v>
      </c>
    </row>
    <row r="129" spans="1:8">
      <c r="A129" s="18">
        <f>IFERROR(INDEX('Raw Data'!$D$5:$D$400,MATCH($B129,'Raw Data'!$H$5:$H$400,0)),"")</f>
        <v>46209.352777777778</v>
      </c>
      <c r="B129" s="2" t="s">
        <v>58</v>
      </c>
      <c r="C129" s="2" t="str">
        <f>IFERROR(TRIM(INDEX('Raw Data'!$J$5:$J$400,MATCH($B129,'Raw Data'!$H$5:$H$400,0))),"")</f>
        <v>Dollar General #21606</v>
      </c>
      <c r="D129" s="15">
        <f>IFERROR(INDEX('Store List'!$B$4:$B$300,MATCH($C129,'Store List'!$A$4:$A$300,0)),"")</f>
        <v>46084</v>
      </c>
      <c r="E129" s="2" t="s">
        <v>1175</v>
      </c>
      <c r="F129" s="2" t="s">
        <v>1223</v>
      </c>
      <c r="G129" s="4" t="str">
        <f>IF($E129="","",IFERROR(IF(OR(NOT(ISNUMBER($D129)),NOT(ISNUMBER(INDEX(Settings!$E$4:$E$80,MATCH($E129,Settings!$A$4:$A$80,0))))),"No",IF($D129&gt;INDEX(Settings!$E$4:$E$80,MATCH($E129,Settings!$A$4:$A$80,0)),"Yes","No")),""))</f>
        <v>No</v>
      </c>
      <c r="H129" t="str">
        <f>IFERROR(TRIM(INDEX('Raw Data'!$S$5:$S$400,MATCH($B129,'Raw Data'!$H$5:$H$400,0))),"")</f>
        <v>RLN3MA / MY26B013826</v>
      </c>
    </row>
    <row r="130" spans="1:8">
      <c r="A130" s="18">
        <f>IFERROR(INDEX('Raw Data'!$D$5:$D$400,MATCH($B130,'Raw Data'!$H$5:$H$400,0)),"")</f>
        <v>46206.952777777777</v>
      </c>
      <c r="B130" s="2" t="s">
        <v>65</v>
      </c>
      <c r="C130" s="2" t="str">
        <f>IFERROR(TRIM(INDEX('Raw Data'!$J$5:$J$400,MATCH($B130,'Raw Data'!$H$5:$H$400,0))),"")</f>
        <v>Dollar General #21375</v>
      </c>
      <c r="D130" s="15">
        <f>IFERROR(INDEX('Store List'!$B$4:$B$300,MATCH($C130,'Store List'!$A$4:$A$300,0)),"")</f>
        <v>46091</v>
      </c>
      <c r="E130" s="2" t="s">
        <v>1175</v>
      </c>
      <c r="F130" s="2" t="s">
        <v>1202</v>
      </c>
      <c r="G130" s="4" t="str">
        <f>IF($E130="","",IFERROR(IF(OR(NOT(ISNUMBER($D130)),NOT(ISNUMBER(INDEX(Settings!$E$4:$E$80,MATCH($E130,Settings!$A$4:$A$80,0))))),"No",IF($D130&gt;INDEX(Settings!$E$4:$E$80,MATCH($E130,Settings!$A$4:$A$80,0)),"Yes","No")),""))</f>
        <v>No</v>
      </c>
      <c r="H130" t="str">
        <f>IFERROR(TRIM(INDEX('Raw Data'!$S$5:$S$400,MATCH($B130,'Raw Data'!$H$5:$H$400,0))),"")</f>
        <v>RLN3MA / MY26B01382</v>
      </c>
    </row>
    <row r="131" spans="1:8" hidden="1">
      <c r="A131" s="18">
        <f>IFERROR(INDEX('Raw Data'!$D$5:$D$400,MATCH($B131,'Raw Data'!$H$5:$H$400,0)),"")</f>
        <v>46206.943055555559</v>
      </c>
      <c r="B131" s="2" t="s">
        <v>76</v>
      </c>
      <c r="C131" s="2" t="str">
        <f>IFERROR(TRIM(INDEX('Raw Data'!$J$5:$J$400,MATCH($B131,'Raw Data'!$H$5:$H$400,0))),"")</f>
        <v>Dollar General #22930</v>
      </c>
      <c r="D131" s="15">
        <f>IFERROR(INDEX('Store List'!$B$4:$B$300,MATCH($C131,'Store List'!$A$4:$A$300,0)),"")</f>
        <v>46128</v>
      </c>
      <c r="E131" s="2" t="s">
        <v>1158</v>
      </c>
      <c r="F131" s="2" t="s">
        <v>1224</v>
      </c>
      <c r="G131" s="4" t="str">
        <f>IF($E131="","",IFERROR(IF(OR(NOT(ISNUMBER($D131)),NOT(ISNUMBER(INDEX(Settings!$E$4:$E$80,MATCH($E131,Settings!$A$4:$A$80,0))))),"No",IF($D131&gt;INDEX(Settings!$E$4:$E$80,MATCH($E131,Settings!$A$4:$A$80,0)),"Yes","No")),""))</f>
        <v>No</v>
      </c>
      <c r="H131" t="str">
        <f>IFERROR(TRIM(INDEX('Raw Data'!$S$5:$S$400,MATCH($B131,'Raw Data'!$H$5:$H$400,0))),"")</f>
        <v>RLN4MA / MY26B014974</v>
      </c>
    </row>
    <row r="132" spans="1:8">
      <c r="A132" s="18">
        <f>IFERROR(INDEX('Raw Data'!$D$5:$D$400,MATCH($B132,'Raw Data'!$H$5:$H$400,0)),"")</f>
        <v>46206.611111111109</v>
      </c>
      <c r="B132" s="2" t="s">
        <v>84</v>
      </c>
      <c r="C132" s="2" t="str">
        <f>IFERROR(TRIM(INDEX('Raw Data'!$J$5:$J$400,MATCH($B132,'Raw Data'!$H$5:$H$400,0))),"")</f>
        <v>Dollar General #21838</v>
      </c>
      <c r="D132" s="15">
        <f>IFERROR(INDEX('Store List'!$B$4:$B$300,MATCH($C132,'Store List'!$A$4:$A$300,0)),"")</f>
        <v>46190</v>
      </c>
      <c r="E132" s="2" t="s">
        <v>1175</v>
      </c>
      <c r="F132" s="2" t="s">
        <v>1225</v>
      </c>
      <c r="G132" s="4" t="str">
        <f>IF($E132="","",IFERROR(IF(OR(NOT(ISNUMBER($D132)),NOT(ISNUMBER(INDEX(Settings!$E$4:$E$80,MATCH($E132,Settings!$A$4:$A$80,0))))),"No",IF($D132&gt;INDEX(Settings!$E$4:$E$80,MATCH($E132,Settings!$A$4:$A$80,0)),"Yes","No")),""))</f>
        <v>Yes</v>
      </c>
      <c r="H132" t="str">
        <f>IFERROR(TRIM(INDEX('Raw Data'!$S$5:$S$400,MATCH($B132,'Raw Data'!$H$5:$H$400,0))),"")</f>
        <v>RLN3MA / MY26E039365</v>
      </c>
    </row>
    <row r="133" spans="1:8" hidden="1">
      <c r="A133" s="18">
        <f>IFERROR(INDEX('Raw Data'!$D$5:$D$400,MATCH($B133,'Raw Data'!$H$5:$H$400,0)),"")</f>
        <v>46206.036111111112</v>
      </c>
      <c r="B133" s="2" t="s">
        <v>92</v>
      </c>
      <c r="C133" s="2" t="str">
        <f>IFERROR(TRIM(INDEX('Raw Data'!$J$5:$J$400,MATCH($B133,'Raw Data'!$H$5:$H$400,0))),"")</f>
        <v>Dollar General #14858</v>
      </c>
      <c r="D133" s="15">
        <f>IFERROR(INDEX('Store List'!$B$4:$B$300,MATCH($C133,'Store List'!$A$4:$A$300,0)),"")</f>
        <v>46097</v>
      </c>
      <c r="E133" s="2" t="s">
        <v>1158</v>
      </c>
      <c r="F133" s="2" t="s">
        <v>1226</v>
      </c>
      <c r="G133" s="4" t="str">
        <f>IF($E133="","",IFERROR(IF(OR(NOT(ISNUMBER($D133)),NOT(ISNUMBER(INDEX(Settings!$E$4:$E$80,MATCH($E133,Settings!$A$4:$A$80,0))))),"No",IF($D133&gt;INDEX(Settings!$E$4:$E$80,MATCH($E133,Settings!$A$4:$A$80,0)),"Yes","No")),""))</f>
        <v>No</v>
      </c>
      <c r="H133" t="str">
        <f>IFERROR(TRIM(INDEX('Raw Data'!$S$5:$S$400,MATCH($B133,'Raw Data'!$H$5:$H$400,0))),"")</f>
        <v>RLN2MA / MY26B016475</v>
      </c>
    </row>
    <row r="134" spans="1:8" hidden="1">
      <c r="A134" s="18">
        <f>IFERROR(INDEX('Raw Data'!$D$5:$D$400,MATCH($B134,'Raw Data'!$H$5:$H$400,0)),"")</f>
        <v>46206</v>
      </c>
      <c r="B134" s="2" t="s">
        <v>100</v>
      </c>
      <c r="C134" s="2" t="str">
        <f>IFERROR(TRIM(INDEX('Raw Data'!$J$5:$J$400,MATCH($B134,'Raw Data'!$H$5:$H$400,0))),"")</f>
        <v>Dollar General #22408</v>
      </c>
      <c r="D134" s="15">
        <f>IFERROR(INDEX('Store List'!$B$4:$B$300,MATCH($C134,'Store List'!$A$4:$A$300,0)),"")</f>
        <v>46203</v>
      </c>
      <c r="E134" s="2" t="s">
        <v>1227</v>
      </c>
      <c r="F134" s="2" t="s">
        <v>1228</v>
      </c>
      <c r="G134" s="4" t="str">
        <f>IF($E134="","",IFERROR(IF(OR(NOT(ISNUMBER($D134)),NOT(ISNUMBER(INDEX(Settings!$E$4:$E$80,MATCH($E134,Settings!$A$4:$A$80,0))))),"No",IF($D134&gt;INDEX(Settings!$E$4:$E$80,MATCH($E134,Settings!$A$4:$A$80,0)),"Yes","No")),""))</f>
        <v>Yes</v>
      </c>
      <c r="H134" t="str">
        <f>IFERROR(TRIM(INDEX('Raw Data'!$S$5:$S$400,MATCH($B134,'Raw Data'!$H$5:$H$400,0))),"")</f>
        <v>RMN5MA/MY26E03940</v>
      </c>
    </row>
    <row r="135" spans="1:8">
      <c r="A135" s="18">
        <f>IFERROR(INDEX('Raw Data'!$D$5:$D$400,MATCH($B135,'Raw Data'!$H$5:$H$400,0)),"")</f>
        <v>46205.919444444437</v>
      </c>
      <c r="B135" s="2" t="s">
        <v>106</v>
      </c>
      <c r="C135" s="2" t="str">
        <f>IFERROR(TRIM(INDEX('Raw Data'!$J$5:$J$400,MATCH($B135,'Raw Data'!$H$5:$H$400,0))),"")</f>
        <v>Dollar General #8773</v>
      </c>
      <c r="D135" s="15">
        <f>IFERROR(INDEX('Store List'!$B$4:$B$300,MATCH($C135,'Store List'!$A$4:$A$300,0)),"")</f>
        <v>46125</v>
      </c>
      <c r="E135" s="2" t="s">
        <v>1155</v>
      </c>
      <c r="F135" s="72" t="s">
        <v>1229</v>
      </c>
      <c r="G135" s="4" t="str">
        <f>IF($E135="","",IFERROR(IF(OR(NOT(ISNUMBER($D135)),NOT(ISNUMBER(INDEX(Settings!$E$4:$E$80,MATCH($E135,Settings!$A$4:$A$80,0))))),"No",IF($D135&gt;INDEX(Settings!$E$4:$E$80,MATCH($E135,Settings!$A$4:$A$80,0)),"Yes","No")),""))</f>
        <v>No</v>
      </c>
      <c r="H135" t="str">
        <f>IFERROR(TRIM(INDEX('Raw Data'!$S$5:$S$400,MATCH($B135,'Raw Data'!$H$5:$H$400,0))),"")</f>
        <v>RLN3MA / MY26B016492</v>
      </c>
    </row>
    <row r="136" spans="1:8" hidden="1">
      <c r="A136" s="18">
        <f>IFERROR(INDEX('Raw Data'!$D$5:$D$400,MATCH($B136,'Raw Data'!$H$5:$H$400,0)),"")</f>
        <v>46205</v>
      </c>
      <c r="B136" s="2" t="s">
        <v>113</v>
      </c>
      <c r="C136" s="2" t="str">
        <f>IFERROR(TRIM(INDEX('Raw Data'!$J$5:$J$400,MATCH($B136,'Raw Data'!$H$5:$H$400,0))),"")</f>
        <v>Dollar General #21664</v>
      </c>
      <c r="D136" s="15">
        <f>IFERROR(INDEX('Store List'!$B$4:$B$300,MATCH($C136,'Store List'!$A$4:$A$300,0)),"")</f>
        <v>46203</v>
      </c>
      <c r="E136" s="2" t="s">
        <v>1158</v>
      </c>
      <c r="F136" s="2" t="s">
        <v>1230</v>
      </c>
      <c r="G136" s="4" t="str">
        <f>IF($E136="","",IFERROR(IF(OR(NOT(ISNUMBER($D136)),NOT(ISNUMBER(INDEX(Settings!$E$4:$E$80,MATCH($E136,Settings!$A$4:$A$80,0))))),"No",IF($D136&gt;INDEX(Settings!$E$4:$E$80,MATCH($E136,Settings!$A$4:$A$80,0)),"Yes","No")),""))</f>
        <v>No</v>
      </c>
      <c r="H136" t="str">
        <f>IFERROR(TRIM(INDEX('Raw Data'!$S$5:$S$400,MATCH($B136,'Raw Data'!$H$5:$H$400,0))),"")</f>
        <v>RMN5MA / MY26D033044</v>
      </c>
    </row>
    <row r="137" spans="1:8" hidden="1">
      <c r="A137" s="18">
        <f>IFERROR(INDEX('Raw Data'!$D$5:$D$400,MATCH($B137,'Raw Data'!$H$5:$H$400,0)),"")</f>
        <v>46205</v>
      </c>
      <c r="B137" s="2" t="s">
        <v>120</v>
      </c>
      <c r="C137" s="2" t="str">
        <f>IFERROR(TRIM(INDEX('Raw Data'!$J$5:$J$400,MATCH($B137,'Raw Data'!$H$5:$H$400,0))),"")</f>
        <v>Dollar General #21938</v>
      </c>
      <c r="D137" s="15">
        <f>IFERROR(INDEX('Store List'!$B$4:$B$300,MATCH($C137,'Store List'!$A$4:$A$300,0)),"")</f>
        <v>46204</v>
      </c>
      <c r="E137" s="2" t="s">
        <v>1150</v>
      </c>
      <c r="F137" s="2" t="s">
        <v>1231</v>
      </c>
      <c r="G137" s="4" t="str">
        <f>IF($E137="","",IFERROR(IF(OR(NOT(ISNUMBER($D137)),NOT(ISNUMBER(INDEX(Settings!$E$4:$E$80,MATCH($E137,Settings!$A$4:$A$80,0))))),"No",IF($D137&gt;INDEX(Settings!$E$4:$E$80,MATCH($E137,Settings!$A$4:$A$80,0)),"Yes","No")),""))</f>
        <v>Yes</v>
      </c>
      <c r="H137" t="str">
        <f>IFERROR(TRIM(INDEX('Raw Data'!$S$5:$S$400,MATCH($B137,'Raw Data'!$H$5:$H$400,0))),"")</f>
        <v/>
      </c>
    </row>
    <row r="138" spans="1:8">
      <c r="A138" s="18">
        <f>IFERROR(INDEX('Raw Data'!$D$5:$D$400,MATCH($B138,'Raw Data'!$H$5:$H$400,0)),"")</f>
        <v>46205</v>
      </c>
      <c r="B138" s="2" t="s">
        <v>129</v>
      </c>
      <c r="C138" s="2" t="str">
        <f>IFERROR(TRIM(INDEX('Raw Data'!$J$5:$J$400,MATCH($B138,'Raw Data'!$H$5:$H$400,0))),"")</f>
        <v>Dollar General #22408</v>
      </c>
      <c r="D138" s="15">
        <f>IFERROR(INDEX('Store List'!$B$4:$B$300,MATCH($C138,'Store List'!$A$4:$A$300,0)),"")</f>
        <v>46203</v>
      </c>
      <c r="E138" s="2" t="s">
        <v>1154</v>
      </c>
      <c r="F138" s="2" t="s">
        <v>1232</v>
      </c>
      <c r="G138" s="4" t="str">
        <f>IF($E138="","",IFERROR(IF(OR(NOT(ISNUMBER($D138)),NOT(ISNUMBER(INDEX(Settings!$E$4:$E$80,MATCH($E138,Settings!$A$4:$A$80,0))))),"No",IF($D138&gt;INDEX(Settings!$E$4:$E$80,MATCH($E138,Settings!$A$4:$A$80,0)),"Yes","No")),""))</f>
        <v>Yes</v>
      </c>
      <c r="H138" t="str">
        <f>IFERROR(TRIM(INDEX('Raw Data'!$S$5:$S$400,MATCH($B138,'Raw Data'!$H$5:$H$400,0))),"")</f>
        <v>RLN3MA / MY26F047534</v>
      </c>
    </row>
    <row r="139" spans="1:8">
      <c r="A139" s="18">
        <f>IFERROR(INDEX('Raw Data'!$D$5:$D$400,MATCH($B139,'Raw Data'!$H$5:$H$400,0)),"")</f>
        <v>46203</v>
      </c>
      <c r="B139" s="2" t="s">
        <v>133</v>
      </c>
      <c r="C139" s="2" t="str">
        <f>IFERROR(TRIM(INDEX('Raw Data'!$J$5:$J$400,MATCH($B139,'Raw Data'!$H$5:$H$400,0))),"")</f>
        <v>Dollar General #20597</v>
      </c>
      <c r="D139" s="15">
        <f>IFERROR(INDEX('Store List'!$B$4:$B$300,MATCH($C139,'Store List'!$A$4:$A$300,0)),"")</f>
        <v>46134</v>
      </c>
      <c r="E139" s="2" t="s">
        <v>1175</v>
      </c>
      <c r="F139" s="2" t="s">
        <v>1233</v>
      </c>
      <c r="G139" s="4" t="str">
        <f>IF($E139="","",IFERROR(IF(OR(NOT(ISNUMBER($D139)),NOT(ISNUMBER(INDEX(Settings!$E$4:$E$80,MATCH($E139,Settings!$A$4:$A$80,0))))),"No",IF($D139&gt;INDEX(Settings!$E$4:$E$80,MATCH($E139,Settings!$A$4:$A$80,0)),"Yes","No")),""))</f>
        <v>No</v>
      </c>
      <c r="H139" t="str">
        <f>IFERROR(TRIM(INDEX('Raw Data'!$S$5:$S$400,MATCH($B139,'Raw Data'!$H$5:$H$400,0))),"")</f>
        <v>RLN3MA / MY26B016493</v>
      </c>
    </row>
    <row r="140" spans="1:8">
      <c r="A140" s="18">
        <f>IFERROR(INDEX('Raw Data'!$D$5:$D$400,MATCH($B140,'Raw Data'!$H$5:$H$400,0)),"")</f>
        <v>46203</v>
      </c>
      <c r="B140" s="2" t="s">
        <v>139</v>
      </c>
      <c r="C140" s="2" t="str">
        <f>IFERROR(TRIM(INDEX('Raw Data'!$J$5:$J$400,MATCH($B140,'Raw Data'!$H$5:$H$400,0))),"")</f>
        <v>Dollar General #13069</v>
      </c>
      <c r="D140" s="15">
        <f>IFERROR(INDEX('Store List'!$B$4:$B$300,MATCH($C140,'Store List'!$A$4:$A$300,0)),"")</f>
        <v>46127</v>
      </c>
      <c r="E140" s="2" t="s">
        <v>1147</v>
      </c>
      <c r="F140" s="2" t="s">
        <v>1234</v>
      </c>
      <c r="G140" s="4" t="str">
        <f>IF($E140="","",IFERROR(IF(OR(NOT(ISNUMBER($D140)),NOT(ISNUMBER(INDEX(Settings!$E$4:$E$80,MATCH($E140,Settings!$A$4:$A$80,0))))),"No",IF($D140&gt;INDEX(Settings!$E$4:$E$80,MATCH($E140,Settings!$A$4:$A$80,0)),"Yes","No")),""))</f>
        <v>No</v>
      </c>
      <c r="H140" t="str">
        <f>IFERROR(TRIM(INDEX('Raw Data'!$S$5:$S$400,MATCH($B140,'Raw Data'!$H$5:$H$400,0))),"")</f>
        <v>RLN3MA / MY26B016491</v>
      </c>
    </row>
    <row r="141" spans="1:8">
      <c r="A141" s="18">
        <f>IFERROR(INDEX('Raw Data'!$D$5:$D$400,MATCH($B141,'Raw Data'!$H$5:$H$400,0)),"")</f>
        <v>46203</v>
      </c>
      <c r="B141" s="2" t="s">
        <v>145</v>
      </c>
      <c r="C141" s="2" t="str">
        <f>IFERROR(TRIM(INDEX('Raw Data'!$J$5:$J$400,MATCH($B141,'Raw Data'!$H$5:$H$400,0))),"")</f>
        <v>Dollar General #20440</v>
      </c>
      <c r="D141" s="15">
        <f>IFERROR(INDEX('Store List'!$B$4:$B$300,MATCH($C141,'Store List'!$A$4:$A$300,0)),"")</f>
        <v>46161</v>
      </c>
      <c r="E141" s="2" t="s">
        <v>1167</v>
      </c>
      <c r="F141" s="2" t="s">
        <v>1235</v>
      </c>
      <c r="G141" s="4" t="str">
        <f>IF($E141="","",IFERROR(IF(OR(NOT(ISNUMBER($D141)),NOT(ISNUMBER(INDEX(Settings!$E$4:$E$80,MATCH($E141,Settings!$A$4:$A$80,0))))),"No",IF($D141&gt;INDEX(Settings!$E$4:$E$80,MATCH($E141,Settings!$A$4:$A$80,0)),"Yes","No")),""))</f>
        <v>No</v>
      </c>
      <c r="H141" t="str">
        <f>IFERROR(TRIM(INDEX('Raw Data'!$S$5:$S$400,MATCH($B141,'Raw Data'!$H$5:$H$400,0))),"")</f>
        <v>RLN3MA / MY26D032603</v>
      </c>
    </row>
    <row r="142" spans="1:8" hidden="1">
      <c r="A142" s="18">
        <f>IFERROR(INDEX('Raw Data'!$D$5:$D$400,MATCH($B142,'Raw Data'!$H$5:$H$400,0)),"")</f>
        <v>46202</v>
      </c>
      <c r="B142" s="2" t="s">
        <v>152</v>
      </c>
      <c r="C142" s="2" t="str">
        <f>IFERROR(TRIM(INDEX('Raw Data'!$J$5:$J$400,MATCH($B142,'Raw Data'!$H$5:$H$400,0))),"")</f>
        <v>Dollar General #22149</v>
      </c>
      <c r="D142" s="15">
        <f>IFERROR(INDEX('Store List'!$B$4:$B$300,MATCH($C142,'Store List'!$A$4:$A$300,0)),"")</f>
        <v>46092</v>
      </c>
      <c r="E142" s="2" t="s">
        <v>1175</v>
      </c>
      <c r="F142" s="2" t="s">
        <v>1225</v>
      </c>
      <c r="G142" s="4" t="str">
        <f>IF($E142="","",IFERROR(IF(OR(NOT(ISNUMBER($D142)),NOT(ISNUMBER(INDEX(Settings!$E$4:$E$80,MATCH($E142,Settings!$A$4:$A$80,0))))),"No",IF($D142&gt;INDEX(Settings!$E$4:$E$80,MATCH($E142,Settings!$A$4:$A$80,0)),"Yes","No")),""))</f>
        <v>No</v>
      </c>
      <c r="H142" t="str">
        <f>IFERROR(TRIM(INDEX('Raw Data'!$S$5:$S$400,MATCH($B142,'Raw Data'!$H$5:$H$400,0))),"")</f>
        <v>RLN2MA / MY26B014945</v>
      </c>
    </row>
    <row r="143" spans="1:8">
      <c r="A143" s="18">
        <f>IFERROR(INDEX('Raw Data'!$D$5:$D$400,MATCH($B143,'Raw Data'!$H$5:$H$400,0)),"")</f>
        <v>46212.902083333334</v>
      </c>
      <c r="B143" s="29" t="s">
        <v>1031</v>
      </c>
      <c r="C143" s="2" t="str">
        <f>IFERROR(TRIM(INDEX('Raw Data'!$J$5:$J$400,MATCH($B143,'Raw Data'!$H$5:$H$400,0))),"")</f>
        <v>Dollar General #21257</v>
      </c>
      <c r="D143" s="15">
        <f>IFERROR(INDEX('Store List'!$B$4:$B$300,MATCH($C143,'Store List'!$A$4:$A$300,0)),"")</f>
        <v>46211</v>
      </c>
      <c r="E143" s="2" t="s">
        <v>1236</v>
      </c>
      <c r="F143" s="2" t="s">
        <v>1237</v>
      </c>
      <c r="G143" s="4" t="str">
        <f>IF($E143="","",IFERROR(IF(OR(NOT(ISNUMBER($D143)),NOT(ISNUMBER(INDEX(Settings!$E$4:$E$80,MATCH($E143,Settings!$A$4:$A$80,0))))),"No",IF($D143&gt;INDEX(Settings!$E$4:$E$80,MATCH($E143,Settings!$A$4:$A$80,0)),"Yes","No")),""))</f>
        <v>No</v>
      </c>
      <c r="H143" t="str">
        <f>IFERROR(TRIM(INDEX('Raw Data'!$S$5:$S$400,MATCH($B143,'Raw Data'!$H$5:$H$400,0))),"")</f>
        <v>RLN3MA / MY26F047544</v>
      </c>
    </row>
    <row r="144" spans="1:8">
      <c r="A144" s="18">
        <f>IFERROR(INDEX('Raw Data'!$D$5:$D$400,MATCH($B144,'Raw Data'!$H$5:$H$400,0)),"")</f>
        <v>46211.878472222219</v>
      </c>
      <c r="B144" s="29" t="s">
        <v>1037</v>
      </c>
      <c r="C144" s="2" t="str">
        <f>IFERROR(TRIM(INDEX('Raw Data'!$J$5:$J$400,MATCH($B144,'Raw Data'!$H$5:$H$400,0))),"")</f>
        <v>Dollar General #21778</v>
      </c>
      <c r="D144" s="15">
        <f>IFERROR(INDEX('Store List'!$B$4:$B$300,MATCH($C144,'Store List'!$A$4:$A$300,0)),"")</f>
        <v>46148</v>
      </c>
      <c r="E144" s="2" t="s">
        <v>1146</v>
      </c>
      <c r="F144" s="31" t="s">
        <v>1238</v>
      </c>
      <c r="G144" s="4" t="str">
        <f>IF($E144="","",IFERROR(IF(OR(NOT(ISNUMBER($D144)),NOT(ISNUMBER(INDEX(Settings!$E$4:$E$80,MATCH($E144,Settings!$A$4:$A$80,0))))),"No",IF($D144&gt;INDEX(Settings!$E$4:$E$80,MATCH($E144,Settings!$A$4:$A$80,0)),"Yes","No")),""))</f>
        <v>No</v>
      </c>
      <c r="H144" t="str">
        <f>IFERROR(TRIM(INDEX('Raw Data'!$S$5:$S$400,MATCH($B144,'Raw Data'!$H$5:$H$400,0))),"")</f>
        <v>RLN3MA / MY26D028107</v>
      </c>
    </row>
    <row r="145" spans="1:8">
      <c r="A145" s="18">
        <f>IFERROR(INDEX('Raw Data'!$D$5:$D$400,MATCH($B145,'Raw Data'!$H$5:$H$400,0)),"")</f>
        <v>46211.829861111109</v>
      </c>
      <c r="B145" s="29" t="s">
        <v>1043</v>
      </c>
      <c r="C145" s="2" t="str">
        <f>IFERROR(TRIM(INDEX('Raw Data'!$J$5:$J$400,MATCH($B145,'Raw Data'!$H$5:$H$400,0))),"")</f>
        <v>Dollar General #8773</v>
      </c>
      <c r="D145" s="15">
        <f>IFERROR(INDEX('Store List'!$B$4:$B$300,MATCH($C145,'Store List'!$A$4:$A$300,0)),"")</f>
        <v>46125</v>
      </c>
      <c r="E145" s="2" t="s">
        <v>1158</v>
      </c>
      <c r="F145" s="31" t="s">
        <v>1239</v>
      </c>
      <c r="G145" s="4" t="str">
        <f>IF($E145="","",IFERROR(IF(OR(NOT(ISNUMBER($D145)),NOT(ISNUMBER(INDEX(Settings!$E$4:$E$80,MATCH($E145,Settings!$A$4:$A$80,0))))),"No",IF($D145&gt;INDEX(Settings!$E$4:$E$80,MATCH($E145,Settings!$A$4:$A$80,0)),"Yes","No")),""))</f>
        <v>No</v>
      </c>
      <c r="H145" t="str">
        <f>IFERROR(TRIM(INDEX('Raw Data'!$S$5:$S$400,MATCH($B145,'Raw Data'!$H$5:$H$400,0))),"")</f>
        <v>RLN3MA / MY26B016492</v>
      </c>
    </row>
    <row r="146" spans="1:8" hidden="1">
      <c r="A146" s="18">
        <f>IFERROR(INDEX('Raw Data'!$D$5:$D$400,MATCH($B146,'Raw Data'!$H$5:$H$400,0)),"")</f>
        <v>46211.095833333333</v>
      </c>
      <c r="B146" s="30" t="s">
        <v>1044</v>
      </c>
      <c r="C146" s="2" t="str">
        <f>IFERROR(TRIM(INDEX('Raw Data'!$J$5:$J$400,MATCH($B146,'Raw Data'!$H$5:$H$400,0))),"")</f>
        <v>Dollar General #13009</v>
      </c>
      <c r="D146" s="15">
        <f>IFERROR(INDEX('Store List'!$B$4:$B$300,MATCH($C146,'Store List'!$A$4:$A$300,0)),"")</f>
        <v>46169</v>
      </c>
      <c r="E146" s="2" t="s">
        <v>1144</v>
      </c>
      <c r="F146" s="32" t="s">
        <v>1240</v>
      </c>
      <c r="G146" s="4" t="str">
        <f>IF($E146="","",IFERROR(IF(OR(NOT(ISNUMBER($D146)),NOT(ISNUMBER(INDEX(Settings!$E$4:$E$80,MATCH($E146,Settings!$A$4:$A$80,0))))),"No",IF($D146&gt;INDEX(Settings!$E$4:$E$80,MATCH($E146,Settings!$A$4:$A$80,0)),"Yes","No")),""))</f>
        <v>No</v>
      </c>
      <c r="H146" t="str">
        <f>IFERROR(TRIM(INDEX('Raw Data'!$S$5:$S$400,MATCH($B146,'Raw Data'!$H$5:$H$400,0))),"")</f>
        <v>RLN2MA / MY26C019875</v>
      </c>
    </row>
    <row r="147" spans="1:8" hidden="1">
      <c r="A147" s="18" t="str">
        <f>IFERROR(INDEX('Raw Data'!$D$5:$D$400,MATCH($B147,'Raw Data'!$H$5:$H$400,0)),"")</f>
        <v/>
      </c>
      <c r="B147" s="2"/>
      <c r="C147" s="2" t="str">
        <f>IFERROR(TRIM(INDEX('Raw Data'!$J$5:$J$400,MATCH($B147,'Raw Data'!$H$5:$H$400,0))),"")</f>
        <v/>
      </c>
      <c r="D147" s="15" t="str">
        <f>IFERROR(INDEX('Store List'!$B$4:$B$300,MATCH($C147,'Store List'!$A$4:$A$300,0)),"")</f>
        <v/>
      </c>
      <c r="E147" s="2"/>
      <c r="F147" s="2"/>
      <c r="G147" s="4" t="str">
        <f>IF($E147="","",IFERROR(IF(OR(NOT(ISNUMBER($D147)),NOT(ISNUMBER(INDEX(Settings!$E$4:$E$80,MATCH($E147,Settings!$A$4:$A$80,0))))),"No",IF($D147&gt;INDEX(Settings!$E$4:$E$80,MATCH($E147,Settings!$A$4:$A$80,0)),"Yes","No")),""))</f>
        <v/>
      </c>
      <c r="H147" t="str">
        <f>IFERROR(TRIM(INDEX('Raw Data'!$S$5:$S$400,MATCH($B147,'Raw Data'!$H$5:$H$400,0))),"")</f>
        <v/>
      </c>
    </row>
    <row r="148" spans="1:8" hidden="1">
      <c r="A148" s="18" t="str">
        <f>IFERROR(INDEX('Raw Data'!$D$5:$D$400,MATCH($B148,'Raw Data'!$H$5:$H$400,0)),"")</f>
        <v/>
      </c>
      <c r="B148" s="2"/>
      <c r="C148" s="2" t="str">
        <f>IFERROR(TRIM(INDEX('Raw Data'!$J$5:$J$400,MATCH($B148,'Raw Data'!$H$5:$H$400,0))),"")</f>
        <v/>
      </c>
      <c r="D148" s="15" t="str">
        <f>IFERROR(INDEX('Store List'!$B$4:$B$300,MATCH($C148,'Store List'!$A$4:$A$300,0)),"")</f>
        <v/>
      </c>
      <c r="E148" s="2"/>
      <c r="F148" s="2"/>
      <c r="G148" s="4" t="str">
        <f>IF($E148="","",IFERROR(IF(OR(NOT(ISNUMBER($D148)),NOT(ISNUMBER(INDEX(Settings!$E$4:$E$80,MATCH($E148,Settings!$A$4:$A$80,0))))),"No",IF($D148&gt;INDEX(Settings!$E$4:$E$80,MATCH($E148,Settings!$A$4:$A$80,0)),"Yes","No")),""))</f>
        <v/>
      </c>
      <c r="H148" t="str">
        <f>IFERROR(TRIM(INDEX('Raw Data'!$S$5:$S$400,MATCH($B148,'Raw Data'!$H$5:$H$400,0))),"")</f>
        <v/>
      </c>
    </row>
    <row r="149" spans="1:8" hidden="1">
      <c r="A149" s="18" t="str">
        <f>IFERROR(INDEX('Raw Data'!$D$5:$D$400,MATCH($B149,'Raw Data'!$H$5:$H$400,0)),"")</f>
        <v/>
      </c>
      <c r="B149" s="2"/>
      <c r="C149" s="2" t="str">
        <f>IFERROR(TRIM(INDEX('Raw Data'!$J$5:$J$400,MATCH($B149,'Raw Data'!$H$5:$H$400,0))),"")</f>
        <v/>
      </c>
      <c r="D149" s="15" t="str">
        <f>IFERROR(INDEX('Store List'!$B$4:$B$300,MATCH($C149,'Store List'!$A$4:$A$300,0)),"")</f>
        <v/>
      </c>
      <c r="E149" s="2"/>
      <c r="F149" s="2"/>
      <c r="G149" s="4" t="str">
        <f>IF($E149="","",IFERROR(IF(OR(NOT(ISNUMBER($D149)),NOT(ISNUMBER(INDEX(Settings!$E$4:$E$80,MATCH($E149,Settings!$A$4:$A$80,0))))),"No",IF($D149&gt;INDEX(Settings!$E$4:$E$80,MATCH($E149,Settings!$A$4:$A$80,0)),"Yes","No")),""))</f>
        <v/>
      </c>
      <c r="H149" t="str">
        <f>IFERROR(TRIM(INDEX('Raw Data'!$S$5:$S$400,MATCH($B149,'Raw Data'!$H$5:$H$400,0))),"")</f>
        <v/>
      </c>
    </row>
    <row r="150" spans="1:8" hidden="1">
      <c r="A150" s="18" t="str">
        <f>IFERROR(INDEX('Raw Data'!$D$5:$D$400,MATCH($B150,'Raw Data'!$H$5:$H$400,0)),"")</f>
        <v/>
      </c>
      <c r="B150" s="2"/>
      <c r="C150" s="2" t="str">
        <f>IFERROR(TRIM(INDEX('Raw Data'!$J$5:$J$400,MATCH($B150,'Raw Data'!$H$5:$H$400,0))),"")</f>
        <v/>
      </c>
      <c r="D150" s="15" t="str">
        <f>IFERROR(INDEX('Store List'!$B$4:$B$300,MATCH($C150,'Store List'!$A$4:$A$300,0)),"")</f>
        <v/>
      </c>
      <c r="E150" s="2"/>
      <c r="F150" s="2"/>
      <c r="G150" s="4" t="str">
        <f>IF($E150="","",IFERROR(IF(OR(NOT(ISNUMBER($D150)),NOT(ISNUMBER(INDEX(Settings!$E$4:$E$80,MATCH($E150,Settings!$A$4:$A$80,0))))),"No",IF($D150&gt;INDEX(Settings!$E$4:$E$80,MATCH($E150,Settings!$A$4:$A$80,0)),"Yes","No")),""))</f>
        <v/>
      </c>
      <c r="H150" t="str">
        <f>IFERROR(TRIM(INDEX('Raw Data'!$S$5:$S$400,MATCH($B150,'Raw Data'!$H$5:$H$400,0))),"")</f>
        <v/>
      </c>
    </row>
    <row r="151" spans="1:8" hidden="1">
      <c r="A151" s="18" t="str">
        <f>IFERROR(INDEX('Raw Data'!$D$5:$D$400,MATCH($B151,'Raw Data'!$H$5:$H$400,0)),"")</f>
        <v/>
      </c>
      <c r="B151" s="2"/>
      <c r="C151" s="2" t="str">
        <f>IFERROR(TRIM(INDEX('Raw Data'!$J$5:$J$400,MATCH($B151,'Raw Data'!$H$5:$H$400,0))),"")</f>
        <v/>
      </c>
      <c r="D151" s="15" t="str">
        <f>IFERROR(INDEX('Store List'!$B$4:$B$300,MATCH($C151,'Store List'!$A$4:$A$300,0)),"")</f>
        <v/>
      </c>
      <c r="E151" s="2"/>
      <c r="F151" s="2"/>
      <c r="G151" s="4" t="str">
        <f>IF($E151="","",IFERROR(IF(OR(NOT(ISNUMBER($D151)),NOT(ISNUMBER(INDEX(Settings!$E$4:$E$80,MATCH($E151,Settings!$A$4:$A$80,0))))),"No",IF($D151&gt;INDEX(Settings!$E$4:$E$80,MATCH($E151,Settings!$A$4:$A$80,0)),"Yes","No")),""))</f>
        <v/>
      </c>
      <c r="H151" t="str">
        <f>IFERROR(TRIM(INDEX('Raw Data'!$S$5:$S$400,MATCH($B151,'Raw Data'!$H$5:$H$400,0))),"")</f>
        <v/>
      </c>
    </row>
    <row r="152" spans="1:8" hidden="1">
      <c r="A152" s="18" t="str">
        <f>IFERROR(INDEX('Raw Data'!$D$5:$D$400,MATCH($B152,'Raw Data'!$H$5:$H$400,0)),"")</f>
        <v/>
      </c>
      <c r="B152" s="2"/>
      <c r="C152" s="2" t="str">
        <f>IFERROR(TRIM(INDEX('Raw Data'!$J$5:$J$400,MATCH($B152,'Raw Data'!$H$5:$H$400,0))),"")</f>
        <v/>
      </c>
      <c r="D152" s="15" t="str">
        <f>IFERROR(INDEX('Store List'!$B$4:$B$300,MATCH($C152,'Store List'!$A$4:$A$300,0)),"")</f>
        <v/>
      </c>
      <c r="E152" s="2"/>
      <c r="F152" s="2"/>
      <c r="G152" s="4" t="str">
        <f>IF($E152="","",IFERROR(IF(OR(NOT(ISNUMBER($D152)),NOT(ISNUMBER(INDEX(Settings!$E$4:$E$80,MATCH($E152,Settings!$A$4:$A$80,0))))),"No",IF($D152&gt;INDEX(Settings!$E$4:$E$80,MATCH($E152,Settings!$A$4:$A$80,0)),"Yes","No")),""))</f>
        <v/>
      </c>
      <c r="H152" t="str">
        <f>IFERROR(TRIM(INDEX('Raw Data'!$S$5:$S$400,MATCH($B152,'Raw Data'!$H$5:$H$400,0))),"")</f>
        <v/>
      </c>
    </row>
    <row r="153" spans="1:8" hidden="1">
      <c r="A153" s="18" t="str">
        <f>IFERROR(INDEX('Raw Data'!$D$5:$D$400,MATCH($B153,'Raw Data'!$H$5:$H$400,0)),"")</f>
        <v/>
      </c>
      <c r="B153" s="2"/>
      <c r="C153" s="2" t="str">
        <f>IFERROR(TRIM(INDEX('Raw Data'!$J$5:$J$400,MATCH($B153,'Raw Data'!$H$5:$H$400,0))),"")</f>
        <v/>
      </c>
      <c r="D153" s="15" t="str">
        <f>IFERROR(INDEX('Store List'!$B$4:$B$300,MATCH($C153,'Store List'!$A$4:$A$300,0)),"")</f>
        <v/>
      </c>
      <c r="E153" s="2"/>
      <c r="F153" s="2"/>
      <c r="G153" s="4" t="str">
        <f>IF($E153="","",IFERROR(IF(OR(NOT(ISNUMBER($D153)),NOT(ISNUMBER(INDEX(Settings!$E$4:$E$80,MATCH($E153,Settings!$A$4:$A$80,0))))),"No",IF($D153&gt;INDEX(Settings!$E$4:$E$80,MATCH($E153,Settings!$A$4:$A$80,0)),"Yes","No")),""))</f>
        <v/>
      </c>
      <c r="H153" t="str">
        <f>IFERROR(TRIM(INDEX('Raw Data'!$S$5:$S$400,MATCH($B153,'Raw Data'!$H$5:$H$400,0))),"")</f>
        <v/>
      </c>
    </row>
    <row r="154" spans="1:8" hidden="1">
      <c r="A154" s="18" t="str">
        <f>IFERROR(INDEX('Raw Data'!$D$5:$D$400,MATCH($B154,'Raw Data'!$H$5:$H$400,0)),"")</f>
        <v/>
      </c>
      <c r="B154" s="2"/>
      <c r="C154" s="2" t="str">
        <f>IFERROR(TRIM(INDEX('Raw Data'!$J$5:$J$400,MATCH($B154,'Raw Data'!$H$5:$H$400,0))),"")</f>
        <v/>
      </c>
      <c r="D154" s="15" t="str">
        <f>IFERROR(INDEX('Store List'!$B$4:$B$300,MATCH($C154,'Store List'!$A$4:$A$300,0)),"")</f>
        <v/>
      </c>
      <c r="E154" s="2"/>
      <c r="F154" s="2"/>
      <c r="G154" s="4" t="str">
        <f>IF($E154="","",IFERROR(IF(OR(NOT(ISNUMBER($D154)),NOT(ISNUMBER(INDEX(Settings!$E$4:$E$80,MATCH($E154,Settings!$A$4:$A$80,0))))),"No",IF($D154&gt;INDEX(Settings!$E$4:$E$80,MATCH($E154,Settings!$A$4:$A$80,0)),"Yes","No")),""))</f>
        <v/>
      </c>
      <c r="H154" t="str">
        <f>IFERROR(TRIM(INDEX('Raw Data'!$S$5:$S$400,MATCH($B154,'Raw Data'!$H$5:$H$400,0))),"")</f>
        <v/>
      </c>
    </row>
    <row r="155" spans="1:8" hidden="1">
      <c r="A155" s="18" t="str">
        <f>IFERROR(INDEX('Raw Data'!$D$5:$D$400,MATCH($B155,'Raw Data'!$H$5:$H$400,0)),"")</f>
        <v/>
      </c>
      <c r="B155" s="2"/>
      <c r="C155" s="2" t="str">
        <f>IFERROR(TRIM(INDEX('Raw Data'!$J$5:$J$400,MATCH($B155,'Raw Data'!$H$5:$H$400,0))),"")</f>
        <v/>
      </c>
      <c r="D155" s="15" t="str">
        <f>IFERROR(INDEX('Store List'!$B$4:$B$300,MATCH($C155,'Store List'!$A$4:$A$300,0)),"")</f>
        <v/>
      </c>
      <c r="E155" s="2"/>
      <c r="F155" s="2"/>
      <c r="G155" s="4" t="str">
        <f>IF($E155="","",IFERROR(IF(OR(NOT(ISNUMBER($D155)),NOT(ISNUMBER(INDEX(Settings!$E$4:$E$80,MATCH($E155,Settings!$A$4:$A$80,0))))),"No",IF($D155&gt;INDEX(Settings!$E$4:$E$80,MATCH($E155,Settings!$A$4:$A$80,0)),"Yes","No")),""))</f>
        <v/>
      </c>
      <c r="H155" t="str">
        <f>IFERROR(TRIM(INDEX('Raw Data'!$S$5:$S$400,MATCH($B155,'Raw Data'!$H$5:$H$400,0))),"")</f>
        <v/>
      </c>
    </row>
    <row r="156" spans="1:8" hidden="1">
      <c r="A156" s="18" t="str">
        <f>IFERROR(INDEX('Raw Data'!$D$5:$D$400,MATCH($B156,'Raw Data'!$H$5:$H$400,0)),"")</f>
        <v/>
      </c>
      <c r="B156" s="2"/>
      <c r="C156" s="2" t="str">
        <f>IFERROR(TRIM(INDEX('Raw Data'!$J$5:$J$400,MATCH($B156,'Raw Data'!$H$5:$H$400,0))),"")</f>
        <v/>
      </c>
      <c r="D156" s="15" t="str">
        <f>IFERROR(INDEX('Store List'!$B$4:$B$300,MATCH($C156,'Store List'!$A$4:$A$300,0)),"")</f>
        <v/>
      </c>
      <c r="E156" s="2"/>
      <c r="F156" s="2"/>
      <c r="G156" s="4" t="str">
        <f>IF($E156="","",IFERROR(IF(OR(NOT(ISNUMBER($D156)),NOT(ISNUMBER(INDEX(Settings!$E$4:$E$80,MATCH($E156,Settings!$A$4:$A$80,0))))),"No",IF($D156&gt;INDEX(Settings!$E$4:$E$80,MATCH($E156,Settings!$A$4:$A$80,0)),"Yes","No")),""))</f>
        <v/>
      </c>
      <c r="H156" t="str">
        <f>IFERROR(TRIM(INDEX('Raw Data'!$S$5:$S$400,MATCH($B156,'Raw Data'!$H$5:$H$400,0))),"")</f>
        <v/>
      </c>
    </row>
    <row r="157" spans="1:8" hidden="1">
      <c r="A157" s="18" t="str">
        <f>IFERROR(INDEX('Raw Data'!$D$5:$D$400,MATCH($B157,'Raw Data'!$H$5:$H$400,0)),"")</f>
        <v/>
      </c>
      <c r="B157" s="2"/>
      <c r="C157" s="2" t="str">
        <f>IFERROR(TRIM(INDEX('Raw Data'!$J$5:$J$400,MATCH($B157,'Raw Data'!$H$5:$H$400,0))),"")</f>
        <v/>
      </c>
      <c r="D157" s="15" t="str">
        <f>IFERROR(INDEX('Store List'!$B$4:$B$300,MATCH($C157,'Store List'!$A$4:$A$300,0)),"")</f>
        <v/>
      </c>
      <c r="E157" s="2"/>
      <c r="F157" s="2"/>
      <c r="G157" s="4" t="str">
        <f>IF($E157="","",IFERROR(IF(OR(NOT(ISNUMBER($D157)),NOT(ISNUMBER(INDEX(Settings!$E$4:$E$80,MATCH($E157,Settings!$A$4:$A$80,0))))),"No",IF($D157&gt;INDEX(Settings!$E$4:$E$80,MATCH($E157,Settings!$A$4:$A$80,0)),"Yes","No")),""))</f>
        <v/>
      </c>
      <c r="H157" t="str">
        <f>IFERROR(TRIM(INDEX('Raw Data'!$S$5:$S$400,MATCH($B157,'Raw Data'!$H$5:$H$400,0))),"")</f>
        <v/>
      </c>
    </row>
    <row r="158" spans="1:8" hidden="1">
      <c r="A158" s="18" t="str">
        <f>IFERROR(INDEX('Raw Data'!$D$5:$D$400,MATCH($B158,'Raw Data'!$H$5:$H$400,0)),"")</f>
        <v/>
      </c>
      <c r="B158" s="2"/>
      <c r="C158" s="2" t="str">
        <f>IFERROR(TRIM(INDEX('Raw Data'!$J$5:$J$400,MATCH($B158,'Raw Data'!$H$5:$H$400,0))),"")</f>
        <v/>
      </c>
      <c r="D158" s="15" t="str">
        <f>IFERROR(INDEX('Store List'!$B$4:$B$300,MATCH($C158,'Store List'!$A$4:$A$300,0)),"")</f>
        <v/>
      </c>
      <c r="E158" s="2"/>
      <c r="F158" s="2"/>
      <c r="G158" s="4" t="str">
        <f>IF($E158="","",IFERROR(IF(OR(NOT(ISNUMBER($D158)),NOT(ISNUMBER(INDEX(Settings!$E$4:$E$80,MATCH($E158,Settings!$A$4:$A$80,0))))),"No",IF($D158&gt;INDEX(Settings!$E$4:$E$80,MATCH($E158,Settings!$A$4:$A$80,0)),"Yes","No")),""))</f>
        <v/>
      </c>
      <c r="H158" t="str">
        <f>IFERROR(TRIM(INDEX('Raw Data'!$S$5:$S$400,MATCH($B158,'Raw Data'!$H$5:$H$400,0))),"")</f>
        <v/>
      </c>
    </row>
    <row r="159" spans="1:8" hidden="1">
      <c r="A159" s="18" t="str">
        <f>IFERROR(INDEX('Raw Data'!$D$5:$D$400,MATCH($B159,'Raw Data'!$H$5:$H$400,0)),"")</f>
        <v/>
      </c>
      <c r="B159" s="2"/>
      <c r="C159" s="2" t="str">
        <f>IFERROR(TRIM(INDEX('Raw Data'!$J$5:$J$400,MATCH($B159,'Raw Data'!$H$5:$H$400,0))),"")</f>
        <v/>
      </c>
      <c r="D159" s="15" t="str">
        <f>IFERROR(INDEX('Store List'!$B$4:$B$300,MATCH($C159,'Store List'!$A$4:$A$300,0)),"")</f>
        <v/>
      </c>
      <c r="E159" s="2"/>
      <c r="F159" s="2"/>
      <c r="G159" s="4" t="str">
        <f>IF($E159="","",IFERROR(IF(OR(NOT(ISNUMBER($D159)),NOT(ISNUMBER(INDEX(Settings!$E$4:$E$80,MATCH($E159,Settings!$A$4:$A$80,0))))),"No",IF($D159&gt;INDEX(Settings!$E$4:$E$80,MATCH($E159,Settings!$A$4:$A$80,0)),"Yes","No")),""))</f>
        <v/>
      </c>
      <c r="H159" t="str">
        <f>IFERROR(TRIM(INDEX('Raw Data'!$S$5:$S$400,MATCH($B159,'Raw Data'!$H$5:$H$400,0))),"")</f>
        <v/>
      </c>
    </row>
    <row r="160" spans="1:8" hidden="1">
      <c r="A160" s="18" t="str">
        <f>IFERROR(INDEX('Raw Data'!$D$5:$D$400,MATCH($B160,'Raw Data'!$H$5:$H$400,0)),"")</f>
        <v/>
      </c>
      <c r="B160" s="2"/>
      <c r="C160" s="2" t="str">
        <f>IFERROR(TRIM(INDEX('Raw Data'!$J$5:$J$400,MATCH($B160,'Raw Data'!$H$5:$H$400,0))),"")</f>
        <v/>
      </c>
      <c r="D160" s="15" t="str">
        <f>IFERROR(INDEX('Store List'!$B$4:$B$300,MATCH($C160,'Store List'!$A$4:$A$300,0)),"")</f>
        <v/>
      </c>
      <c r="E160" s="2"/>
      <c r="F160" s="2"/>
      <c r="G160" s="4" t="str">
        <f>IF($E160="","",IFERROR(IF(OR(NOT(ISNUMBER($D160)),NOT(ISNUMBER(INDEX(Settings!$E$4:$E$80,MATCH($E160,Settings!$A$4:$A$80,0))))),"No",IF($D160&gt;INDEX(Settings!$E$4:$E$80,MATCH($E160,Settings!$A$4:$A$80,0)),"Yes","No")),""))</f>
        <v/>
      </c>
      <c r="H160" t="str">
        <f>IFERROR(TRIM(INDEX('Raw Data'!$S$5:$S$400,MATCH($B160,'Raw Data'!$H$5:$H$400,0))),"")</f>
        <v/>
      </c>
    </row>
    <row r="161" spans="1:8" hidden="1">
      <c r="A161" s="18" t="str">
        <f>IFERROR(INDEX('Raw Data'!$D$5:$D$400,MATCH($B161,'Raw Data'!$H$5:$H$400,0)),"")</f>
        <v/>
      </c>
      <c r="B161" s="2"/>
      <c r="C161" s="2" t="str">
        <f>IFERROR(TRIM(INDEX('Raw Data'!$J$5:$J$400,MATCH($B161,'Raw Data'!$H$5:$H$400,0))),"")</f>
        <v/>
      </c>
      <c r="D161" s="15" t="str">
        <f>IFERROR(INDEX('Store List'!$B$4:$B$300,MATCH($C161,'Store List'!$A$4:$A$300,0)),"")</f>
        <v/>
      </c>
      <c r="E161" s="2"/>
      <c r="F161" s="2"/>
      <c r="G161" s="4" t="str">
        <f>IF($E161="","",IFERROR(IF(OR(NOT(ISNUMBER($D161)),NOT(ISNUMBER(INDEX(Settings!$E$4:$E$80,MATCH($E161,Settings!$A$4:$A$80,0))))),"No",IF($D161&gt;INDEX(Settings!$E$4:$E$80,MATCH($E161,Settings!$A$4:$A$80,0)),"Yes","No")),""))</f>
        <v/>
      </c>
      <c r="H161" t="str">
        <f>IFERROR(TRIM(INDEX('Raw Data'!$S$5:$S$400,MATCH($B161,'Raw Data'!$H$5:$H$400,0))),"")</f>
        <v/>
      </c>
    </row>
    <row r="162" spans="1:8" hidden="1">
      <c r="A162" s="18" t="str">
        <f>IFERROR(INDEX('Raw Data'!$D$5:$D$400,MATCH($B162,'Raw Data'!$H$5:$H$400,0)),"")</f>
        <v/>
      </c>
      <c r="B162" s="2"/>
      <c r="C162" s="2" t="str">
        <f>IFERROR(TRIM(INDEX('Raw Data'!$J$5:$J$400,MATCH($B162,'Raw Data'!$H$5:$H$400,0))),"")</f>
        <v/>
      </c>
      <c r="D162" s="15" t="str">
        <f>IFERROR(INDEX('Store List'!$B$4:$B$300,MATCH($C162,'Store List'!$A$4:$A$300,0)),"")</f>
        <v/>
      </c>
      <c r="E162" s="2"/>
      <c r="F162" s="2"/>
      <c r="G162" s="4" t="str">
        <f>IF($E162="","",IFERROR(IF(OR(NOT(ISNUMBER($D162)),NOT(ISNUMBER(INDEX(Settings!$E$4:$E$80,MATCH($E162,Settings!$A$4:$A$80,0))))),"No",IF($D162&gt;INDEX(Settings!$E$4:$E$80,MATCH($E162,Settings!$A$4:$A$80,0)),"Yes","No")),""))</f>
        <v/>
      </c>
      <c r="H162" t="str">
        <f>IFERROR(TRIM(INDEX('Raw Data'!$S$5:$S$400,MATCH($B162,'Raw Data'!$H$5:$H$400,0))),"")</f>
        <v/>
      </c>
    </row>
    <row r="163" spans="1:8" hidden="1">
      <c r="A163" s="18" t="str">
        <f>IFERROR(INDEX('Raw Data'!$D$5:$D$400,MATCH($B163,'Raw Data'!$H$5:$H$400,0)),"")</f>
        <v/>
      </c>
      <c r="B163" s="2"/>
      <c r="C163" s="2" t="str">
        <f>IFERROR(TRIM(INDEX('Raw Data'!$J$5:$J$400,MATCH($B163,'Raw Data'!$H$5:$H$400,0))),"")</f>
        <v/>
      </c>
      <c r="D163" s="15" t="str">
        <f>IFERROR(INDEX('Store List'!$B$4:$B$300,MATCH($C163,'Store List'!$A$4:$A$300,0)),"")</f>
        <v/>
      </c>
      <c r="E163" s="2"/>
      <c r="F163" s="2"/>
      <c r="G163" s="4" t="str">
        <f>IF($E163="","",IFERROR(IF(OR(NOT(ISNUMBER($D163)),NOT(ISNUMBER(INDEX(Settings!$E$4:$E$80,MATCH($E163,Settings!$A$4:$A$80,0))))),"No",IF($D163&gt;INDEX(Settings!$E$4:$E$80,MATCH($E163,Settings!$A$4:$A$80,0)),"Yes","No")),""))</f>
        <v/>
      </c>
      <c r="H163" t="str">
        <f>IFERROR(TRIM(INDEX('Raw Data'!$S$5:$S$400,MATCH($B163,'Raw Data'!$H$5:$H$400,0))),"")</f>
        <v/>
      </c>
    </row>
    <row r="164" spans="1:8" hidden="1">
      <c r="A164" s="18" t="str">
        <f>IFERROR(INDEX('Raw Data'!$D$5:$D$400,MATCH($B164,'Raw Data'!$H$5:$H$400,0)),"")</f>
        <v/>
      </c>
      <c r="B164" s="2"/>
      <c r="C164" s="2" t="str">
        <f>IFERROR(TRIM(INDEX('Raw Data'!$J$5:$J$400,MATCH($B164,'Raw Data'!$H$5:$H$400,0))),"")</f>
        <v/>
      </c>
      <c r="D164" s="15" t="str">
        <f>IFERROR(INDEX('Store List'!$B$4:$B$300,MATCH($C164,'Store List'!$A$4:$A$300,0)),"")</f>
        <v/>
      </c>
      <c r="E164" s="2"/>
      <c r="F164" s="2"/>
      <c r="G164" s="4" t="str">
        <f>IF($E164="","",IFERROR(IF(OR(NOT(ISNUMBER($D164)),NOT(ISNUMBER(INDEX(Settings!$E$4:$E$80,MATCH($E164,Settings!$A$4:$A$80,0))))),"No",IF($D164&gt;INDEX(Settings!$E$4:$E$80,MATCH($E164,Settings!$A$4:$A$80,0)),"Yes","No")),""))</f>
        <v/>
      </c>
      <c r="H164" t="str">
        <f>IFERROR(TRIM(INDEX('Raw Data'!$S$5:$S$400,MATCH($B164,'Raw Data'!$H$5:$H$400,0))),"")</f>
        <v/>
      </c>
    </row>
    <row r="165" spans="1:8" hidden="1">
      <c r="A165" s="18" t="str">
        <f>IFERROR(INDEX('Raw Data'!$D$5:$D$400,MATCH($B165,'Raw Data'!$H$5:$H$400,0)),"")</f>
        <v/>
      </c>
      <c r="B165" s="2"/>
      <c r="C165" s="2" t="str">
        <f>IFERROR(TRIM(INDEX('Raw Data'!$J$5:$J$400,MATCH($B165,'Raw Data'!$H$5:$H$400,0))),"")</f>
        <v/>
      </c>
      <c r="D165" s="15" t="str">
        <f>IFERROR(INDEX('Store List'!$B$4:$B$300,MATCH($C165,'Store List'!$A$4:$A$300,0)),"")</f>
        <v/>
      </c>
      <c r="E165" s="2"/>
      <c r="F165" s="2"/>
      <c r="G165" s="4" t="str">
        <f>IF($E165="","",IFERROR(IF(OR(NOT(ISNUMBER($D165)),NOT(ISNUMBER(INDEX(Settings!$E$4:$E$80,MATCH($E165,Settings!$A$4:$A$80,0))))),"No",IF($D165&gt;INDEX(Settings!$E$4:$E$80,MATCH($E165,Settings!$A$4:$A$80,0)),"Yes","No")),""))</f>
        <v/>
      </c>
      <c r="H165" t="str">
        <f>IFERROR(TRIM(INDEX('Raw Data'!$S$5:$S$400,MATCH($B165,'Raw Data'!$H$5:$H$400,0))),"")</f>
        <v/>
      </c>
    </row>
    <row r="166" spans="1:8" hidden="1">
      <c r="A166" s="18" t="str">
        <f>IFERROR(INDEX('Raw Data'!$D$5:$D$400,MATCH($B166,'Raw Data'!$H$5:$H$400,0)),"")</f>
        <v/>
      </c>
      <c r="B166" s="2"/>
      <c r="C166" s="2" t="str">
        <f>IFERROR(TRIM(INDEX('Raw Data'!$J$5:$J$400,MATCH($B166,'Raw Data'!$H$5:$H$400,0))),"")</f>
        <v/>
      </c>
      <c r="D166" s="15" t="str">
        <f>IFERROR(INDEX('Store List'!$B$4:$B$300,MATCH($C166,'Store List'!$A$4:$A$300,0)),"")</f>
        <v/>
      </c>
      <c r="E166" s="2"/>
      <c r="F166" s="2"/>
      <c r="G166" s="4" t="str">
        <f>IF($E166="","",IFERROR(IF(OR(NOT(ISNUMBER($D166)),NOT(ISNUMBER(INDEX(Settings!$E$4:$E$80,MATCH($E166,Settings!$A$4:$A$80,0))))),"No",IF($D166&gt;INDEX(Settings!$E$4:$E$80,MATCH($E166,Settings!$A$4:$A$80,0)),"Yes","No")),""))</f>
        <v/>
      </c>
      <c r="H166" t="str">
        <f>IFERROR(TRIM(INDEX('Raw Data'!$S$5:$S$400,MATCH($B166,'Raw Data'!$H$5:$H$400,0))),"")</f>
        <v/>
      </c>
    </row>
    <row r="167" spans="1:8" hidden="1">
      <c r="A167" s="18" t="str">
        <f>IFERROR(INDEX('Raw Data'!$D$5:$D$400,MATCH($B167,'Raw Data'!$H$5:$H$400,0)),"")</f>
        <v/>
      </c>
      <c r="B167" s="2"/>
      <c r="C167" s="2" t="str">
        <f>IFERROR(TRIM(INDEX('Raw Data'!$J$5:$J$400,MATCH($B167,'Raw Data'!$H$5:$H$400,0))),"")</f>
        <v/>
      </c>
      <c r="D167" s="15" t="str">
        <f>IFERROR(INDEX('Store List'!$B$4:$B$300,MATCH($C167,'Store List'!$A$4:$A$300,0)),"")</f>
        <v/>
      </c>
      <c r="E167" s="2"/>
      <c r="F167" s="2"/>
      <c r="G167" s="4" t="str">
        <f>IF($E167="","",IFERROR(IF(OR(NOT(ISNUMBER($D167)),NOT(ISNUMBER(INDEX(Settings!$E$4:$E$80,MATCH($E167,Settings!$A$4:$A$80,0))))),"No",IF($D167&gt;INDEX(Settings!$E$4:$E$80,MATCH($E167,Settings!$A$4:$A$80,0)),"Yes","No")),""))</f>
        <v/>
      </c>
      <c r="H167" t="str">
        <f>IFERROR(TRIM(INDEX('Raw Data'!$S$5:$S$400,MATCH($B167,'Raw Data'!$H$5:$H$400,0))),"")</f>
        <v/>
      </c>
    </row>
    <row r="168" spans="1:8" hidden="1">
      <c r="A168" s="18" t="str">
        <f>IFERROR(INDEX('Raw Data'!$D$5:$D$400,MATCH($B168,'Raw Data'!$H$5:$H$400,0)),"")</f>
        <v/>
      </c>
      <c r="B168" s="2"/>
      <c r="C168" s="2" t="str">
        <f>IFERROR(TRIM(INDEX('Raw Data'!$J$5:$J$400,MATCH($B168,'Raw Data'!$H$5:$H$400,0))),"")</f>
        <v/>
      </c>
      <c r="D168" s="15" t="str">
        <f>IFERROR(INDEX('Store List'!$B$4:$B$300,MATCH($C168,'Store List'!$A$4:$A$300,0)),"")</f>
        <v/>
      </c>
      <c r="E168" s="2"/>
      <c r="F168" s="2"/>
      <c r="G168" s="4" t="str">
        <f>IF($E168="","",IFERROR(IF(OR(NOT(ISNUMBER($D168)),NOT(ISNUMBER(INDEX(Settings!$E$4:$E$80,MATCH($E168,Settings!$A$4:$A$80,0))))),"No",IF($D168&gt;INDEX(Settings!$E$4:$E$80,MATCH($E168,Settings!$A$4:$A$80,0)),"Yes","No")),""))</f>
        <v/>
      </c>
      <c r="H168" t="str">
        <f>IFERROR(TRIM(INDEX('Raw Data'!$S$5:$S$400,MATCH($B168,'Raw Data'!$H$5:$H$400,0))),"")</f>
        <v/>
      </c>
    </row>
    <row r="169" spans="1:8" hidden="1">
      <c r="A169" s="18" t="str">
        <f>IFERROR(INDEX('Raw Data'!$D$5:$D$400,MATCH($B169,'Raw Data'!$H$5:$H$400,0)),"")</f>
        <v/>
      </c>
      <c r="B169" s="2"/>
      <c r="C169" s="2" t="str">
        <f>IFERROR(TRIM(INDEX('Raw Data'!$J$5:$J$400,MATCH($B169,'Raw Data'!$H$5:$H$400,0))),"")</f>
        <v/>
      </c>
      <c r="D169" s="15" t="str">
        <f>IFERROR(INDEX('Store List'!$B$4:$B$300,MATCH($C169,'Store List'!$A$4:$A$300,0)),"")</f>
        <v/>
      </c>
      <c r="E169" s="2"/>
      <c r="F169" s="2"/>
      <c r="G169" s="4" t="str">
        <f>IF($E169="","",IFERROR(IF(OR(NOT(ISNUMBER($D169)),NOT(ISNUMBER(INDEX(Settings!$E$4:$E$80,MATCH($E169,Settings!$A$4:$A$80,0))))),"No",IF($D169&gt;INDEX(Settings!$E$4:$E$80,MATCH($E169,Settings!$A$4:$A$80,0)),"Yes","No")),""))</f>
        <v/>
      </c>
      <c r="H169" t="str">
        <f>IFERROR(TRIM(INDEX('Raw Data'!$S$5:$S$400,MATCH($B169,'Raw Data'!$H$5:$H$400,0))),"")</f>
        <v/>
      </c>
    </row>
    <row r="170" spans="1:8" hidden="1">
      <c r="A170" s="18" t="str">
        <f>IFERROR(INDEX('Raw Data'!$D$5:$D$400,MATCH($B170,'Raw Data'!$H$5:$H$400,0)),"")</f>
        <v/>
      </c>
      <c r="B170" s="2"/>
      <c r="C170" s="2" t="str">
        <f>IFERROR(TRIM(INDEX('Raw Data'!$J$5:$J$400,MATCH($B170,'Raw Data'!$H$5:$H$400,0))),"")</f>
        <v/>
      </c>
      <c r="D170" s="15" t="str">
        <f>IFERROR(INDEX('Store List'!$B$4:$B$300,MATCH($C170,'Store List'!$A$4:$A$300,0)),"")</f>
        <v/>
      </c>
      <c r="E170" s="2"/>
      <c r="F170" s="2"/>
      <c r="G170" s="4" t="str">
        <f>IF($E170="","",IFERROR(IF(OR(NOT(ISNUMBER($D170)),NOT(ISNUMBER(INDEX(Settings!$E$4:$E$80,MATCH($E170,Settings!$A$4:$A$80,0))))),"No",IF($D170&gt;INDEX(Settings!$E$4:$E$80,MATCH($E170,Settings!$A$4:$A$80,0)),"Yes","No")),""))</f>
        <v/>
      </c>
      <c r="H170" t="str">
        <f>IFERROR(TRIM(INDEX('Raw Data'!$S$5:$S$400,MATCH($B170,'Raw Data'!$H$5:$H$400,0))),"")</f>
        <v/>
      </c>
    </row>
    <row r="171" spans="1:8" hidden="1">
      <c r="A171" s="18" t="str">
        <f>IFERROR(INDEX('Raw Data'!$D$5:$D$400,MATCH($B171,'Raw Data'!$H$5:$H$400,0)),"")</f>
        <v/>
      </c>
      <c r="B171" s="2"/>
      <c r="C171" s="2" t="str">
        <f>IFERROR(TRIM(INDEX('Raw Data'!$J$5:$J$400,MATCH($B171,'Raw Data'!$H$5:$H$400,0))),"")</f>
        <v/>
      </c>
      <c r="D171" s="15" t="str">
        <f>IFERROR(INDEX('Store List'!$B$4:$B$300,MATCH($C171,'Store List'!$A$4:$A$300,0)),"")</f>
        <v/>
      </c>
      <c r="E171" s="2"/>
      <c r="F171" s="2"/>
      <c r="G171" s="4" t="str">
        <f>IF($E171="","",IFERROR(IF(OR(NOT(ISNUMBER($D171)),NOT(ISNUMBER(INDEX(Settings!$E$4:$E$80,MATCH($E171,Settings!$A$4:$A$80,0))))),"No",IF($D171&gt;INDEX(Settings!$E$4:$E$80,MATCH($E171,Settings!$A$4:$A$80,0)),"Yes","No")),""))</f>
        <v/>
      </c>
      <c r="H171" t="str">
        <f>IFERROR(TRIM(INDEX('Raw Data'!$S$5:$S$400,MATCH($B171,'Raw Data'!$H$5:$H$400,0))),"")</f>
        <v/>
      </c>
    </row>
    <row r="172" spans="1:8" hidden="1">
      <c r="A172" s="18" t="str">
        <f>IFERROR(INDEX('Raw Data'!$D$5:$D$400,MATCH($B172,'Raw Data'!$H$5:$H$400,0)),"")</f>
        <v/>
      </c>
      <c r="B172" s="2"/>
      <c r="C172" s="2" t="str">
        <f>IFERROR(TRIM(INDEX('Raw Data'!$J$5:$J$400,MATCH($B172,'Raw Data'!$H$5:$H$400,0))),"")</f>
        <v/>
      </c>
      <c r="D172" s="15" t="str">
        <f>IFERROR(INDEX('Store List'!$B$4:$B$300,MATCH($C172,'Store List'!$A$4:$A$300,0)),"")</f>
        <v/>
      </c>
      <c r="E172" s="2"/>
      <c r="F172" s="2"/>
      <c r="G172" s="4" t="str">
        <f>IF($E172="","",IFERROR(IF(OR(NOT(ISNUMBER($D172)),NOT(ISNUMBER(INDEX(Settings!$E$4:$E$80,MATCH($E172,Settings!$A$4:$A$80,0))))),"No",IF($D172&gt;INDEX(Settings!$E$4:$E$80,MATCH($E172,Settings!$A$4:$A$80,0)),"Yes","No")),""))</f>
        <v/>
      </c>
      <c r="H172" t="str">
        <f>IFERROR(TRIM(INDEX('Raw Data'!$S$5:$S$400,MATCH($B172,'Raw Data'!$H$5:$H$400,0))),"")</f>
        <v/>
      </c>
    </row>
    <row r="173" spans="1:8" hidden="1">
      <c r="A173" s="18" t="str">
        <f>IFERROR(INDEX('Raw Data'!$D$5:$D$400,MATCH($B173,'Raw Data'!$H$5:$H$400,0)),"")</f>
        <v/>
      </c>
      <c r="B173" s="2"/>
      <c r="C173" s="2" t="str">
        <f>IFERROR(TRIM(INDEX('Raw Data'!$J$5:$J$400,MATCH($B173,'Raw Data'!$H$5:$H$400,0))),"")</f>
        <v/>
      </c>
      <c r="D173" s="15" t="str">
        <f>IFERROR(INDEX('Store List'!$B$4:$B$300,MATCH($C173,'Store List'!$A$4:$A$300,0)),"")</f>
        <v/>
      </c>
      <c r="E173" s="2"/>
      <c r="F173" s="2"/>
      <c r="G173" s="4" t="str">
        <f>IF($E173="","",IFERROR(IF(OR(NOT(ISNUMBER($D173)),NOT(ISNUMBER(INDEX(Settings!$E$4:$E$80,MATCH($E173,Settings!$A$4:$A$80,0))))),"No",IF($D173&gt;INDEX(Settings!$E$4:$E$80,MATCH($E173,Settings!$A$4:$A$80,0)),"Yes","No")),""))</f>
        <v/>
      </c>
      <c r="H173" t="str">
        <f>IFERROR(TRIM(INDEX('Raw Data'!$S$5:$S$400,MATCH($B173,'Raw Data'!$H$5:$H$400,0))),"")</f>
        <v/>
      </c>
    </row>
    <row r="174" spans="1:8" hidden="1">
      <c r="A174" s="18" t="str">
        <f>IFERROR(INDEX('Raw Data'!$D$5:$D$400,MATCH($B174,'Raw Data'!$H$5:$H$400,0)),"")</f>
        <v/>
      </c>
      <c r="B174" s="2"/>
      <c r="C174" s="2" t="str">
        <f>IFERROR(TRIM(INDEX('Raw Data'!$J$5:$J$400,MATCH($B174,'Raw Data'!$H$5:$H$400,0))),"")</f>
        <v/>
      </c>
      <c r="D174" s="15" t="str">
        <f>IFERROR(INDEX('Store List'!$B$4:$B$300,MATCH($C174,'Store List'!$A$4:$A$300,0)),"")</f>
        <v/>
      </c>
      <c r="E174" s="2"/>
      <c r="F174" s="2"/>
      <c r="G174" s="4" t="str">
        <f>IF($E174="","",IFERROR(IF(OR(NOT(ISNUMBER($D174)),NOT(ISNUMBER(INDEX(Settings!$E$4:$E$80,MATCH($E174,Settings!$A$4:$A$80,0))))),"No",IF($D174&gt;INDEX(Settings!$E$4:$E$80,MATCH($E174,Settings!$A$4:$A$80,0)),"Yes","No")),""))</f>
        <v/>
      </c>
      <c r="H174" t="str">
        <f>IFERROR(TRIM(INDEX('Raw Data'!$S$5:$S$400,MATCH($B174,'Raw Data'!$H$5:$H$400,0))),"")</f>
        <v/>
      </c>
    </row>
    <row r="175" spans="1:8" hidden="1">
      <c r="A175" s="18" t="str">
        <f>IFERROR(INDEX('Raw Data'!$D$5:$D$400,MATCH($B175,'Raw Data'!$H$5:$H$400,0)),"")</f>
        <v/>
      </c>
      <c r="B175" s="2"/>
      <c r="C175" s="2" t="str">
        <f>IFERROR(TRIM(INDEX('Raw Data'!$J$5:$J$400,MATCH($B175,'Raw Data'!$H$5:$H$400,0))),"")</f>
        <v/>
      </c>
      <c r="D175" s="15" t="str">
        <f>IFERROR(INDEX('Store List'!$B$4:$B$300,MATCH($C175,'Store List'!$A$4:$A$300,0)),"")</f>
        <v/>
      </c>
      <c r="E175" s="2"/>
      <c r="F175" s="2"/>
      <c r="G175" s="4" t="str">
        <f>IF($E175="","",IFERROR(IF(OR(NOT(ISNUMBER($D175)),NOT(ISNUMBER(INDEX(Settings!$E$4:$E$80,MATCH($E175,Settings!$A$4:$A$80,0))))),"No",IF($D175&gt;INDEX(Settings!$E$4:$E$80,MATCH($E175,Settings!$A$4:$A$80,0)),"Yes","No")),""))</f>
        <v/>
      </c>
      <c r="H175" t="str">
        <f>IFERROR(TRIM(INDEX('Raw Data'!$S$5:$S$400,MATCH($B175,'Raw Data'!$H$5:$H$400,0))),"")</f>
        <v/>
      </c>
    </row>
    <row r="176" spans="1:8" hidden="1">
      <c r="A176" s="18" t="str">
        <f>IFERROR(INDEX('Raw Data'!$D$5:$D$400,MATCH($B176,'Raw Data'!$H$5:$H$400,0)),"")</f>
        <v/>
      </c>
      <c r="B176" s="2"/>
      <c r="C176" s="2" t="str">
        <f>IFERROR(TRIM(INDEX('Raw Data'!$J$5:$J$400,MATCH($B176,'Raw Data'!$H$5:$H$400,0))),"")</f>
        <v/>
      </c>
      <c r="D176" s="15" t="str">
        <f>IFERROR(INDEX('Store List'!$B$4:$B$300,MATCH($C176,'Store List'!$A$4:$A$300,0)),"")</f>
        <v/>
      </c>
      <c r="E176" s="2"/>
      <c r="F176" s="2"/>
      <c r="G176" s="4" t="str">
        <f>IF($E176="","",IFERROR(IF(OR(NOT(ISNUMBER($D176)),NOT(ISNUMBER(INDEX(Settings!$E$4:$E$80,MATCH($E176,Settings!$A$4:$A$80,0))))),"No",IF($D176&gt;INDEX(Settings!$E$4:$E$80,MATCH($E176,Settings!$A$4:$A$80,0)),"Yes","No")),""))</f>
        <v/>
      </c>
      <c r="H176" t="str">
        <f>IFERROR(TRIM(INDEX('Raw Data'!$S$5:$S$400,MATCH($B176,'Raw Data'!$H$5:$H$400,0))),"")</f>
        <v/>
      </c>
    </row>
    <row r="177" spans="1:8" hidden="1">
      <c r="A177" s="18" t="str">
        <f>IFERROR(INDEX('Raw Data'!$D$5:$D$400,MATCH($B177,'Raw Data'!$H$5:$H$400,0)),"")</f>
        <v/>
      </c>
      <c r="B177" s="2"/>
      <c r="C177" s="2" t="str">
        <f>IFERROR(TRIM(INDEX('Raw Data'!$J$5:$J$400,MATCH($B177,'Raw Data'!$H$5:$H$400,0))),"")</f>
        <v/>
      </c>
      <c r="D177" s="15" t="str">
        <f>IFERROR(INDEX('Store List'!$B$4:$B$300,MATCH($C177,'Store List'!$A$4:$A$300,0)),"")</f>
        <v/>
      </c>
      <c r="E177" s="2"/>
      <c r="F177" s="2"/>
      <c r="G177" s="4" t="str">
        <f>IF($E177="","",IFERROR(IF(OR(NOT(ISNUMBER($D177)),NOT(ISNUMBER(INDEX(Settings!$E$4:$E$80,MATCH($E177,Settings!$A$4:$A$80,0))))),"No",IF($D177&gt;INDEX(Settings!$E$4:$E$80,MATCH($E177,Settings!$A$4:$A$80,0)),"Yes","No")),""))</f>
        <v/>
      </c>
      <c r="H177" t="str">
        <f>IFERROR(TRIM(INDEX('Raw Data'!$S$5:$S$400,MATCH($B177,'Raw Data'!$H$5:$H$400,0))),"")</f>
        <v/>
      </c>
    </row>
    <row r="178" spans="1:8" hidden="1">
      <c r="A178" s="18" t="str">
        <f>IFERROR(INDEX('Raw Data'!$D$5:$D$400,MATCH($B178,'Raw Data'!$H$5:$H$400,0)),"")</f>
        <v/>
      </c>
      <c r="B178" s="2"/>
      <c r="C178" s="2" t="str">
        <f>IFERROR(TRIM(INDEX('Raw Data'!$J$5:$J$400,MATCH($B178,'Raw Data'!$H$5:$H$400,0))),"")</f>
        <v/>
      </c>
      <c r="D178" s="15" t="str">
        <f>IFERROR(INDEX('Store List'!$B$4:$B$300,MATCH($C178,'Store List'!$A$4:$A$300,0)),"")</f>
        <v/>
      </c>
      <c r="E178" s="2"/>
      <c r="F178" s="2"/>
      <c r="G178" s="4" t="str">
        <f>IF($E178="","",IFERROR(IF(OR(NOT(ISNUMBER($D178)),NOT(ISNUMBER(INDEX(Settings!$E$4:$E$80,MATCH($E178,Settings!$A$4:$A$80,0))))),"No",IF($D178&gt;INDEX(Settings!$E$4:$E$80,MATCH($E178,Settings!$A$4:$A$80,0)),"Yes","No")),""))</f>
        <v/>
      </c>
      <c r="H178" t="str">
        <f>IFERROR(TRIM(INDEX('Raw Data'!$S$5:$S$400,MATCH($B178,'Raw Data'!$H$5:$H$400,0))),"")</f>
        <v/>
      </c>
    </row>
    <row r="179" spans="1:8" hidden="1">
      <c r="A179" s="18" t="str">
        <f>IFERROR(INDEX('Raw Data'!$D$5:$D$400,MATCH($B179,'Raw Data'!$H$5:$H$400,0)),"")</f>
        <v/>
      </c>
      <c r="B179" s="2"/>
      <c r="C179" s="2" t="str">
        <f>IFERROR(TRIM(INDEX('Raw Data'!$J$5:$J$400,MATCH($B179,'Raw Data'!$H$5:$H$400,0))),"")</f>
        <v/>
      </c>
      <c r="D179" s="15" t="str">
        <f>IFERROR(INDEX('Store List'!$B$4:$B$300,MATCH($C179,'Store List'!$A$4:$A$300,0)),"")</f>
        <v/>
      </c>
      <c r="E179" s="2"/>
      <c r="F179" s="2"/>
      <c r="G179" s="4" t="str">
        <f>IF($E179="","",IFERROR(IF(OR(NOT(ISNUMBER($D179)),NOT(ISNUMBER(INDEX(Settings!$E$4:$E$80,MATCH($E179,Settings!$A$4:$A$80,0))))),"No",IF($D179&gt;INDEX(Settings!$E$4:$E$80,MATCH($E179,Settings!$A$4:$A$80,0)),"Yes","No")),""))</f>
        <v/>
      </c>
      <c r="H179" t="str">
        <f>IFERROR(TRIM(INDEX('Raw Data'!$S$5:$S$400,MATCH($B179,'Raw Data'!$H$5:$H$400,0))),"")</f>
        <v/>
      </c>
    </row>
    <row r="180" spans="1:8" hidden="1">
      <c r="A180" s="18" t="str">
        <f>IFERROR(INDEX('Raw Data'!$D$5:$D$400,MATCH($B180,'Raw Data'!$H$5:$H$400,0)),"")</f>
        <v/>
      </c>
      <c r="B180" s="2"/>
      <c r="C180" s="2" t="str">
        <f>IFERROR(TRIM(INDEX('Raw Data'!$J$5:$J$400,MATCH($B180,'Raw Data'!$H$5:$H$400,0))),"")</f>
        <v/>
      </c>
      <c r="D180" s="15" t="str">
        <f>IFERROR(INDEX('Store List'!$B$4:$B$300,MATCH($C180,'Store List'!$A$4:$A$300,0)),"")</f>
        <v/>
      </c>
      <c r="E180" s="2"/>
      <c r="F180" s="2"/>
      <c r="G180" s="4" t="str">
        <f>IF($E180="","",IFERROR(IF(OR(NOT(ISNUMBER($D180)),NOT(ISNUMBER(INDEX(Settings!$E$4:$E$80,MATCH($E180,Settings!$A$4:$A$80,0))))),"No",IF($D180&gt;INDEX(Settings!$E$4:$E$80,MATCH($E180,Settings!$A$4:$A$80,0)),"Yes","No")),""))</f>
        <v/>
      </c>
      <c r="H180" t="str">
        <f>IFERROR(TRIM(INDEX('Raw Data'!$S$5:$S$400,MATCH($B180,'Raw Data'!$H$5:$H$400,0))),"")</f>
        <v/>
      </c>
    </row>
    <row r="181" spans="1:8" hidden="1">
      <c r="A181" s="18" t="str">
        <f>IFERROR(INDEX('Raw Data'!$D$5:$D$400,MATCH($B181,'Raw Data'!$H$5:$H$400,0)),"")</f>
        <v/>
      </c>
      <c r="B181" s="2"/>
      <c r="C181" s="2" t="str">
        <f>IFERROR(TRIM(INDEX('Raw Data'!$J$5:$J$400,MATCH($B181,'Raw Data'!$H$5:$H$400,0))),"")</f>
        <v/>
      </c>
      <c r="D181" s="15" t="str">
        <f>IFERROR(INDEX('Store List'!$B$4:$B$300,MATCH($C181,'Store List'!$A$4:$A$300,0)),"")</f>
        <v/>
      </c>
      <c r="E181" s="2"/>
      <c r="F181" s="2"/>
      <c r="G181" s="4" t="str">
        <f>IF($E181="","",IFERROR(IF(OR(NOT(ISNUMBER($D181)),NOT(ISNUMBER(INDEX(Settings!$E$4:$E$80,MATCH($E181,Settings!$A$4:$A$80,0))))),"No",IF($D181&gt;INDEX(Settings!$E$4:$E$80,MATCH($E181,Settings!$A$4:$A$80,0)),"Yes","No")),""))</f>
        <v/>
      </c>
      <c r="H181" t="str">
        <f>IFERROR(TRIM(INDEX('Raw Data'!$S$5:$S$400,MATCH($B181,'Raw Data'!$H$5:$H$400,0))),"")</f>
        <v/>
      </c>
    </row>
    <row r="182" spans="1:8" hidden="1">
      <c r="A182" s="18" t="str">
        <f>IFERROR(INDEX('Raw Data'!$D$5:$D$400,MATCH($B182,'Raw Data'!$H$5:$H$400,0)),"")</f>
        <v/>
      </c>
      <c r="B182" s="2"/>
      <c r="C182" s="2" t="str">
        <f>IFERROR(TRIM(INDEX('Raw Data'!$J$5:$J$400,MATCH($B182,'Raw Data'!$H$5:$H$400,0))),"")</f>
        <v/>
      </c>
      <c r="D182" s="15" t="str">
        <f>IFERROR(INDEX('Store List'!$B$4:$B$300,MATCH($C182,'Store List'!$A$4:$A$300,0)),"")</f>
        <v/>
      </c>
      <c r="E182" s="2"/>
      <c r="F182" s="2"/>
      <c r="G182" s="4" t="str">
        <f>IF($E182="","",IFERROR(IF(OR(NOT(ISNUMBER($D182)),NOT(ISNUMBER(INDEX(Settings!$E$4:$E$80,MATCH($E182,Settings!$A$4:$A$80,0))))),"No",IF($D182&gt;INDEX(Settings!$E$4:$E$80,MATCH($E182,Settings!$A$4:$A$80,0)),"Yes","No")),""))</f>
        <v/>
      </c>
      <c r="H182" t="str">
        <f>IFERROR(TRIM(INDEX('Raw Data'!$S$5:$S$400,MATCH($B182,'Raw Data'!$H$5:$H$400,0))),"")</f>
        <v/>
      </c>
    </row>
    <row r="183" spans="1:8" hidden="1">
      <c r="A183" s="18" t="str">
        <f>IFERROR(INDEX('Raw Data'!$D$5:$D$400,MATCH($B183,'Raw Data'!$H$5:$H$400,0)),"")</f>
        <v/>
      </c>
      <c r="B183" s="2"/>
      <c r="C183" s="2" t="str">
        <f>IFERROR(TRIM(INDEX('Raw Data'!$J$5:$J$400,MATCH($B183,'Raw Data'!$H$5:$H$400,0))),"")</f>
        <v/>
      </c>
      <c r="D183" s="15" t="str">
        <f>IFERROR(INDEX('Store List'!$B$4:$B$300,MATCH($C183,'Store List'!$A$4:$A$300,0)),"")</f>
        <v/>
      </c>
      <c r="E183" s="2"/>
      <c r="F183" s="2"/>
      <c r="G183" s="4" t="str">
        <f>IF($E183="","",IFERROR(IF(OR(NOT(ISNUMBER($D183)),NOT(ISNUMBER(INDEX(Settings!$E$4:$E$80,MATCH($E183,Settings!$A$4:$A$80,0))))),"No",IF($D183&gt;INDEX(Settings!$E$4:$E$80,MATCH($E183,Settings!$A$4:$A$80,0)),"Yes","No")),""))</f>
        <v/>
      </c>
      <c r="H183" t="str">
        <f>IFERROR(TRIM(INDEX('Raw Data'!$S$5:$S$400,MATCH($B183,'Raw Data'!$H$5:$H$400,0))),"")</f>
        <v/>
      </c>
    </row>
    <row r="184" spans="1:8" hidden="1">
      <c r="A184" s="18" t="str">
        <f>IFERROR(INDEX('Raw Data'!$D$5:$D$400,MATCH($B184,'Raw Data'!$H$5:$H$400,0)),"")</f>
        <v/>
      </c>
      <c r="B184" s="2"/>
      <c r="C184" s="2" t="str">
        <f>IFERROR(TRIM(INDEX('Raw Data'!$J$5:$J$400,MATCH($B184,'Raw Data'!$H$5:$H$400,0))),"")</f>
        <v/>
      </c>
      <c r="D184" s="15" t="str">
        <f>IFERROR(INDEX('Store List'!$B$4:$B$300,MATCH($C184,'Store List'!$A$4:$A$300,0)),"")</f>
        <v/>
      </c>
      <c r="E184" s="2"/>
      <c r="F184" s="2"/>
      <c r="G184" s="4" t="str">
        <f>IF($E184="","",IFERROR(IF(OR(NOT(ISNUMBER($D184)),NOT(ISNUMBER(INDEX(Settings!$E$4:$E$80,MATCH($E184,Settings!$A$4:$A$80,0))))),"No",IF($D184&gt;INDEX(Settings!$E$4:$E$80,MATCH($E184,Settings!$A$4:$A$80,0)),"Yes","No")),""))</f>
        <v/>
      </c>
      <c r="H184" t="str">
        <f>IFERROR(TRIM(INDEX('Raw Data'!$S$5:$S$400,MATCH($B184,'Raw Data'!$H$5:$H$400,0))),"")</f>
        <v/>
      </c>
    </row>
    <row r="185" spans="1:8" hidden="1">
      <c r="A185" s="18" t="str">
        <f>IFERROR(INDEX('Raw Data'!$D$5:$D$400,MATCH($B185,'Raw Data'!$H$5:$H$400,0)),"")</f>
        <v/>
      </c>
      <c r="B185" s="2"/>
      <c r="C185" s="2" t="str">
        <f>IFERROR(TRIM(INDEX('Raw Data'!$J$5:$J$400,MATCH($B185,'Raw Data'!$H$5:$H$400,0))),"")</f>
        <v/>
      </c>
      <c r="D185" s="15" t="str">
        <f>IFERROR(INDEX('Store List'!$B$4:$B$300,MATCH($C185,'Store List'!$A$4:$A$300,0)),"")</f>
        <v/>
      </c>
      <c r="E185" s="2"/>
      <c r="F185" s="2"/>
      <c r="G185" s="4" t="str">
        <f>IF($E185="","",IFERROR(IF(OR(NOT(ISNUMBER($D185)),NOT(ISNUMBER(INDEX(Settings!$E$4:$E$80,MATCH($E185,Settings!$A$4:$A$80,0))))),"No",IF($D185&gt;INDEX(Settings!$E$4:$E$80,MATCH($E185,Settings!$A$4:$A$80,0)),"Yes","No")),""))</f>
        <v/>
      </c>
      <c r="H185" t="str">
        <f>IFERROR(TRIM(INDEX('Raw Data'!$S$5:$S$400,MATCH($B185,'Raw Data'!$H$5:$H$400,0))),"")</f>
        <v/>
      </c>
    </row>
    <row r="186" spans="1:8" hidden="1">
      <c r="A186" s="18" t="str">
        <f>IFERROR(INDEX('Raw Data'!$D$5:$D$400,MATCH($B186,'Raw Data'!$H$5:$H$400,0)),"")</f>
        <v/>
      </c>
      <c r="B186" s="2"/>
      <c r="C186" s="2" t="str">
        <f>IFERROR(TRIM(INDEX('Raw Data'!$J$5:$J$400,MATCH($B186,'Raw Data'!$H$5:$H$400,0))),"")</f>
        <v/>
      </c>
      <c r="D186" s="15" t="str">
        <f>IFERROR(INDEX('Store List'!$B$4:$B$300,MATCH($C186,'Store List'!$A$4:$A$300,0)),"")</f>
        <v/>
      </c>
      <c r="E186" s="2"/>
      <c r="F186" s="2"/>
      <c r="G186" s="4" t="str">
        <f>IF($E186="","",IFERROR(IF(OR(NOT(ISNUMBER($D186)),NOT(ISNUMBER(INDEX(Settings!$E$4:$E$80,MATCH($E186,Settings!$A$4:$A$80,0))))),"No",IF($D186&gt;INDEX(Settings!$E$4:$E$80,MATCH($E186,Settings!$A$4:$A$80,0)),"Yes","No")),""))</f>
        <v/>
      </c>
      <c r="H186" t="str">
        <f>IFERROR(TRIM(INDEX('Raw Data'!$S$5:$S$400,MATCH($B186,'Raw Data'!$H$5:$H$400,0))),"")</f>
        <v/>
      </c>
    </row>
    <row r="187" spans="1:8" hidden="1">
      <c r="A187" s="18" t="str">
        <f>IFERROR(INDEX('Raw Data'!$D$5:$D$400,MATCH($B187,'Raw Data'!$H$5:$H$400,0)),"")</f>
        <v/>
      </c>
      <c r="B187" s="2"/>
      <c r="C187" s="2" t="str">
        <f>IFERROR(TRIM(INDEX('Raw Data'!$J$5:$J$400,MATCH($B187,'Raw Data'!$H$5:$H$400,0))),"")</f>
        <v/>
      </c>
      <c r="D187" s="15" t="str">
        <f>IFERROR(INDEX('Store List'!$B$4:$B$300,MATCH($C187,'Store List'!$A$4:$A$300,0)),"")</f>
        <v/>
      </c>
      <c r="E187" s="2"/>
      <c r="F187" s="2"/>
      <c r="G187" s="4" t="str">
        <f>IF($E187="","",IFERROR(IF(OR(NOT(ISNUMBER($D187)),NOT(ISNUMBER(INDEX(Settings!$E$4:$E$80,MATCH($E187,Settings!$A$4:$A$80,0))))),"No",IF($D187&gt;INDEX(Settings!$E$4:$E$80,MATCH($E187,Settings!$A$4:$A$80,0)),"Yes","No")),""))</f>
        <v/>
      </c>
      <c r="H187" t="str">
        <f>IFERROR(TRIM(INDEX('Raw Data'!$S$5:$S$400,MATCH($B187,'Raw Data'!$H$5:$H$400,0))),"")</f>
        <v/>
      </c>
    </row>
    <row r="188" spans="1:8" hidden="1">
      <c r="A188" s="18" t="str">
        <f>IFERROR(INDEX('Raw Data'!$D$5:$D$400,MATCH($B188,'Raw Data'!$H$5:$H$400,0)),"")</f>
        <v/>
      </c>
      <c r="B188" s="2"/>
      <c r="C188" s="2" t="str">
        <f>IFERROR(TRIM(INDEX('Raw Data'!$J$5:$J$400,MATCH($B188,'Raw Data'!$H$5:$H$400,0))),"")</f>
        <v/>
      </c>
      <c r="D188" s="15" t="str">
        <f>IFERROR(INDEX('Store List'!$B$4:$B$300,MATCH($C188,'Store List'!$A$4:$A$300,0)),"")</f>
        <v/>
      </c>
      <c r="E188" s="2"/>
      <c r="F188" s="2"/>
      <c r="G188" s="4" t="str">
        <f>IF($E188="","",IFERROR(IF(OR(NOT(ISNUMBER($D188)),NOT(ISNUMBER(INDEX(Settings!$E$4:$E$80,MATCH($E188,Settings!$A$4:$A$80,0))))),"No",IF($D188&gt;INDEX(Settings!$E$4:$E$80,MATCH($E188,Settings!$A$4:$A$80,0)),"Yes","No")),""))</f>
        <v/>
      </c>
      <c r="H188" t="str">
        <f>IFERROR(TRIM(INDEX('Raw Data'!$S$5:$S$400,MATCH($B188,'Raw Data'!$H$5:$H$400,0))),"")</f>
        <v/>
      </c>
    </row>
    <row r="189" spans="1:8" hidden="1">
      <c r="A189" s="18" t="str">
        <f>IFERROR(INDEX('Raw Data'!$D$5:$D$400,MATCH($B189,'Raw Data'!$H$5:$H$400,0)),"")</f>
        <v/>
      </c>
      <c r="B189" s="2"/>
      <c r="C189" s="2" t="str">
        <f>IFERROR(TRIM(INDEX('Raw Data'!$J$5:$J$400,MATCH($B189,'Raw Data'!$H$5:$H$400,0))),"")</f>
        <v/>
      </c>
      <c r="D189" s="15" t="str">
        <f>IFERROR(INDEX('Store List'!$B$4:$B$300,MATCH($C189,'Store List'!$A$4:$A$300,0)),"")</f>
        <v/>
      </c>
      <c r="E189" s="2"/>
      <c r="F189" s="2"/>
      <c r="G189" s="4" t="str">
        <f>IF($E189="","",IFERROR(IF(OR(NOT(ISNUMBER($D189)),NOT(ISNUMBER(INDEX(Settings!$E$4:$E$80,MATCH($E189,Settings!$A$4:$A$80,0))))),"No",IF($D189&gt;INDEX(Settings!$E$4:$E$80,MATCH($E189,Settings!$A$4:$A$80,0)),"Yes","No")),""))</f>
        <v/>
      </c>
      <c r="H189" t="str">
        <f>IFERROR(TRIM(INDEX('Raw Data'!$S$5:$S$400,MATCH($B189,'Raw Data'!$H$5:$H$400,0))),"")</f>
        <v/>
      </c>
    </row>
    <row r="190" spans="1:8" hidden="1">
      <c r="A190" s="18" t="str">
        <f>IFERROR(INDEX('Raw Data'!$D$5:$D$400,MATCH($B190,'Raw Data'!$H$5:$H$400,0)),"")</f>
        <v/>
      </c>
      <c r="B190" s="2"/>
      <c r="C190" s="2" t="str">
        <f>IFERROR(TRIM(INDEX('Raw Data'!$J$5:$J$400,MATCH($B190,'Raw Data'!$H$5:$H$400,0))),"")</f>
        <v/>
      </c>
      <c r="D190" s="15" t="str">
        <f>IFERROR(INDEX('Store List'!$B$4:$B$300,MATCH($C190,'Store List'!$A$4:$A$300,0)),"")</f>
        <v/>
      </c>
      <c r="E190" s="2"/>
      <c r="F190" s="2"/>
      <c r="G190" s="4" t="str">
        <f>IF($E190="","",IFERROR(IF(OR(NOT(ISNUMBER($D190)),NOT(ISNUMBER(INDEX(Settings!$E$4:$E$80,MATCH($E190,Settings!$A$4:$A$80,0))))),"No",IF($D190&gt;INDEX(Settings!$E$4:$E$80,MATCH($E190,Settings!$A$4:$A$80,0)),"Yes","No")),""))</f>
        <v/>
      </c>
      <c r="H190" t="str">
        <f>IFERROR(TRIM(INDEX('Raw Data'!$S$5:$S$400,MATCH($B190,'Raw Data'!$H$5:$H$400,0))),"")</f>
        <v/>
      </c>
    </row>
    <row r="191" spans="1:8" hidden="1">
      <c r="A191" s="18" t="str">
        <f>IFERROR(INDEX('Raw Data'!$D$5:$D$400,MATCH($B191,'Raw Data'!$H$5:$H$400,0)),"")</f>
        <v/>
      </c>
      <c r="B191" s="2"/>
      <c r="C191" s="2" t="str">
        <f>IFERROR(TRIM(INDEX('Raw Data'!$J$5:$J$400,MATCH($B191,'Raw Data'!$H$5:$H$400,0))),"")</f>
        <v/>
      </c>
      <c r="D191" s="15" t="str">
        <f>IFERROR(INDEX('Store List'!$B$4:$B$300,MATCH($C191,'Store List'!$A$4:$A$300,0)),"")</f>
        <v/>
      </c>
      <c r="E191" s="2"/>
      <c r="F191" s="2"/>
      <c r="G191" s="4" t="str">
        <f>IF($E191="","",IFERROR(IF(OR(NOT(ISNUMBER($D191)),NOT(ISNUMBER(INDEX(Settings!$E$4:$E$80,MATCH($E191,Settings!$A$4:$A$80,0))))),"No",IF($D191&gt;INDEX(Settings!$E$4:$E$80,MATCH($E191,Settings!$A$4:$A$80,0)),"Yes","No")),""))</f>
        <v/>
      </c>
      <c r="H191" t="str">
        <f>IFERROR(TRIM(INDEX('Raw Data'!$S$5:$S$400,MATCH($B191,'Raw Data'!$H$5:$H$400,0))),"")</f>
        <v/>
      </c>
    </row>
    <row r="192" spans="1:8" hidden="1">
      <c r="A192" s="18" t="str">
        <f>IFERROR(INDEX('Raw Data'!$D$5:$D$400,MATCH($B192,'Raw Data'!$H$5:$H$400,0)),"")</f>
        <v/>
      </c>
      <c r="B192" s="2"/>
      <c r="C192" s="2" t="str">
        <f>IFERROR(TRIM(INDEX('Raw Data'!$J$5:$J$400,MATCH($B192,'Raw Data'!$H$5:$H$400,0))),"")</f>
        <v/>
      </c>
      <c r="D192" s="15" t="str">
        <f>IFERROR(INDEX('Store List'!$B$4:$B$300,MATCH($C192,'Store List'!$A$4:$A$300,0)),"")</f>
        <v/>
      </c>
      <c r="E192" s="2"/>
      <c r="F192" s="2"/>
      <c r="G192" s="4" t="str">
        <f>IF($E192="","",IFERROR(IF(OR(NOT(ISNUMBER($D192)),NOT(ISNUMBER(INDEX(Settings!$E$4:$E$80,MATCH($E192,Settings!$A$4:$A$80,0))))),"No",IF($D192&gt;INDEX(Settings!$E$4:$E$80,MATCH($E192,Settings!$A$4:$A$80,0)),"Yes","No")),""))</f>
        <v/>
      </c>
      <c r="H192" t="str">
        <f>IFERROR(TRIM(INDEX('Raw Data'!$S$5:$S$400,MATCH($B192,'Raw Data'!$H$5:$H$400,0))),"")</f>
        <v/>
      </c>
    </row>
    <row r="193" spans="1:8" hidden="1">
      <c r="A193" s="18" t="str">
        <f>IFERROR(INDEX('Raw Data'!$D$5:$D$400,MATCH($B193,'Raw Data'!$H$5:$H$400,0)),"")</f>
        <v/>
      </c>
      <c r="B193" s="2"/>
      <c r="C193" s="2" t="str">
        <f>IFERROR(TRIM(INDEX('Raw Data'!$J$5:$J$400,MATCH($B193,'Raw Data'!$H$5:$H$400,0))),"")</f>
        <v/>
      </c>
      <c r="D193" s="15" t="str">
        <f>IFERROR(INDEX('Store List'!$B$4:$B$300,MATCH($C193,'Store List'!$A$4:$A$300,0)),"")</f>
        <v/>
      </c>
      <c r="E193" s="2"/>
      <c r="F193" s="2"/>
      <c r="G193" s="4" t="str">
        <f>IF($E193="","",IFERROR(IF(OR(NOT(ISNUMBER($D193)),NOT(ISNUMBER(INDEX(Settings!$E$4:$E$80,MATCH($E193,Settings!$A$4:$A$80,0))))),"No",IF($D193&gt;INDEX(Settings!$E$4:$E$80,MATCH($E193,Settings!$A$4:$A$80,0)),"Yes","No")),""))</f>
        <v/>
      </c>
      <c r="H193" t="str">
        <f>IFERROR(TRIM(INDEX('Raw Data'!$S$5:$S$400,MATCH($B193,'Raw Data'!$H$5:$H$400,0))),"")</f>
        <v/>
      </c>
    </row>
    <row r="194" spans="1:8" hidden="1">
      <c r="A194" s="18" t="str">
        <f>IFERROR(INDEX('Raw Data'!$D$5:$D$400,MATCH($B194,'Raw Data'!$H$5:$H$400,0)),"")</f>
        <v/>
      </c>
      <c r="B194" s="2"/>
      <c r="C194" s="2" t="str">
        <f>IFERROR(TRIM(INDEX('Raw Data'!$J$5:$J$400,MATCH($B194,'Raw Data'!$H$5:$H$400,0))),"")</f>
        <v/>
      </c>
      <c r="D194" s="15" t="str">
        <f>IFERROR(INDEX('Store List'!$B$4:$B$300,MATCH($C194,'Store List'!$A$4:$A$300,0)),"")</f>
        <v/>
      </c>
      <c r="E194" s="2"/>
      <c r="F194" s="2"/>
      <c r="G194" s="4" t="str">
        <f>IF($E194="","",IFERROR(IF(OR(NOT(ISNUMBER($D194)),NOT(ISNUMBER(INDEX(Settings!$E$4:$E$80,MATCH($E194,Settings!$A$4:$A$80,0))))),"No",IF($D194&gt;INDEX(Settings!$E$4:$E$80,MATCH($E194,Settings!$A$4:$A$80,0)),"Yes","No")),""))</f>
        <v/>
      </c>
      <c r="H194" t="str">
        <f>IFERROR(TRIM(INDEX('Raw Data'!$S$5:$S$400,MATCH($B194,'Raw Data'!$H$5:$H$400,0))),"")</f>
        <v/>
      </c>
    </row>
    <row r="195" spans="1:8" hidden="1">
      <c r="A195" s="18" t="str">
        <f>IFERROR(INDEX('Raw Data'!$D$5:$D$400,MATCH($B195,'Raw Data'!$H$5:$H$400,0)),"")</f>
        <v/>
      </c>
      <c r="B195" s="2"/>
      <c r="C195" s="2" t="str">
        <f>IFERROR(TRIM(INDEX('Raw Data'!$J$5:$J$400,MATCH($B195,'Raw Data'!$H$5:$H$400,0))),"")</f>
        <v/>
      </c>
      <c r="D195" s="15" t="str">
        <f>IFERROR(INDEX('Store List'!$B$4:$B$300,MATCH($C195,'Store List'!$A$4:$A$300,0)),"")</f>
        <v/>
      </c>
      <c r="E195" s="2"/>
      <c r="F195" s="2"/>
      <c r="G195" s="4" t="str">
        <f>IF($E195="","",IFERROR(IF(OR(NOT(ISNUMBER($D195)),NOT(ISNUMBER(INDEX(Settings!$E$4:$E$80,MATCH($E195,Settings!$A$4:$A$80,0))))),"No",IF($D195&gt;INDEX(Settings!$E$4:$E$80,MATCH($E195,Settings!$A$4:$A$80,0)),"Yes","No")),""))</f>
        <v/>
      </c>
      <c r="H195" t="str">
        <f>IFERROR(TRIM(INDEX('Raw Data'!$S$5:$S$400,MATCH($B195,'Raw Data'!$H$5:$H$400,0))),"")</f>
        <v/>
      </c>
    </row>
    <row r="196" spans="1:8" hidden="1">
      <c r="A196" s="18" t="str">
        <f>IFERROR(INDEX('Raw Data'!$D$5:$D$400,MATCH($B196,'Raw Data'!$H$5:$H$400,0)),"")</f>
        <v/>
      </c>
      <c r="B196" s="2"/>
      <c r="C196" s="2" t="str">
        <f>IFERROR(TRIM(INDEX('Raw Data'!$J$5:$J$400,MATCH($B196,'Raw Data'!$H$5:$H$400,0))),"")</f>
        <v/>
      </c>
      <c r="D196" s="15" t="str">
        <f>IFERROR(INDEX('Store List'!$B$4:$B$300,MATCH($C196,'Store List'!$A$4:$A$300,0)),"")</f>
        <v/>
      </c>
      <c r="E196" s="2"/>
      <c r="F196" s="2"/>
      <c r="G196" s="4" t="str">
        <f>IF($E196="","",IFERROR(IF(OR(NOT(ISNUMBER($D196)),NOT(ISNUMBER(INDEX(Settings!$E$4:$E$80,MATCH($E196,Settings!$A$4:$A$80,0))))),"No",IF($D196&gt;INDEX(Settings!$E$4:$E$80,MATCH($E196,Settings!$A$4:$A$80,0)),"Yes","No")),""))</f>
        <v/>
      </c>
      <c r="H196" t="str">
        <f>IFERROR(TRIM(INDEX('Raw Data'!$S$5:$S$400,MATCH($B196,'Raw Data'!$H$5:$H$400,0))),"")</f>
        <v/>
      </c>
    </row>
    <row r="197" spans="1:8" hidden="1">
      <c r="A197" s="18" t="str">
        <f>IFERROR(INDEX('Raw Data'!$D$5:$D$400,MATCH($B197,'Raw Data'!$H$5:$H$400,0)),"")</f>
        <v/>
      </c>
      <c r="B197" s="2"/>
      <c r="C197" s="2" t="str">
        <f>IFERROR(TRIM(INDEX('Raw Data'!$J$5:$J$400,MATCH($B197,'Raw Data'!$H$5:$H$400,0))),"")</f>
        <v/>
      </c>
      <c r="D197" s="15" t="str">
        <f>IFERROR(INDEX('Store List'!$B$4:$B$300,MATCH($C197,'Store List'!$A$4:$A$300,0)),"")</f>
        <v/>
      </c>
      <c r="E197" s="2"/>
      <c r="F197" s="2"/>
      <c r="G197" s="4" t="str">
        <f>IF($E197="","",IFERROR(IF(OR(NOT(ISNUMBER($D197)),NOT(ISNUMBER(INDEX(Settings!$E$4:$E$80,MATCH($E197,Settings!$A$4:$A$80,0))))),"No",IF($D197&gt;INDEX(Settings!$E$4:$E$80,MATCH($E197,Settings!$A$4:$A$80,0)),"Yes","No")),""))</f>
        <v/>
      </c>
      <c r="H197" t="str">
        <f>IFERROR(TRIM(INDEX('Raw Data'!$S$5:$S$400,MATCH($B197,'Raw Data'!$H$5:$H$400,0))),"")</f>
        <v/>
      </c>
    </row>
    <row r="198" spans="1:8" hidden="1">
      <c r="A198" s="18" t="str">
        <f>IFERROR(INDEX('Raw Data'!$D$5:$D$400,MATCH($B198,'Raw Data'!$H$5:$H$400,0)),"")</f>
        <v/>
      </c>
      <c r="B198" s="2"/>
      <c r="C198" s="2" t="str">
        <f>IFERROR(TRIM(INDEX('Raw Data'!$J$5:$J$400,MATCH($B198,'Raw Data'!$H$5:$H$400,0))),"")</f>
        <v/>
      </c>
      <c r="D198" s="15" t="str">
        <f>IFERROR(INDEX('Store List'!$B$4:$B$300,MATCH($C198,'Store List'!$A$4:$A$300,0)),"")</f>
        <v/>
      </c>
      <c r="E198" s="2"/>
      <c r="F198" s="2"/>
      <c r="G198" s="4" t="str">
        <f>IF($E198="","",IFERROR(IF(OR(NOT(ISNUMBER($D198)),NOT(ISNUMBER(INDEX(Settings!$E$4:$E$80,MATCH($E198,Settings!$A$4:$A$80,0))))),"No",IF($D198&gt;INDEX(Settings!$E$4:$E$80,MATCH($E198,Settings!$A$4:$A$80,0)),"Yes","No")),""))</f>
        <v/>
      </c>
      <c r="H198" t="str">
        <f>IFERROR(TRIM(INDEX('Raw Data'!$S$5:$S$400,MATCH($B198,'Raw Data'!$H$5:$H$400,0))),"")</f>
        <v/>
      </c>
    </row>
    <row r="199" spans="1:8" hidden="1">
      <c r="A199" s="18" t="str">
        <f>IFERROR(INDEX('Raw Data'!$D$5:$D$400,MATCH($B199,'Raw Data'!$H$5:$H$400,0)),"")</f>
        <v/>
      </c>
      <c r="B199" s="2"/>
      <c r="C199" s="2" t="str">
        <f>IFERROR(TRIM(INDEX('Raw Data'!$J$5:$J$400,MATCH($B199,'Raw Data'!$H$5:$H$400,0))),"")</f>
        <v/>
      </c>
      <c r="D199" s="15" t="str">
        <f>IFERROR(INDEX('Store List'!$B$4:$B$300,MATCH($C199,'Store List'!$A$4:$A$300,0)),"")</f>
        <v/>
      </c>
      <c r="E199" s="2"/>
      <c r="F199" s="2"/>
      <c r="G199" s="4" t="str">
        <f>IF($E199="","",IFERROR(IF(OR(NOT(ISNUMBER($D199)),NOT(ISNUMBER(INDEX(Settings!$E$4:$E$80,MATCH($E199,Settings!$A$4:$A$80,0))))),"No",IF($D199&gt;INDEX(Settings!$E$4:$E$80,MATCH($E199,Settings!$A$4:$A$80,0)),"Yes","No")),""))</f>
        <v/>
      </c>
      <c r="H199" t="str">
        <f>IFERROR(TRIM(INDEX('Raw Data'!$S$5:$S$400,MATCH($B199,'Raw Data'!$H$5:$H$400,0))),"")</f>
        <v/>
      </c>
    </row>
    <row r="200" spans="1:8" hidden="1">
      <c r="A200" s="18" t="str">
        <f>IFERROR(INDEX('Raw Data'!$D$5:$D$400,MATCH($B200,'Raw Data'!$H$5:$H$400,0)),"")</f>
        <v/>
      </c>
      <c r="B200" s="2"/>
      <c r="C200" s="2" t="str">
        <f>IFERROR(TRIM(INDEX('Raw Data'!$J$5:$J$400,MATCH($B200,'Raw Data'!$H$5:$H$400,0))),"")</f>
        <v/>
      </c>
      <c r="D200" s="15" t="str">
        <f>IFERROR(INDEX('Store List'!$B$4:$B$300,MATCH($C200,'Store List'!$A$4:$A$300,0)),"")</f>
        <v/>
      </c>
      <c r="E200" s="2"/>
      <c r="F200" s="2"/>
      <c r="G200" s="4" t="str">
        <f>IF($E200="","",IFERROR(IF(OR(NOT(ISNUMBER($D200)),NOT(ISNUMBER(INDEX(Settings!$E$4:$E$80,MATCH($E200,Settings!$A$4:$A$80,0))))),"No",IF($D200&gt;INDEX(Settings!$E$4:$E$80,MATCH($E200,Settings!$A$4:$A$80,0)),"Yes","No")),""))</f>
        <v/>
      </c>
      <c r="H200" t="str">
        <f>IFERROR(TRIM(INDEX('Raw Data'!$S$5:$S$400,MATCH($B200,'Raw Data'!$H$5:$H$400,0))),"")</f>
        <v/>
      </c>
    </row>
    <row r="201" spans="1:8" hidden="1">
      <c r="A201" s="18" t="str">
        <f>IFERROR(INDEX('Raw Data'!$D$5:$D$400,MATCH($B201,'Raw Data'!$H$5:$H$400,0)),"")</f>
        <v/>
      </c>
      <c r="B201" s="2"/>
      <c r="C201" s="2" t="str">
        <f>IFERROR(TRIM(INDEX('Raw Data'!$J$5:$J$400,MATCH($B201,'Raw Data'!$H$5:$H$400,0))),"")</f>
        <v/>
      </c>
      <c r="D201" s="15" t="str">
        <f>IFERROR(INDEX('Store List'!$B$4:$B$300,MATCH($C201,'Store List'!$A$4:$A$300,0)),"")</f>
        <v/>
      </c>
      <c r="E201" s="2"/>
      <c r="F201" s="2"/>
      <c r="G201" s="4" t="str">
        <f>IF($E201="","",IFERROR(IF(OR(NOT(ISNUMBER($D201)),NOT(ISNUMBER(INDEX(Settings!$E$4:$E$80,MATCH($E201,Settings!$A$4:$A$80,0))))),"No",IF($D201&gt;INDEX(Settings!$E$4:$E$80,MATCH($E201,Settings!$A$4:$A$80,0)),"Yes","No")),""))</f>
        <v/>
      </c>
      <c r="H201" t="str">
        <f>IFERROR(TRIM(INDEX('Raw Data'!$S$5:$S$400,MATCH($B201,'Raw Data'!$H$5:$H$400,0))),"")</f>
        <v/>
      </c>
    </row>
    <row r="202" spans="1:8" hidden="1">
      <c r="A202" s="18" t="str">
        <f>IFERROR(INDEX('Raw Data'!$D$5:$D$400,MATCH($B202,'Raw Data'!$H$5:$H$400,0)),"")</f>
        <v/>
      </c>
      <c r="B202" s="2"/>
      <c r="C202" s="2" t="str">
        <f>IFERROR(TRIM(INDEX('Raw Data'!$J$5:$J$400,MATCH($B202,'Raw Data'!$H$5:$H$400,0))),"")</f>
        <v/>
      </c>
      <c r="D202" s="15" t="str">
        <f>IFERROR(INDEX('Store List'!$B$4:$B$300,MATCH($C202,'Store List'!$A$4:$A$300,0)),"")</f>
        <v/>
      </c>
      <c r="E202" s="2"/>
      <c r="F202" s="2"/>
      <c r="G202" s="4" t="str">
        <f>IF($E202="","",IFERROR(IF(OR(NOT(ISNUMBER($D202)),NOT(ISNUMBER(INDEX(Settings!$E$4:$E$80,MATCH($E202,Settings!$A$4:$A$80,0))))),"No",IF($D202&gt;INDEX(Settings!$E$4:$E$80,MATCH($E202,Settings!$A$4:$A$80,0)),"Yes","No")),""))</f>
        <v/>
      </c>
      <c r="H202" t="str">
        <f>IFERROR(TRIM(INDEX('Raw Data'!$S$5:$S$400,MATCH($B202,'Raw Data'!$H$5:$H$400,0))),"")</f>
        <v/>
      </c>
    </row>
    <row r="203" spans="1:8" hidden="1">
      <c r="A203" s="18" t="str">
        <f>IFERROR(INDEX('Raw Data'!$D$5:$D$400,MATCH($B203,'Raw Data'!$H$5:$H$400,0)),"")</f>
        <v/>
      </c>
      <c r="B203" s="2"/>
      <c r="C203" s="2" t="str">
        <f>IFERROR(TRIM(INDEX('Raw Data'!$J$5:$J$400,MATCH($B203,'Raw Data'!$H$5:$H$400,0))),"")</f>
        <v/>
      </c>
      <c r="D203" s="15" t="str">
        <f>IFERROR(INDEX('Store List'!$B$4:$B$300,MATCH($C203,'Store List'!$A$4:$A$300,0)),"")</f>
        <v/>
      </c>
      <c r="E203" s="2"/>
      <c r="F203" s="2"/>
      <c r="G203" s="4" t="str">
        <f>IF($E203="","",IFERROR(IF(OR(NOT(ISNUMBER($D203)),NOT(ISNUMBER(INDEX(Settings!$E$4:$E$80,MATCH($E203,Settings!$A$4:$A$80,0))))),"No",IF($D203&gt;INDEX(Settings!$E$4:$E$80,MATCH($E203,Settings!$A$4:$A$80,0)),"Yes","No")),""))</f>
        <v/>
      </c>
      <c r="H203" t="str">
        <f>IFERROR(TRIM(INDEX('Raw Data'!$S$5:$S$400,MATCH($B203,'Raw Data'!$H$5:$H$400,0))),"")</f>
        <v/>
      </c>
    </row>
    <row r="204" spans="1:8" hidden="1">
      <c r="A204" s="18" t="str">
        <f>IFERROR(INDEX('Raw Data'!$D$5:$D$400,MATCH($B204,'Raw Data'!$H$5:$H$400,0)),"")</f>
        <v/>
      </c>
      <c r="B204" s="2"/>
      <c r="C204" s="2" t="str">
        <f>IFERROR(TRIM(INDEX('Raw Data'!$J$5:$J$400,MATCH($B204,'Raw Data'!$H$5:$H$400,0))),"")</f>
        <v/>
      </c>
      <c r="D204" s="15" t="str">
        <f>IFERROR(INDEX('Store List'!$B$4:$B$300,MATCH($C204,'Store List'!$A$4:$A$300,0)),"")</f>
        <v/>
      </c>
      <c r="E204" s="2"/>
      <c r="F204" s="2"/>
      <c r="G204" s="4" t="str">
        <f>IF($E204="","",IFERROR(IF(OR(NOT(ISNUMBER($D204)),NOT(ISNUMBER(INDEX(Settings!$E$4:$E$80,MATCH($E204,Settings!$A$4:$A$80,0))))),"No",IF($D204&gt;INDEX(Settings!$E$4:$E$80,MATCH($E204,Settings!$A$4:$A$80,0)),"Yes","No")),""))</f>
        <v/>
      </c>
      <c r="H204" t="str">
        <f>IFERROR(TRIM(INDEX('Raw Data'!$S$5:$S$400,MATCH($B204,'Raw Data'!$H$5:$H$400,0))),"")</f>
        <v/>
      </c>
    </row>
    <row r="205" spans="1:8" hidden="1">
      <c r="A205" s="18" t="str">
        <f>IFERROR(INDEX('Raw Data'!$D$5:$D$400,MATCH($B205,'Raw Data'!$H$5:$H$400,0)),"")</f>
        <v/>
      </c>
      <c r="B205" s="2"/>
      <c r="C205" s="2" t="str">
        <f>IFERROR(TRIM(INDEX('Raw Data'!$J$5:$J$400,MATCH($B205,'Raw Data'!$H$5:$H$400,0))),"")</f>
        <v/>
      </c>
      <c r="D205" s="15" t="str">
        <f>IFERROR(INDEX('Store List'!$B$4:$B$300,MATCH($C205,'Store List'!$A$4:$A$300,0)),"")</f>
        <v/>
      </c>
      <c r="E205" s="2"/>
      <c r="F205" s="2"/>
      <c r="G205" s="4" t="str">
        <f>IF($E205="","",IFERROR(IF(OR(NOT(ISNUMBER($D205)),NOT(ISNUMBER(INDEX(Settings!$E$4:$E$80,MATCH($E205,Settings!$A$4:$A$80,0))))),"No",IF($D205&gt;INDEX(Settings!$E$4:$E$80,MATCH($E205,Settings!$A$4:$A$80,0)),"Yes","No")),""))</f>
        <v/>
      </c>
      <c r="H205" t="str">
        <f>IFERROR(TRIM(INDEX('Raw Data'!$S$5:$S$400,MATCH($B205,'Raw Data'!$H$5:$H$400,0))),"")</f>
        <v/>
      </c>
    </row>
    <row r="206" spans="1:8" hidden="1">
      <c r="A206" s="18" t="str">
        <f>IFERROR(INDEX('Raw Data'!$D$5:$D$400,MATCH($B206,'Raw Data'!$H$5:$H$400,0)),"")</f>
        <v/>
      </c>
      <c r="B206" s="2"/>
      <c r="C206" s="2" t="str">
        <f>IFERROR(TRIM(INDEX('Raw Data'!$J$5:$J$400,MATCH($B206,'Raw Data'!$H$5:$H$400,0))),"")</f>
        <v/>
      </c>
      <c r="D206" s="15" t="str">
        <f>IFERROR(INDEX('Store List'!$B$4:$B$300,MATCH($C206,'Store List'!$A$4:$A$300,0)),"")</f>
        <v/>
      </c>
      <c r="E206" s="2"/>
      <c r="F206" s="2"/>
      <c r="G206" s="4" t="str">
        <f>IF($E206="","",IFERROR(IF(OR(NOT(ISNUMBER($D206)),NOT(ISNUMBER(INDEX(Settings!$E$4:$E$80,MATCH($E206,Settings!$A$4:$A$80,0))))),"No",IF($D206&gt;INDEX(Settings!$E$4:$E$80,MATCH($E206,Settings!$A$4:$A$80,0)),"Yes","No")),""))</f>
        <v/>
      </c>
      <c r="H206" t="str">
        <f>IFERROR(TRIM(INDEX('Raw Data'!$S$5:$S$400,MATCH($B206,'Raw Data'!$H$5:$H$400,0))),"")</f>
        <v/>
      </c>
    </row>
    <row r="207" spans="1:8" hidden="1">
      <c r="A207" s="18" t="str">
        <f>IFERROR(INDEX('Raw Data'!$D$5:$D$400,MATCH($B207,'Raw Data'!$H$5:$H$400,0)),"")</f>
        <v/>
      </c>
      <c r="B207" s="2"/>
      <c r="C207" s="2" t="str">
        <f>IFERROR(TRIM(INDEX('Raw Data'!$J$5:$J$400,MATCH($B207,'Raw Data'!$H$5:$H$400,0))),"")</f>
        <v/>
      </c>
      <c r="D207" s="15" t="str">
        <f>IFERROR(INDEX('Store List'!$B$4:$B$300,MATCH($C207,'Store List'!$A$4:$A$300,0)),"")</f>
        <v/>
      </c>
      <c r="E207" s="2"/>
      <c r="F207" s="2"/>
      <c r="G207" s="4" t="str">
        <f>IF($E207="","",IFERROR(IF(OR(NOT(ISNUMBER($D207)),NOT(ISNUMBER(INDEX(Settings!$E$4:$E$80,MATCH($E207,Settings!$A$4:$A$80,0))))),"No",IF($D207&gt;INDEX(Settings!$E$4:$E$80,MATCH($E207,Settings!$A$4:$A$80,0)),"Yes","No")),""))</f>
        <v/>
      </c>
      <c r="H207" t="str">
        <f>IFERROR(TRIM(INDEX('Raw Data'!$S$5:$S$400,MATCH($B207,'Raw Data'!$H$5:$H$400,0))),"")</f>
        <v/>
      </c>
    </row>
    <row r="208" spans="1:8" hidden="1">
      <c r="A208" s="18" t="str">
        <f>IFERROR(INDEX('Raw Data'!$D$5:$D$400,MATCH($B208,'Raw Data'!$H$5:$H$400,0)),"")</f>
        <v/>
      </c>
      <c r="B208" s="2"/>
      <c r="C208" s="2" t="str">
        <f>IFERROR(TRIM(INDEX('Raw Data'!$J$5:$J$400,MATCH($B208,'Raw Data'!$H$5:$H$400,0))),"")</f>
        <v/>
      </c>
      <c r="D208" s="15" t="str">
        <f>IFERROR(INDEX('Store List'!$B$4:$B$300,MATCH($C208,'Store List'!$A$4:$A$300,0)),"")</f>
        <v/>
      </c>
      <c r="E208" s="2"/>
      <c r="F208" s="2"/>
      <c r="G208" s="4" t="str">
        <f>IF($E208="","",IFERROR(IF(OR(NOT(ISNUMBER($D208)),NOT(ISNUMBER(INDEX(Settings!$E$4:$E$80,MATCH($E208,Settings!$A$4:$A$80,0))))),"No",IF($D208&gt;INDEX(Settings!$E$4:$E$80,MATCH($E208,Settings!$A$4:$A$80,0)),"Yes","No")),""))</f>
        <v/>
      </c>
      <c r="H208" t="str">
        <f>IFERROR(TRIM(INDEX('Raw Data'!$S$5:$S$400,MATCH($B208,'Raw Data'!$H$5:$H$400,0))),"")</f>
        <v/>
      </c>
    </row>
    <row r="209" spans="1:8" hidden="1">
      <c r="A209" s="18" t="str">
        <f>IFERROR(INDEX('Raw Data'!$D$5:$D$400,MATCH($B209,'Raw Data'!$H$5:$H$400,0)),"")</f>
        <v/>
      </c>
      <c r="B209" s="2"/>
      <c r="C209" s="2" t="str">
        <f>IFERROR(TRIM(INDEX('Raw Data'!$J$5:$J$400,MATCH($B209,'Raw Data'!$H$5:$H$400,0))),"")</f>
        <v/>
      </c>
      <c r="D209" s="15" t="str">
        <f>IFERROR(INDEX('Store List'!$B$4:$B$300,MATCH($C209,'Store List'!$A$4:$A$300,0)),"")</f>
        <v/>
      </c>
      <c r="E209" s="2"/>
      <c r="F209" s="2"/>
      <c r="G209" s="4" t="str">
        <f>IF($E209="","",IFERROR(IF(OR(NOT(ISNUMBER($D209)),NOT(ISNUMBER(INDEX(Settings!$E$4:$E$80,MATCH($E209,Settings!$A$4:$A$80,0))))),"No",IF($D209&gt;INDEX(Settings!$E$4:$E$80,MATCH($E209,Settings!$A$4:$A$80,0)),"Yes","No")),""))</f>
        <v/>
      </c>
      <c r="H209" t="str">
        <f>IFERROR(TRIM(INDEX('Raw Data'!$S$5:$S$400,MATCH($B209,'Raw Data'!$H$5:$H$400,0))),"")</f>
        <v/>
      </c>
    </row>
    <row r="210" spans="1:8" hidden="1">
      <c r="A210" s="18" t="str">
        <f>IFERROR(INDEX('Raw Data'!$D$5:$D$400,MATCH($B210,'Raw Data'!$H$5:$H$400,0)),"")</f>
        <v/>
      </c>
      <c r="B210" s="2"/>
      <c r="C210" s="2" t="str">
        <f>IFERROR(TRIM(INDEX('Raw Data'!$J$5:$J$400,MATCH($B210,'Raw Data'!$H$5:$H$400,0))),"")</f>
        <v/>
      </c>
      <c r="D210" s="15" t="str">
        <f>IFERROR(INDEX('Store List'!$B$4:$B$300,MATCH($C210,'Store List'!$A$4:$A$300,0)),"")</f>
        <v/>
      </c>
      <c r="E210" s="2"/>
      <c r="F210" s="2"/>
      <c r="G210" s="4" t="str">
        <f>IF($E210="","",IFERROR(IF(OR(NOT(ISNUMBER($D210)),NOT(ISNUMBER(INDEX(Settings!$E$4:$E$80,MATCH($E210,Settings!$A$4:$A$80,0))))),"No",IF($D210&gt;INDEX(Settings!$E$4:$E$80,MATCH($E210,Settings!$A$4:$A$80,0)),"Yes","No")),""))</f>
        <v/>
      </c>
      <c r="H210" t="str">
        <f>IFERROR(TRIM(INDEX('Raw Data'!$S$5:$S$400,MATCH($B210,'Raw Data'!$H$5:$H$400,0))),"")</f>
        <v/>
      </c>
    </row>
    <row r="211" spans="1:8" hidden="1">
      <c r="A211" s="18" t="str">
        <f>IFERROR(INDEX('Raw Data'!$D$5:$D$400,MATCH($B211,'Raw Data'!$H$5:$H$400,0)),"")</f>
        <v/>
      </c>
      <c r="B211" s="2"/>
      <c r="C211" s="2" t="str">
        <f>IFERROR(TRIM(INDEX('Raw Data'!$J$5:$J$400,MATCH($B211,'Raw Data'!$H$5:$H$400,0))),"")</f>
        <v/>
      </c>
      <c r="D211" s="15" t="str">
        <f>IFERROR(INDEX('Store List'!$B$4:$B$300,MATCH($C211,'Store List'!$A$4:$A$300,0)),"")</f>
        <v/>
      </c>
      <c r="E211" s="2"/>
      <c r="F211" s="2"/>
      <c r="G211" s="4" t="str">
        <f>IF($E211="","",IFERROR(IF(OR(NOT(ISNUMBER($D211)),NOT(ISNUMBER(INDEX(Settings!$E$4:$E$80,MATCH($E211,Settings!$A$4:$A$80,0))))),"No",IF($D211&gt;INDEX(Settings!$E$4:$E$80,MATCH($E211,Settings!$A$4:$A$80,0)),"Yes","No")),""))</f>
        <v/>
      </c>
      <c r="H211" t="str">
        <f>IFERROR(TRIM(INDEX('Raw Data'!$S$5:$S$400,MATCH($B211,'Raw Data'!$H$5:$H$400,0))),"")</f>
        <v/>
      </c>
    </row>
    <row r="212" spans="1:8" hidden="1">
      <c r="A212" s="18" t="str">
        <f>IFERROR(INDEX('Raw Data'!$D$5:$D$400,MATCH($B212,'Raw Data'!$H$5:$H$400,0)),"")</f>
        <v/>
      </c>
      <c r="B212" s="2"/>
      <c r="C212" s="2" t="str">
        <f>IFERROR(TRIM(INDEX('Raw Data'!$J$5:$J$400,MATCH($B212,'Raw Data'!$H$5:$H$400,0))),"")</f>
        <v/>
      </c>
      <c r="D212" s="15" t="str">
        <f>IFERROR(INDEX('Store List'!$B$4:$B$300,MATCH($C212,'Store List'!$A$4:$A$300,0)),"")</f>
        <v/>
      </c>
      <c r="E212" s="2"/>
      <c r="F212" s="2"/>
      <c r="G212" s="4" t="str">
        <f>IF($E212="","",IFERROR(IF(OR(NOT(ISNUMBER($D212)),NOT(ISNUMBER(INDEX(Settings!$E$4:$E$80,MATCH($E212,Settings!$A$4:$A$80,0))))),"No",IF($D212&gt;INDEX(Settings!$E$4:$E$80,MATCH($E212,Settings!$A$4:$A$80,0)),"Yes","No")),""))</f>
        <v/>
      </c>
      <c r="H212" t="str">
        <f>IFERROR(TRIM(INDEX('Raw Data'!$S$5:$S$400,MATCH($B212,'Raw Data'!$H$5:$H$400,0))),"")</f>
        <v/>
      </c>
    </row>
    <row r="213" spans="1:8" hidden="1">
      <c r="A213" s="18" t="str">
        <f>IFERROR(INDEX('Raw Data'!$D$5:$D$400,MATCH($B213,'Raw Data'!$H$5:$H$400,0)),"")</f>
        <v/>
      </c>
      <c r="B213" s="2"/>
      <c r="C213" s="2" t="str">
        <f>IFERROR(TRIM(INDEX('Raw Data'!$J$5:$J$400,MATCH($B213,'Raw Data'!$H$5:$H$400,0))),"")</f>
        <v/>
      </c>
      <c r="D213" s="15" t="str">
        <f>IFERROR(INDEX('Store List'!$B$4:$B$300,MATCH($C213,'Store List'!$A$4:$A$300,0)),"")</f>
        <v/>
      </c>
      <c r="E213" s="2"/>
      <c r="F213" s="2"/>
      <c r="G213" s="4" t="str">
        <f>IF($E213="","",IFERROR(IF(OR(NOT(ISNUMBER($D213)),NOT(ISNUMBER(INDEX(Settings!$E$4:$E$80,MATCH($E213,Settings!$A$4:$A$80,0))))),"No",IF($D213&gt;INDEX(Settings!$E$4:$E$80,MATCH($E213,Settings!$A$4:$A$80,0)),"Yes","No")),""))</f>
        <v/>
      </c>
      <c r="H213" t="str">
        <f>IFERROR(TRIM(INDEX('Raw Data'!$S$5:$S$400,MATCH($B213,'Raw Data'!$H$5:$H$400,0))),"")</f>
        <v/>
      </c>
    </row>
    <row r="214" spans="1:8" hidden="1">
      <c r="A214" s="18" t="str">
        <f>IFERROR(INDEX('Raw Data'!$D$5:$D$400,MATCH($B214,'Raw Data'!$H$5:$H$400,0)),"")</f>
        <v/>
      </c>
      <c r="B214" s="2"/>
      <c r="C214" s="2" t="str">
        <f>IFERROR(TRIM(INDEX('Raw Data'!$J$5:$J$400,MATCH($B214,'Raw Data'!$H$5:$H$400,0))),"")</f>
        <v/>
      </c>
      <c r="D214" s="15" t="str">
        <f>IFERROR(INDEX('Store List'!$B$4:$B$300,MATCH($C214,'Store List'!$A$4:$A$300,0)),"")</f>
        <v/>
      </c>
      <c r="E214" s="2"/>
      <c r="F214" s="2"/>
      <c r="G214" s="4" t="str">
        <f>IF($E214="","",IFERROR(IF(OR(NOT(ISNUMBER($D214)),NOT(ISNUMBER(INDEX(Settings!$E$4:$E$80,MATCH($E214,Settings!$A$4:$A$80,0))))),"No",IF($D214&gt;INDEX(Settings!$E$4:$E$80,MATCH($E214,Settings!$A$4:$A$80,0)),"Yes","No")),""))</f>
        <v/>
      </c>
      <c r="H214" t="str">
        <f>IFERROR(TRIM(INDEX('Raw Data'!$S$5:$S$400,MATCH($B214,'Raw Data'!$H$5:$H$400,0))),"")</f>
        <v/>
      </c>
    </row>
    <row r="215" spans="1:8" hidden="1">
      <c r="A215" s="18" t="str">
        <f>IFERROR(INDEX('Raw Data'!$D$5:$D$400,MATCH($B215,'Raw Data'!$H$5:$H$400,0)),"")</f>
        <v/>
      </c>
      <c r="B215" s="2"/>
      <c r="C215" s="2" t="str">
        <f>IFERROR(TRIM(INDEX('Raw Data'!$J$5:$J$400,MATCH($B215,'Raw Data'!$H$5:$H$400,0))),"")</f>
        <v/>
      </c>
      <c r="D215" s="15" t="str">
        <f>IFERROR(INDEX('Store List'!$B$4:$B$300,MATCH($C215,'Store List'!$A$4:$A$300,0)),"")</f>
        <v/>
      </c>
      <c r="E215" s="2"/>
      <c r="F215" s="2"/>
      <c r="G215" s="4" t="str">
        <f>IF($E215="","",IFERROR(IF(OR(NOT(ISNUMBER($D215)),NOT(ISNUMBER(INDEX(Settings!$E$4:$E$80,MATCH($E215,Settings!$A$4:$A$80,0))))),"No",IF($D215&gt;INDEX(Settings!$E$4:$E$80,MATCH($E215,Settings!$A$4:$A$80,0)),"Yes","No")),""))</f>
        <v/>
      </c>
      <c r="H215" t="str">
        <f>IFERROR(TRIM(INDEX('Raw Data'!$S$5:$S$400,MATCH($B215,'Raw Data'!$H$5:$H$400,0))),"")</f>
        <v/>
      </c>
    </row>
    <row r="216" spans="1:8" hidden="1">
      <c r="A216" s="18" t="str">
        <f>IFERROR(INDEX('Raw Data'!$D$5:$D$400,MATCH($B216,'Raw Data'!$H$5:$H$400,0)),"")</f>
        <v/>
      </c>
      <c r="B216" s="2"/>
      <c r="C216" s="2" t="str">
        <f>IFERROR(TRIM(INDEX('Raw Data'!$J$5:$J$400,MATCH($B216,'Raw Data'!$H$5:$H$400,0))),"")</f>
        <v/>
      </c>
      <c r="D216" s="15" t="str">
        <f>IFERROR(INDEX('Store List'!$B$4:$B$300,MATCH($C216,'Store List'!$A$4:$A$300,0)),"")</f>
        <v/>
      </c>
      <c r="E216" s="2"/>
      <c r="F216" s="2"/>
      <c r="G216" s="4" t="str">
        <f>IF($E216="","",IFERROR(IF(OR(NOT(ISNUMBER($D216)),NOT(ISNUMBER(INDEX(Settings!$E$4:$E$80,MATCH($E216,Settings!$A$4:$A$80,0))))),"No",IF($D216&gt;INDEX(Settings!$E$4:$E$80,MATCH($E216,Settings!$A$4:$A$80,0)),"Yes","No")),""))</f>
        <v/>
      </c>
      <c r="H216" t="str">
        <f>IFERROR(TRIM(INDEX('Raw Data'!$S$5:$S$400,MATCH($B216,'Raw Data'!$H$5:$H$400,0))),"")</f>
        <v/>
      </c>
    </row>
    <row r="217" spans="1:8" hidden="1">
      <c r="A217" s="18" t="str">
        <f>IFERROR(INDEX('Raw Data'!$D$5:$D$400,MATCH($B217,'Raw Data'!$H$5:$H$400,0)),"")</f>
        <v/>
      </c>
      <c r="B217" s="2"/>
      <c r="C217" s="2" t="str">
        <f>IFERROR(TRIM(INDEX('Raw Data'!$J$5:$J$400,MATCH($B217,'Raw Data'!$H$5:$H$400,0))),"")</f>
        <v/>
      </c>
      <c r="D217" s="15" t="str">
        <f>IFERROR(INDEX('Store List'!$B$4:$B$300,MATCH($C217,'Store List'!$A$4:$A$300,0)),"")</f>
        <v/>
      </c>
      <c r="E217" s="2"/>
      <c r="F217" s="2"/>
      <c r="G217" s="4" t="str">
        <f>IF($E217="","",IFERROR(IF(OR(NOT(ISNUMBER($D217)),NOT(ISNUMBER(INDEX(Settings!$E$4:$E$80,MATCH($E217,Settings!$A$4:$A$80,0))))),"No",IF($D217&gt;INDEX(Settings!$E$4:$E$80,MATCH($E217,Settings!$A$4:$A$80,0)),"Yes","No")),""))</f>
        <v/>
      </c>
      <c r="H217" t="str">
        <f>IFERROR(TRIM(INDEX('Raw Data'!$S$5:$S$400,MATCH($B217,'Raw Data'!$H$5:$H$400,0))),"")</f>
        <v/>
      </c>
    </row>
    <row r="218" spans="1:8" hidden="1">
      <c r="A218" s="18" t="str">
        <f>IFERROR(INDEX('Raw Data'!$D$5:$D$400,MATCH($B218,'Raw Data'!$H$5:$H$400,0)),"")</f>
        <v/>
      </c>
      <c r="B218" s="2"/>
      <c r="C218" s="2" t="str">
        <f>IFERROR(TRIM(INDEX('Raw Data'!$J$5:$J$400,MATCH($B218,'Raw Data'!$H$5:$H$400,0))),"")</f>
        <v/>
      </c>
      <c r="D218" s="15" t="str">
        <f>IFERROR(INDEX('Store List'!$B$4:$B$300,MATCH($C218,'Store List'!$A$4:$A$300,0)),"")</f>
        <v/>
      </c>
      <c r="E218" s="2"/>
      <c r="F218" s="2"/>
      <c r="G218" s="4" t="str">
        <f>IF($E218="","",IFERROR(IF(OR(NOT(ISNUMBER($D218)),NOT(ISNUMBER(INDEX(Settings!$E$4:$E$80,MATCH($E218,Settings!$A$4:$A$80,0))))),"No",IF($D218&gt;INDEX(Settings!$E$4:$E$80,MATCH($E218,Settings!$A$4:$A$80,0)),"Yes","No")),""))</f>
        <v/>
      </c>
      <c r="H218" t="str">
        <f>IFERROR(TRIM(INDEX('Raw Data'!$S$5:$S$400,MATCH($B218,'Raw Data'!$H$5:$H$400,0))),"")</f>
        <v/>
      </c>
    </row>
    <row r="219" spans="1:8" hidden="1">
      <c r="A219" s="18" t="str">
        <f>IFERROR(INDEX('Raw Data'!$D$5:$D$400,MATCH($B219,'Raw Data'!$H$5:$H$400,0)),"")</f>
        <v/>
      </c>
      <c r="B219" s="2"/>
      <c r="C219" s="2" t="str">
        <f>IFERROR(TRIM(INDEX('Raw Data'!$J$5:$J$400,MATCH($B219,'Raw Data'!$H$5:$H$400,0))),"")</f>
        <v/>
      </c>
      <c r="D219" s="15" t="str">
        <f>IFERROR(INDEX('Store List'!$B$4:$B$300,MATCH($C219,'Store List'!$A$4:$A$300,0)),"")</f>
        <v/>
      </c>
      <c r="E219" s="2"/>
      <c r="F219" s="2"/>
      <c r="G219" s="4" t="str">
        <f>IF($E219="","",IFERROR(IF(OR(NOT(ISNUMBER($D219)),NOT(ISNUMBER(INDEX(Settings!$E$4:$E$80,MATCH($E219,Settings!$A$4:$A$80,0))))),"No",IF($D219&gt;INDEX(Settings!$E$4:$E$80,MATCH($E219,Settings!$A$4:$A$80,0)),"Yes","No")),""))</f>
        <v/>
      </c>
      <c r="H219" t="str">
        <f>IFERROR(TRIM(INDEX('Raw Data'!$S$5:$S$400,MATCH($B219,'Raw Data'!$H$5:$H$400,0))),"")</f>
        <v/>
      </c>
    </row>
    <row r="220" spans="1:8" hidden="1">
      <c r="A220" s="18" t="str">
        <f>IFERROR(INDEX('Raw Data'!$D$5:$D$400,MATCH($B220,'Raw Data'!$H$5:$H$400,0)),"")</f>
        <v/>
      </c>
      <c r="B220" s="2"/>
      <c r="C220" s="2" t="str">
        <f>IFERROR(TRIM(INDEX('Raw Data'!$J$5:$J$400,MATCH($B220,'Raw Data'!$H$5:$H$400,0))),"")</f>
        <v/>
      </c>
      <c r="D220" s="15" t="str">
        <f>IFERROR(INDEX('Store List'!$B$4:$B$300,MATCH($C220,'Store List'!$A$4:$A$300,0)),"")</f>
        <v/>
      </c>
      <c r="E220" s="2"/>
      <c r="F220" s="2"/>
      <c r="G220" s="4" t="str">
        <f>IF($E220="","",IFERROR(IF(OR(NOT(ISNUMBER($D220)),NOT(ISNUMBER(INDEX(Settings!$E$4:$E$80,MATCH($E220,Settings!$A$4:$A$80,0))))),"No",IF($D220&gt;INDEX(Settings!$E$4:$E$80,MATCH($E220,Settings!$A$4:$A$80,0)),"Yes","No")),""))</f>
        <v/>
      </c>
      <c r="H220" t="str">
        <f>IFERROR(TRIM(INDEX('Raw Data'!$S$5:$S$400,MATCH($B220,'Raw Data'!$H$5:$H$400,0))),"")</f>
        <v/>
      </c>
    </row>
    <row r="221" spans="1:8" hidden="1">
      <c r="A221" s="18" t="str">
        <f>IFERROR(INDEX('Raw Data'!$D$5:$D$400,MATCH($B221,'Raw Data'!$H$5:$H$400,0)),"")</f>
        <v/>
      </c>
      <c r="B221" s="2"/>
      <c r="C221" s="2" t="str">
        <f>IFERROR(TRIM(INDEX('Raw Data'!$J$5:$J$400,MATCH($B221,'Raw Data'!$H$5:$H$400,0))),"")</f>
        <v/>
      </c>
      <c r="D221" s="15" t="str">
        <f>IFERROR(INDEX('Store List'!$B$4:$B$300,MATCH($C221,'Store List'!$A$4:$A$300,0)),"")</f>
        <v/>
      </c>
      <c r="E221" s="2"/>
      <c r="F221" s="2"/>
      <c r="G221" s="4" t="str">
        <f>IF($E221="","",IFERROR(IF(OR(NOT(ISNUMBER($D221)),NOT(ISNUMBER(INDEX(Settings!$E$4:$E$80,MATCH($E221,Settings!$A$4:$A$80,0))))),"No",IF($D221&gt;INDEX(Settings!$E$4:$E$80,MATCH($E221,Settings!$A$4:$A$80,0)),"Yes","No")),""))</f>
        <v/>
      </c>
      <c r="H221" t="str">
        <f>IFERROR(TRIM(INDEX('Raw Data'!$S$5:$S$400,MATCH($B221,'Raw Data'!$H$5:$H$400,0))),"")</f>
        <v/>
      </c>
    </row>
    <row r="222" spans="1:8" hidden="1">
      <c r="A222" s="18" t="str">
        <f>IFERROR(INDEX('Raw Data'!$D$5:$D$400,MATCH($B222,'Raw Data'!$H$5:$H$400,0)),"")</f>
        <v/>
      </c>
      <c r="B222" s="2"/>
      <c r="C222" s="2" t="str">
        <f>IFERROR(TRIM(INDEX('Raw Data'!$J$5:$J$400,MATCH($B222,'Raw Data'!$H$5:$H$400,0))),"")</f>
        <v/>
      </c>
      <c r="D222" s="15" t="str">
        <f>IFERROR(INDEX('Store List'!$B$4:$B$300,MATCH($C222,'Store List'!$A$4:$A$300,0)),"")</f>
        <v/>
      </c>
      <c r="E222" s="2"/>
      <c r="F222" s="2"/>
      <c r="G222" s="4" t="str">
        <f>IF($E222="","",IFERROR(IF(OR(NOT(ISNUMBER($D222)),NOT(ISNUMBER(INDEX(Settings!$E$4:$E$80,MATCH($E222,Settings!$A$4:$A$80,0))))),"No",IF($D222&gt;INDEX(Settings!$E$4:$E$80,MATCH($E222,Settings!$A$4:$A$80,0)),"Yes","No")),""))</f>
        <v/>
      </c>
      <c r="H222" t="str">
        <f>IFERROR(TRIM(INDEX('Raw Data'!$S$5:$S$400,MATCH($B222,'Raw Data'!$H$5:$H$400,0))),"")</f>
        <v/>
      </c>
    </row>
    <row r="223" spans="1:8" hidden="1">
      <c r="A223" s="18" t="str">
        <f>IFERROR(INDEX('Raw Data'!$D$5:$D$400,MATCH($B223,'Raw Data'!$H$5:$H$400,0)),"")</f>
        <v/>
      </c>
      <c r="B223" s="2"/>
      <c r="C223" s="2" t="str">
        <f>IFERROR(TRIM(INDEX('Raw Data'!$J$5:$J$400,MATCH($B223,'Raw Data'!$H$5:$H$400,0))),"")</f>
        <v/>
      </c>
      <c r="D223" s="15" t="str">
        <f>IFERROR(INDEX('Store List'!$B$4:$B$300,MATCH($C223,'Store List'!$A$4:$A$300,0)),"")</f>
        <v/>
      </c>
      <c r="E223" s="2"/>
      <c r="F223" s="2"/>
      <c r="G223" s="4" t="str">
        <f>IF($E223="","",IFERROR(IF(OR(NOT(ISNUMBER($D223)),NOT(ISNUMBER(INDEX(Settings!$E$4:$E$80,MATCH($E223,Settings!$A$4:$A$80,0))))),"No",IF($D223&gt;INDEX(Settings!$E$4:$E$80,MATCH($E223,Settings!$A$4:$A$80,0)),"Yes","No")),""))</f>
        <v/>
      </c>
      <c r="H223" t="str">
        <f>IFERROR(TRIM(INDEX('Raw Data'!$S$5:$S$400,MATCH($B223,'Raw Data'!$H$5:$H$400,0))),"")</f>
        <v/>
      </c>
    </row>
    <row r="224" spans="1:8" hidden="1">
      <c r="A224" s="19" t="str">
        <f>IFERROR(INDEX('Raw Data'!$D$5:$D$400,MATCH($B224,'Raw Data'!$H$5:$H$400,0)),"")</f>
        <v/>
      </c>
      <c r="B224" s="7"/>
      <c r="C224" s="7" t="str">
        <f>IFERROR(TRIM(INDEX('Raw Data'!$J$5:$J$400,MATCH($B224,'Raw Data'!$H$5:$H$400,0))),"")</f>
        <v/>
      </c>
      <c r="D224" s="16" t="str">
        <f>IFERROR(INDEX('Store List'!$B$4:$B$300,MATCH($C224,'Store List'!$A$4:$A$300,0)),"")</f>
        <v/>
      </c>
      <c r="E224" s="7"/>
      <c r="F224" s="7"/>
      <c r="G224" s="6" t="str">
        <f>IF($E224="","",IFERROR(IF(OR(NOT(ISNUMBER($D224)),NOT(ISNUMBER(INDEX(Settings!$E$4:$E$80,MATCH($E224,Settings!$A$4:$A$80,0))))),"No",IF($D224&gt;INDEX(Settings!$E$4:$E$80,MATCH($E224,Settings!$A$4:$A$80,0)),"Yes","No")),""))</f>
        <v/>
      </c>
      <c r="H224" t="str">
        <f>IFERROR(TRIM(INDEX('Raw Data'!$S$5:$S$400,MATCH($B224,'Raw Data'!$H$5:$H$400,0))),"")</f>
        <v/>
      </c>
    </row>
    <row r="225" spans="1:8">
      <c r="A225" s="18">
        <f>IFERROR(INDEX('Raw Data'!$D$5:$D$400,MATCH($B225,'Raw Data'!$H$5:$H$400,0)),"")</f>
        <v>46217.579861111109</v>
      </c>
      <c r="B225" s="29" t="s">
        <v>1048</v>
      </c>
      <c r="C225" s="2" t="str">
        <f>IFERROR(TRIM(INDEX('Raw Data'!$J$5:$J$400,MATCH($B225,'Raw Data'!$H$5:$H$400,0))),"")</f>
        <v>Dollar General #10339</v>
      </c>
      <c r="D225" s="15">
        <f>IFERROR(INDEX('Store List'!$B$4:$B$300,MATCH($C225,'Store List'!$A$4:$A$300,0)),"")</f>
        <v>46141</v>
      </c>
      <c r="E225" t="s">
        <v>1165</v>
      </c>
      <c r="F225" t="s">
        <v>1241</v>
      </c>
      <c r="G225" s="4" t="str">
        <f>IF($E225="","",IFERROR(IF(OR(NOT(ISNUMBER($D225)),NOT(ISNUMBER(INDEX(Settings!$E$4:$E$80,MATCH($E225,Settings!$A$4:$A$80,0))))),"No",IF($D225&gt;INDEX(Settings!$E$4:$E$80,MATCH($E225,Settings!$A$4:$A$80,0)),"Yes","No")),""))</f>
        <v>No</v>
      </c>
      <c r="H225" t="str">
        <f>IFERROR(TRIM(INDEX('Raw Data'!$S$5:$S$400,MATCH($B225,'Raw Data'!$H$5:$H$400,0))),"")</f>
        <v>RLN3MA / MY26C025307</v>
      </c>
    </row>
    <row r="226" spans="1:8">
      <c r="A226" s="18">
        <f>IFERROR(INDEX('Raw Data'!$D$5:$D$400,MATCH($B226,'Raw Data'!$H$5:$H$400,0)),"")</f>
        <v>46216.707638888889</v>
      </c>
      <c r="B226" s="29" t="s">
        <v>1053</v>
      </c>
      <c r="C226" s="2" t="str">
        <f>IFERROR(TRIM(INDEX('Raw Data'!$J$5:$J$400,MATCH($B226,'Raw Data'!$H$5:$H$400,0))),"")</f>
        <v>Dollar General #10095</v>
      </c>
      <c r="D226" s="15">
        <f>IFERROR(INDEX('Store List'!$B$4:$B$300,MATCH($C226,'Store List'!$A$4:$A$300,0)),"")</f>
        <v>46215</v>
      </c>
      <c r="E226" t="s">
        <v>1162</v>
      </c>
      <c r="F226" t="s">
        <v>1242</v>
      </c>
      <c r="G226" s="4" t="str">
        <f>IF($E226="","",IFERROR(IF(OR(NOT(ISNUMBER($D226)),NOT(ISNUMBER(INDEX(Settings!$E$4:$E$80,MATCH($E226,Settings!$A$4:$A$80,0))))),"No",IF($D226&gt;INDEX(Settings!$E$4:$E$80,MATCH($E226,Settings!$A$4:$A$80,0)),"Yes","No")),""))</f>
        <v>Yes</v>
      </c>
      <c r="H226" t="str">
        <f>IFERROR(TRIM(INDEX('Raw Data'!$S$5:$S$400,MATCH($B226,'Raw Data'!$H$5:$H$400,0))),"")</f>
        <v>RMN3MA/MY26D026813</v>
      </c>
    </row>
    <row r="227" spans="1:8" hidden="1">
      <c r="A227" s="18">
        <f>IFERROR(INDEX('Raw Data'!$D$5:$D$400,MATCH($B227,'Raw Data'!$H$5:$H$400,0)),"")</f>
        <v>46216.689583333333</v>
      </c>
      <c r="B227" s="29" t="s">
        <v>1061</v>
      </c>
      <c r="C227" s="2" t="str">
        <f>IFERROR(TRIM(INDEX('Raw Data'!$J$5:$J$400,MATCH($B227,'Raw Data'!$H$5:$H$400,0))),"")</f>
        <v>Dollar General #12959</v>
      </c>
      <c r="D227" s="15">
        <f>IFERROR(INDEX('Store List'!$B$4:$B$300,MATCH($C227,'Store List'!$A$4:$A$300,0)),"")</f>
        <v>46211</v>
      </c>
      <c r="E227" t="s">
        <v>1147</v>
      </c>
      <c r="F227" t="s">
        <v>1243</v>
      </c>
      <c r="G227" s="4" t="str">
        <f>IF($E227="","",IFERROR(IF(OR(NOT(ISNUMBER($D227)),NOT(ISNUMBER(INDEX(Settings!$E$4:$E$80,MATCH($E227,Settings!$A$4:$A$80,0))))),"No",IF($D227&gt;INDEX(Settings!$E$4:$E$80,MATCH($E227,Settings!$A$4:$A$80,0)),"Yes","No")),""))</f>
        <v>Yes</v>
      </c>
      <c r="H227" t="str">
        <f>IFERROR(TRIM(INDEX('Raw Data'!$S$5:$S$400,MATCH($B227,'Raw Data'!$H$5:$H$400,0))),"")</f>
        <v>RLN2MA/MY26E034934</v>
      </c>
    </row>
    <row r="228" spans="1:8">
      <c r="A228" s="18">
        <f>IFERROR(INDEX('Raw Data'!$D$5:$D$400,MATCH($B228,'Raw Data'!$H$5:$H$400,0)),"")</f>
        <v>46216.555555555555</v>
      </c>
      <c r="B228" s="29" t="s">
        <v>1067</v>
      </c>
      <c r="C228" s="2" t="str">
        <f>IFERROR(TRIM(INDEX('Raw Data'!$J$5:$J$400,MATCH($B228,'Raw Data'!$H$5:$H$400,0))),"")</f>
        <v>Dollar General #20021</v>
      </c>
      <c r="D228" s="15">
        <f>IFERROR(INDEX('Store List'!$B$4:$B$300,MATCH($C228,'Store List'!$A$4:$A$300,0)),"")</f>
        <v>46183</v>
      </c>
      <c r="E228" t="s">
        <v>1160</v>
      </c>
      <c r="F228" t="s">
        <v>1244</v>
      </c>
      <c r="G228" s="4" t="str">
        <f>IF($E228="","",IFERROR(IF(OR(NOT(ISNUMBER($D228)),NOT(ISNUMBER(INDEX(Settings!$E$4:$E$80,MATCH($E228,Settings!$A$4:$A$80,0))))),"No",IF($D228&gt;INDEX(Settings!$E$4:$E$80,MATCH($E228,Settings!$A$4:$A$80,0)),"Yes","No")),""))</f>
        <v>Yes</v>
      </c>
      <c r="H228" t="str">
        <f>IFERROR(TRIM(INDEX('Raw Data'!$S$5:$S$400,MATCH($B228,'Raw Data'!$H$5:$H$400,0))),"")</f>
        <v>RMN3MA / MY26C025322</v>
      </c>
    </row>
    <row r="229" spans="1:8">
      <c r="A229" s="18">
        <f>IFERROR(INDEX('Raw Data'!$D$5:$D$400,MATCH($B229,'Raw Data'!$H$5:$H$400,0)),"")</f>
        <v>46216.463888888888</v>
      </c>
      <c r="B229" s="29" t="s">
        <v>1076</v>
      </c>
      <c r="C229" s="2" t="str">
        <f>IFERROR(TRIM(INDEX('Raw Data'!$J$5:$J$400,MATCH($B229,'Raw Data'!$H$5:$H$400,0))),"")</f>
        <v>Dollar General #22425</v>
      </c>
      <c r="D229" s="15" t="str">
        <f>IFERROR(INDEX('Store List'!$B$4:$B$300,MATCH($C229,'Store List'!$A$4:$A$300,0)),"")</f>
        <v/>
      </c>
      <c r="E229" t="s">
        <v>1155</v>
      </c>
      <c r="F229" s="76" t="s">
        <v>1245</v>
      </c>
      <c r="G229" s="4" t="str">
        <f>IF($E229="","",IFERROR(IF(OR(NOT(ISNUMBER($D229)),NOT(ISNUMBER(INDEX(Settings!$E$4:$E$80,MATCH($E229,Settings!$A$4:$A$80,0))))),"No",IF($D229&gt;INDEX(Settings!$E$4:$E$80,MATCH($E229,Settings!$A$4:$A$80,0)),"Yes","No")),""))</f>
        <v>No</v>
      </c>
      <c r="H229" t="str">
        <f>IFERROR(TRIM(INDEX('Raw Data'!$S$5:$S$400,MATCH($B229,'Raw Data'!$H$5:$H$400,0))),"")</f>
        <v>RLN3MA / MY26F047552</v>
      </c>
    </row>
    <row r="230" spans="1:8">
      <c r="A230" s="18">
        <f>IFERROR(INDEX('Raw Data'!$D$5:$D$400,MATCH($B230,'Raw Data'!$H$5:$H$400,0)),"")</f>
        <v>46216.146527777775</v>
      </c>
      <c r="B230" s="29" t="s">
        <v>1082</v>
      </c>
      <c r="C230" s="2" t="str">
        <f>IFERROR(TRIM(INDEX('Raw Data'!$J$5:$J$400,MATCH($B230,'Raw Data'!$H$5:$H$400,0))),"")</f>
        <v>Dollar General #21742</v>
      </c>
      <c r="D230" s="15">
        <f>IFERROR(INDEX('Store List'!$B$4:$B$300,MATCH($C230,'Store List'!$A$4:$A$300,0)),"")</f>
        <v>46189</v>
      </c>
      <c r="E230" t="s">
        <v>1147</v>
      </c>
      <c r="F230" t="s">
        <v>1246</v>
      </c>
      <c r="G230" s="4" t="str">
        <f>IF($E230="","",IFERROR(IF(OR(NOT(ISNUMBER($D230)),NOT(ISNUMBER(INDEX(Settings!$E$4:$E$80,MATCH($E230,Settings!$A$4:$A$80,0))))),"No",IF($D230&gt;INDEX(Settings!$E$4:$E$80,MATCH($E230,Settings!$A$4:$A$80,0)),"Yes","No")),""))</f>
        <v>Yes</v>
      </c>
      <c r="H230" t="str">
        <f>IFERROR(TRIM(INDEX('Raw Data'!$S$5:$S$400,MATCH($B230,'Raw Data'!$H$5:$H$400,0))),"")</f>
        <v>RLN3MA / MY26E034942</v>
      </c>
    </row>
    <row r="231" spans="1:8" hidden="1">
      <c r="A231" s="18">
        <f>IFERROR(INDEX('Raw Data'!$D$5:$D$400,MATCH($B231,'Raw Data'!$H$5:$H$400,0)),"")</f>
        <v>46215.194444444445</v>
      </c>
      <c r="B231" s="29" t="s">
        <v>1087</v>
      </c>
      <c r="C231" s="2" t="str">
        <f>IFERROR(TRIM(INDEX('Raw Data'!$J$5:$J$400,MATCH($B231,'Raw Data'!$H$5:$H$400,0))),"")</f>
        <v>Dollar General #12377</v>
      </c>
      <c r="D231" s="15">
        <f>IFERROR(INDEX('Store List'!$B$4:$B$300,MATCH($C231,'Store List'!$A$4:$A$300,0)),"")</f>
        <v>46211</v>
      </c>
      <c r="E231" t="s">
        <v>1175</v>
      </c>
      <c r="F231" t="s">
        <v>1247</v>
      </c>
      <c r="G231" s="4" t="str">
        <f>IF($E231="","",IFERROR(IF(OR(NOT(ISNUMBER($D231)),NOT(ISNUMBER(INDEX(Settings!$E$4:$E$80,MATCH($E231,Settings!$A$4:$A$80,0))))),"No",IF($D231&gt;INDEX(Settings!$E$4:$E$80,MATCH($E231,Settings!$A$4:$A$80,0)),"Yes","No")),""))</f>
        <v>Yes</v>
      </c>
      <c r="H231" t="str">
        <f>IFERROR(TRIM(INDEX('Raw Data'!$S$5:$S$400,MATCH($B231,'Raw Data'!$H$5:$H$400,0))),"")</f>
        <v>RMN4MA / MY26D028118</v>
      </c>
    </row>
    <row r="232" spans="1:8">
      <c r="A232" s="18">
        <f>IFERROR(INDEX('Raw Data'!$D$5:$D$400,MATCH($B232,'Raw Data'!$H$5:$H$400,0)),"")</f>
        <v>46215.04791666667</v>
      </c>
      <c r="B232" s="29" t="s">
        <v>1092</v>
      </c>
      <c r="C232" s="2" t="str">
        <f>IFERROR(TRIM(INDEX('Raw Data'!$J$5:$J$400,MATCH($B232,'Raw Data'!$H$5:$H$400,0))),"")</f>
        <v>Dollar General #3359</v>
      </c>
      <c r="D232" s="15" t="str">
        <f>IFERROR(INDEX('Store List'!$B$4:$B$300,MATCH($C232,'Store List'!$A$4:$A$300,0)),"")</f>
        <v/>
      </c>
      <c r="E232" t="s">
        <v>1147</v>
      </c>
      <c r="F232" t="s">
        <v>1248</v>
      </c>
      <c r="G232" s="4" t="str">
        <f>IF($E232="","",IFERROR(IF(OR(NOT(ISNUMBER($D232)),NOT(ISNUMBER(INDEX(Settings!$E$4:$E$80,MATCH($E232,Settings!$A$4:$A$80,0))))),"No",IF($D232&gt;INDEX(Settings!$E$4:$E$80,MATCH($E232,Settings!$A$4:$A$80,0)),"Yes","No")),""))</f>
        <v>No</v>
      </c>
      <c r="H232" t="str">
        <f>IFERROR(TRIM(INDEX('Raw Data'!$S$5:$S$400,MATCH($B232,'Raw Data'!$H$5:$H$400,0))),"")</f>
        <v>RLN3MA / MY26B016010</v>
      </c>
    </row>
    <row r="233" spans="1:8" hidden="1">
      <c r="A233" s="18">
        <f>IFERROR(INDEX('Raw Data'!$D$5:$D$400,MATCH($B233,'Raw Data'!$H$5:$H$400,0)),"")</f>
        <v>46214.900694444441</v>
      </c>
      <c r="B233" s="29" t="s">
        <v>1096</v>
      </c>
      <c r="C233" s="2" t="str">
        <f>IFERROR(TRIM(INDEX('Raw Data'!$J$5:$J$400,MATCH($B233,'Raw Data'!$H$5:$H$400,0))),"")</f>
        <v>Dolalr General #22040</v>
      </c>
      <c r="D233" s="15" t="str">
        <f>IFERROR(INDEX('Store List'!$B$4:$B$300,MATCH($C233,'Store List'!$A$4:$A$300,0)),"")</f>
        <v/>
      </c>
      <c r="E233" t="s">
        <v>1148</v>
      </c>
      <c r="F233" t="s">
        <v>1249</v>
      </c>
      <c r="G233" s="4" t="str">
        <f>IF($E233="","",IFERROR(IF(OR(NOT(ISNUMBER($D233)),NOT(ISNUMBER(INDEX(Settings!$E$4:$E$80,MATCH($E233,Settings!$A$4:$A$80,0))))),"No",IF($D233&gt;INDEX(Settings!$E$4:$E$80,MATCH($E233,Settings!$A$4:$A$80,0)),"Yes","No")),""))</f>
        <v>No</v>
      </c>
      <c r="H233" t="str">
        <f>IFERROR(TRIM(INDEX('Raw Data'!$S$5:$S$400,MATCH($B233,'Raw Data'!$H$5:$H$400,0))),"")</f>
        <v>RMN4MA / MY26F048133</v>
      </c>
    </row>
    <row r="234" spans="1:8">
      <c r="A234" s="18">
        <f>IFERROR(INDEX('Raw Data'!$D$5:$D$400,MATCH($B234,'Raw Data'!$H$5:$H$400,0)),"")</f>
        <v>46214.883333333331</v>
      </c>
      <c r="B234" s="29" t="s">
        <v>1101</v>
      </c>
      <c r="C234" s="2" t="str">
        <f>IFERROR(TRIM(INDEX('Raw Data'!$J$5:$J$400,MATCH($B234,'Raw Data'!$H$5:$H$400,0))),"")</f>
        <v>Dollar General #21742</v>
      </c>
      <c r="D234" s="15">
        <f>IFERROR(INDEX('Store List'!$B$4:$B$300,MATCH($C234,'Store List'!$A$4:$A$300,0)),"")</f>
        <v>46189</v>
      </c>
      <c r="E234" t="s">
        <v>1147</v>
      </c>
      <c r="F234" t="s">
        <v>1250</v>
      </c>
      <c r="G234" s="4" t="str">
        <f>IF($E234="","",IFERROR(IF(OR(NOT(ISNUMBER($D234)),NOT(ISNUMBER(INDEX(Settings!$E$4:$E$80,MATCH($E234,Settings!$A$4:$A$80,0))))),"No",IF($D234&gt;INDEX(Settings!$E$4:$E$80,MATCH($E234,Settings!$A$4:$A$80,0)),"Yes","No")),""))</f>
        <v>Yes</v>
      </c>
      <c r="H234" t="str">
        <f>IFERROR(TRIM(INDEX('Raw Data'!$S$5:$S$400,MATCH($B234,'Raw Data'!$H$5:$H$400,0))),"")</f>
        <v>RLN3MA / MY26E034942</v>
      </c>
    </row>
    <row r="235" spans="1:8" hidden="1">
      <c r="A235" s="18">
        <f>IFERROR(INDEX('Raw Data'!$D$5:$D$400,MATCH($B235,'Raw Data'!$H$5:$H$400,0)),"")</f>
        <v>46214.801388888889</v>
      </c>
      <c r="B235" s="29" t="s">
        <v>1103</v>
      </c>
      <c r="C235" s="2" t="str">
        <f>IFERROR(TRIM(INDEX('Raw Data'!$J$5:$J$400,MATCH($B235,'Raw Data'!$H$5:$H$400,0))),"")</f>
        <v>Dollar General #21548</v>
      </c>
      <c r="D235" s="15" t="str">
        <f>IFERROR(INDEX('Store List'!$B$4:$B$300,MATCH($C235,'Store List'!$A$4:$A$300,0)),"")</f>
        <v/>
      </c>
      <c r="E235" t="s">
        <v>1148</v>
      </c>
      <c r="F235" t="s">
        <v>1249</v>
      </c>
      <c r="G235" s="4" t="str">
        <f>IF($E235="","",IFERROR(IF(OR(NOT(ISNUMBER($D235)),NOT(ISNUMBER(INDEX(Settings!$E$4:$E$80,MATCH($E235,Settings!$A$4:$A$80,0))))),"No",IF($D235&gt;INDEX(Settings!$E$4:$E$80,MATCH($E235,Settings!$A$4:$A$80,0)),"Yes","No")),""))</f>
        <v>No</v>
      </c>
      <c r="H235" t="str">
        <f>IFERROR(TRIM(INDEX('Raw Data'!$S$5:$S$400,MATCH($B235,'Raw Data'!$H$5:$H$400,0))),"")</f>
        <v/>
      </c>
    </row>
    <row r="236" spans="1:8">
      <c r="A236" s="18">
        <f>IFERROR(INDEX('Raw Data'!$D$5:$D$400,MATCH($B236,'Raw Data'!$H$5:$H$400,0)),"")</f>
        <v>46214.6</v>
      </c>
      <c r="B236" s="29" t="s">
        <v>1109</v>
      </c>
      <c r="C236" s="2" t="str">
        <f>IFERROR(TRIM(INDEX('Raw Data'!$J$5:$J$400,MATCH($B236,'Raw Data'!$H$5:$H$400,0))),"")</f>
        <v>Dollar General #10520</v>
      </c>
      <c r="D236" s="15">
        <f>IFERROR(INDEX('Store List'!$B$4:$B$300,MATCH($C236,'Store List'!$A$4:$A$300,0)),"")</f>
        <v>46199</v>
      </c>
      <c r="E236" t="s">
        <v>1164</v>
      </c>
      <c r="F236" t="s">
        <v>1251</v>
      </c>
      <c r="G236" s="4" t="str">
        <f>IF($E236="","",IFERROR(IF(OR(NOT(ISNUMBER($D236)),NOT(ISNUMBER(INDEX(Settings!$E$4:$E$80,MATCH($E236,Settings!$A$4:$A$80,0))))),"No",IF($D236&gt;INDEX(Settings!$E$4:$E$80,MATCH($E236,Settings!$A$4:$A$80,0)),"Yes","No")),""))</f>
        <v>Yes</v>
      </c>
      <c r="H236" t="str">
        <f>IFERROR(TRIM(INDEX('Raw Data'!$S$5:$S$400,MATCH($B236,'Raw Data'!$H$5:$H$400,0))),"")</f>
        <v>RLN3MA / MY26E039362</v>
      </c>
    </row>
    <row r="237" spans="1:8">
      <c r="A237" s="18">
        <f>IFERROR(INDEX('Raw Data'!$D$5:$D$400,MATCH($B237,'Raw Data'!$H$5:$H$400,0)),"")</f>
        <v>46214.366666666669</v>
      </c>
      <c r="B237" s="30" t="s">
        <v>1111</v>
      </c>
      <c r="C237" s="2" t="str">
        <f>IFERROR(TRIM(INDEX('Raw Data'!$J$5:$J$400,MATCH($B237,'Raw Data'!$H$5:$H$400,0))),"")</f>
        <v>Dollar General #22086</v>
      </c>
      <c r="D237" s="15">
        <f>IFERROR(INDEX('Store List'!$B$4:$B$300,MATCH($C237,'Store List'!$A$4:$A$300,0)),"")</f>
        <v>46195</v>
      </c>
      <c r="E237" t="s">
        <v>1155</v>
      </c>
      <c r="F237" s="74" t="s">
        <v>1252</v>
      </c>
      <c r="G237" s="4" t="str">
        <f>IF($E237="","",IFERROR(IF(OR(NOT(ISNUMBER($D237)),NOT(ISNUMBER(INDEX(Settings!$E$4:$E$80,MATCH($E237,Settings!$A$4:$A$80,0))))),"No",IF($D237&gt;INDEX(Settings!$E$4:$E$80,MATCH($E237,Settings!$A$4:$A$80,0)),"Yes","No")),""))</f>
        <v>Yes</v>
      </c>
      <c r="H237" t="str">
        <f>IFERROR(TRIM(INDEX('Raw Data'!$S$5:$S$400,MATCH($B237,'Raw Data'!$H$5:$H$400,0))),"")</f>
        <v>RLN3MA MY26E039361</v>
      </c>
    </row>
    <row r="238" spans="1:8">
      <c r="A238" s="18">
        <f>IFERROR(INDEX('Raw Data'!$D$5:$D$400,MATCH($B238,'Raw Data'!$H$5:$H$400,0)),"")</f>
        <v>46213.665972222225</v>
      </c>
      <c r="B238" s="29" t="s">
        <v>1117</v>
      </c>
      <c r="C238" s="2" t="str">
        <f>IFERROR(TRIM(INDEX('Raw Data'!$J$5:$J$400,MATCH($B238,'Raw Data'!$H$5:$H$400,0))),"")</f>
        <v>Dollar General #10520</v>
      </c>
      <c r="D238" s="15">
        <f>IFERROR(INDEX('Store List'!$B$4:$B$300,MATCH($C238,'Store List'!$A$4:$A$300,0)),"")</f>
        <v>46199</v>
      </c>
      <c r="E238" t="s">
        <v>1164</v>
      </c>
      <c r="F238" t="s">
        <v>1253</v>
      </c>
      <c r="G238" s="4" t="str">
        <f>IF($E238="","",IFERROR(IF(OR(NOT(ISNUMBER($D238)),NOT(ISNUMBER(INDEX(Settings!$E$4:$E$80,MATCH($E238,Settings!$A$4:$A$80,0))))),"No",IF($D238&gt;INDEX(Settings!$E$4:$E$80,MATCH($E238,Settings!$A$4:$A$80,0)),"Yes","No")),""))</f>
        <v>Yes</v>
      </c>
      <c r="H238" t="str">
        <f>IFERROR(TRIM(INDEX('Raw Data'!$S$5:$S$400,MATCH($B238,'Raw Data'!$H$5:$H$400,0))),"")</f>
        <v>RLN3MA / MY26E039362</v>
      </c>
    </row>
    <row r="239" spans="1:8" hidden="1">
      <c r="A239" s="18">
        <f>IFERROR(INDEX('Raw Data'!$D$5:$D$400,MATCH($B239,'Raw Data'!$H$5:$H$400,0)),"")</f>
        <v>46213.586111111108</v>
      </c>
      <c r="B239" s="29" t="s">
        <v>1122</v>
      </c>
      <c r="C239" s="2" t="str">
        <f>IFERROR(TRIM(INDEX('Raw Data'!$J$5:$J$400,MATCH($B239,'Raw Data'!$H$5:$H$400,0))),"")</f>
        <v>Dollar General #12377</v>
      </c>
      <c r="D239" s="15">
        <f>IFERROR(INDEX('Store List'!$B$4:$B$300,MATCH($C239,'Store List'!$A$4:$A$300,0)),"")</f>
        <v>46211</v>
      </c>
      <c r="E239" t="s">
        <v>1147</v>
      </c>
      <c r="F239" t="s">
        <v>1254</v>
      </c>
      <c r="G239" s="4" t="str">
        <f>IF($E239="","",IFERROR(IF(OR(NOT(ISNUMBER($D239)),NOT(ISNUMBER(INDEX(Settings!$E$4:$E$80,MATCH($E239,Settings!$A$4:$A$80,0))))),"No",IF($D239&gt;INDEX(Settings!$E$4:$E$80,MATCH($E239,Settings!$A$4:$A$80,0)),"Yes","No")),""))</f>
        <v>Yes</v>
      </c>
      <c r="H239" t="str">
        <f>IFERROR(TRIM(INDEX('Raw Data'!$S$5:$S$400,MATCH($B239,'Raw Data'!$H$5:$H$400,0))),"")</f>
        <v>RMN4MA / MY26F048132</v>
      </c>
    </row>
    <row r="240" spans="1:8">
      <c r="A240" s="18">
        <f>IFERROR(INDEX('Raw Data'!$D$5:$D$400,MATCH($B240,'Raw Data'!$H$5:$H$400,0)),"")</f>
        <v>46213.418055555558</v>
      </c>
      <c r="B240" s="30" t="s">
        <v>1126</v>
      </c>
      <c r="C240" s="2" t="str">
        <f>IFERROR(TRIM(INDEX('Raw Data'!$J$5:$J$400,MATCH($B240,'Raw Data'!$H$5:$H$400,0))),"")</f>
        <v>Dollar General #2606</v>
      </c>
      <c r="D240" s="15">
        <f>IFERROR(INDEX('Store List'!$B$4:$B$300,MATCH($C240,'Store List'!$A$4:$A$300,0)),"")</f>
        <v>46209</v>
      </c>
      <c r="E240" t="s">
        <v>1146</v>
      </c>
      <c r="F240" t="s">
        <v>1255</v>
      </c>
      <c r="G240" s="4" t="str">
        <f>IF($E240="","",IFERROR(IF(OR(NOT(ISNUMBER($D240)),NOT(ISNUMBER(INDEX(Settings!$E$4:$E$80,MATCH($E240,Settings!$A$4:$A$80,0))))),"No",IF($D240&gt;INDEX(Settings!$E$4:$E$80,MATCH($E240,Settings!$A$4:$A$80,0)),"Yes","No")),""))</f>
        <v>No</v>
      </c>
      <c r="H240" t="str">
        <f>IFERROR(TRIM(INDEX('Raw Data'!$S$5:$S$400,MATCH($B240,'Raw Data'!$H$5:$H$400,0))),"")</f>
        <v>RMN3MA / MY26E039395</v>
      </c>
    </row>
    <row r="241" spans="1:7" hidden="1">
      <c r="A241" s="18"/>
      <c r="B241" s="30"/>
      <c r="C241" s="2"/>
      <c r="D241" s="15"/>
      <c r="G241" s="4"/>
    </row>
  </sheetData>
  <mergeCells count="1">
    <mergeCell ref="A1:H1"/>
  </mergeCells>
  <dataValidations count="1">
    <dataValidation allowBlank="1" showInputMessage="1" showErrorMessage="1" sqref="B143:B146 B225:B241"/>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14:formula1>
            <xm:f>Settings!$A$4:$A$80</xm:f>
          </x14:formula1>
          <xm:sqref>E5:E241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V169"/>
  <sheetViews>
    <sheetView showGridLines="0" topLeftCell="D117" workbookViewId="0">
      <selection activeCell="V168" sqref="V168"/>
    </sheetView>
  </sheetViews>
  <sheetFormatPr defaultColWidth="9" defaultRowHeight="13.2"/>
  <cols>
    <col min="1" max="3" width="12" style="35" hidden="1" customWidth="1"/>
    <col min="4" max="4" width="16" style="35" customWidth="1"/>
    <col min="5" max="6" width="9" style="35"/>
    <col min="7" max="7" width="11.69921875" style="35" customWidth="1"/>
    <col min="8" max="10" width="20" style="35" customWidth="1"/>
    <col min="11" max="12" width="14" style="35" customWidth="1"/>
    <col min="13" max="13" width="16.3984375" style="35" customWidth="1"/>
    <col min="14" max="22" width="14" style="35" customWidth="1"/>
    <col min="23" max="16384" width="9" style="35"/>
  </cols>
  <sheetData>
    <row r="1" spans="1:22">
      <c r="A1" s="34" t="s">
        <v>0</v>
      </c>
      <c r="B1" s="34" t="s">
        <v>0</v>
      </c>
      <c r="C1" s="34" t="s">
        <v>0</v>
      </c>
      <c r="D1" s="34" t="s">
        <v>0</v>
      </c>
      <c r="E1" s="34"/>
      <c r="F1" s="34"/>
      <c r="G1" s="34"/>
      <c r="H1" s="34"/>
      <c r="I1" s="34"/>
      <c r="J1" s="34"/>
      <c r="K1" s="34"/>
      <c r="L1" s="34"/>
      <c r="M1" s="34"/>
      <c r="N1" s="34"/>
      <c r="O1" s="34"/>
      <c r="P1" s="34"/>
      <c r="Q1" s="34"/>
      <c r="R1" s="34"/>
      <c r="S1" s="34"/>
      <c r="T1" s="34"/>
      <c r="U1" s="34"/>
      <c r="V1" s="34"/>
    </row>
    <row r="3" spans="1:22">
      <c r="A3" s="35" t="s">
        <v>1</v>
      </c>
      <c r="C3" s="35">
        <f>SUMPRODUCT(('Raw Data'!$H$5:$H$400&lt;&gt;"")*(COUNTIF('Raw Data'!$H$5:$H$400,'Raw Data'!$H$5:$H$400)&gt;1))</f>
        <v>4</v>
      </c>
      <c r="D3" s="36"/>
      <c r="E3" s="36"/>
      <c r="F3" s="36"/>
      <c r="G3" s="36"/>
      <c r="H3" s="36"/>
      <c r="I3" s="36"/>
      <c r="J3" s="36"/>
      <c r="K3" s="36"/>
      <c r="L3" s="36"/>
      <c r="M3" s="36"/>
      <c r="N3" s="36"/>
      <c r="O3" s="36"/>
      <c r="P3" s="36"/>
      <c r="Q3" s="36"/>
      <c r="R3" s="36"/>
      <c r="S3" s="36"/>
      <c r="T3" s="36"/>
      <c r="U3" s="36"/>
      <c r="V3" s="36"/>
    </row>
    <row r="4" spans="1:22" ht="39.6">
      <c r="A4" s="77" t="s">
        <v>2</v>
      </c>
      <c r="B4" s="78" t="s">
        <v>3</v>
      </c>
      <c r="C4" s="78" t="s">
        <v>4</v>
      </c>
      <c r="D4" s="79" t="s">
        <v>5</v>
      </c>
      <c r="E4" s="79" t="s">
        <v>6</v>
      </c>
      <c r="F4" s="79" t="s">
        <v>7</v>
      </c>
      <c r="G4" s="79" t="s">
        <v>8</v>
      </c>
      <c r="H4" s="79" t="s">
        <v>9</v>
      </c>
      <c r="I4" s="79" t="s">
        <v>10</v>
      </c>
      <c r="J4" s="79" t="s">
        <v>11</v>
      </c>
      <c r="K4" s="79" t="s">
        <v>12</v>
      </c>
      <c r="L4" s="79" t="s">
        <v>13</v>
      </c>
      <c r="M4" s="79" t="s">
        <v>14</v>
      </c>
      <c r="N4" s="79" t="s">
        <v>15</v>
      </c>
      <c r="O4" s="79" t="s">
        <v>16</v>
      </c>
      <c r="P4" s="79" t="s">
        <v>17</v>
      </c>
      <c r="Q4" s="79" t="s">
        <v>18</v>
      </c>
      <c r="R4" s="79" t="s">
        <v>19</v>
      </c>
      <c r="S4" s="79" t="s">
        <v>20</v>
      </c>
      <c r="T4" s="79" t="s">
        <v>21</v>
      </c>
      <c r="U4" s="79" t="s">
        <v>22</v>
      </c>
      <c r="V4" s="79" t="s">
        <v>23</v>
      </c>
    </row>
    <row r="5" spans="1:22">
      <c r="A5" s="37"/>
      <c r="B5" s="38"/>
      <c r="C5" s="38"/>
      <c r="D5" s="39">
        <v>46209.673611111109</v>
      </c>
      <c r="E5" s="40"/>
      <c r="F5" s="40" t="s">
        <v>24</v>
      </c>
      <c r="G5" s="41">
        <v>46209</v>
      </c>
      <c r="H5" s="40" t="s">
        <v>25</v>
      </c>
      <c r="I5" s="40" t="s">
        <v>26</v>
      </c>
      <c r="J5" s="40" t="s">
        <v>27</v>
      </c>
      <c r="K5" s="40" t="s">
        <v>28</v>
      </c>
      <c r="L5" s="40" t="s">
        <v>29</v>
      </c>
      <c r="M5" s="40" t="s">
        <v>30</v>
      </c>
      <c r="N5" s="40" t="s">
        <v>31</v>
      </c>
      <c r="O5" s="40" t="s">
        <v>32</v>
      </c>
      <c r="P5" s="40"/>
      <c r="Q5" s="40"/>
      <c r="R5" s="40"/>
      <c r="S5" s="40" t="s">
        <v>33</v>
      </c>
      <c r="T5" s="40"/>
      <c r="U5" s="40" t="s">
        <v>34</v>
      </c>
      <c r="V5" s="40" t="s">
        <v>35</v>
      </c>
    </row>
    <row r="6" spans="1:22">
      <c r="A6" s="37"/>
      <c r="B6" s="38"/>
      <c r="C6" s="38"/>
      <c r="D6" s="39">
        <v>46209.640972222223</v>
      </c>
      <c r="E6" s="40"/>
      <c r="F6" s="40" t="s">
        <v>36</v>
      </c>
      <c r="G6" s="41">
        <v>46210</v>
      </c>
      <c r="H6" s="40" t="s">
        <v>37</v>
      </c>
      <c r="I6" s="40" t="s">
        <v>38</v>
      </c>
      <c r="J6" s="40" t="s">
        <v>39</v>
      </c>
      <c r="K6" s="40" t="s">
        <v>40</v>
      </c>
      <c r="L6" s="40" t="s">
        <v>29</v>
      </c>
      <c r="M6" s="40" t="s">
        <v>41</v>
      </c>
      <c r="N6" s="40" t="s">
        <v>42</v>
      </c>
      <c r="O6" s="40" t="s">
        <v>43</v>
      </c>
      <c r="P6" s="40"/>
      <c r="Q6" s="40"/>
      <c r="R6" s="40"/>
      <c r="S6" s="40" t="s">
        <v>44</v>
      </c>
      <c r="T6" s="40"/>
      <c r="U6" s="40" t="s">
        <v>45</v>
      </c>
      <c r="V6" s="40" t="s">
        <v>46</v>
      </c>
    </row>
    <row r="7" spans="1:22">
      <c r="A7" s="37"/>
      <c r="B7" s="38"/>
      <c r="C7" s="38"/>
      <c r="D7" s="39">
        <v>46209.491666666669</v>
      </c>
      <c r="E7" s="40" t="s">
        <v>47</v>
      </c>
      <c r="F7" s="40" t="s">
        <v>48</v>
      </c>
      <c r="G7" s="41"/>
      <c r="H7" s="40" t="s">
        <v>49</v>
      </c>
      <c r="I7" s="40" t="s">
        <v>50</v>
      </c>
      <c r="J7" s="40" t="s">
        <v>51</v>
      </c>
      <c r="K7" s="40" t="s">
        <v>52</v>
      </c>
      <c r="L7" s="40" t="s">
        <v>53</v>
      </c>
      <c r="M7" s="40" t="s">
        <v>54</v>
      </c>
      <c r="N7" s="40" t="s">
        <v>42</v>
      </c>
      <c r="O7" s="40" t="s">
        <v>55</v>
      </c>
      <c r="P7" s="40"/>
      <c r="Q7" s="40"/>
      <c r="R7" s="40"/>
      <c r="S7" s="40" t="s">
        <v>56</v>
      </c>
      <c r="T7" s="40"/>
      <c r="U7" s="40" t="s">
        <v>57</v>
      </c>
      <c r="V7" s="40"/>
    </row>
    <row r="8" spans="1:22">
      <c r="A8" s="37"/>
      <c r="B8" s="38"/>
      <c r="C8" s="38"/>
      <c r="D8" s="39">
        <v>46209.352777777778</v>
      </c>
      <c r="E8" s="40"/>
      <c r="F8" s="40" t="s">
        <v>24</v>
      </c>
      <c r="G8" s="41"/>
      <c r="H8" s="40" t="s">
        <v>58</v>
      </c>
      <c r="I8" s="40" t="s">
        <v>59</v>
      </c>
      <c r="J8" s="40" t="s">
        <v>60</v>
      </c>
      <c r="K8" s="40" t="s">
        <v>61</v>
      </c>
      <c r="L8" s="40" t="s">
        <v>62</v>
      </c>
      <c r="M8" s="40" t="s">
        <v>30</v>
      </c>
      <c r="N8" s="40" t="s">
        <v>31</v>
      </c>
      <c r="O8" s="40" t="s">
        <v>32</v>
      </c>
      <c r="P8" s="40"/>
      <c r="Q8" s="40"/>
      <c r="R8" s="40"/>
      <c r="S8" s="40" t="s">
        <v>63</v>
      </c>
      <c r="T8" s="40"/>
      <c r="U8" s="40" t="s">
        <v>34</v>
      </c>
      <c r="V8" s="40" t="s">
        <v>64</v>
      </c>
    </row>
    <row r="9" spans="1:22">
      <c r="A9" s="37"/>
      <c r="B9" s="38"/>
      <c r="C9" s="38"/>
      <c r="D9" s="39">
        <v>46206.952777777777</v>
      </c>
      <c r="E9" s="40"/>
      <c r="F9" s="40" t="s">
        <v>36</v>
      </c>
      <c r="G9" s="41">
        <v>46210</v>
      </c>
      <c r="H9" s="40" t="s">
        <v>65</v>
      </c>
      <c r="I9" s="40" t="s">
        <v>66</v>
      </c>
      <c r="J9" s="40" t="s">
        <v>67</v>
      </c>
      <c r="K9" s="40" t="s">
        <v>68</v>
      </c>
      <c r="L9" s="40" t="s">
        <v>69</v>
      </c>
      <c r="M9" s="40" t="s">
        <v>70</v>
      </c>
      <c r="N9" s="40" t="s">
        <v>42</v>
      </c>
      <c r="O9" s="40" t="s">
        <v>71</v>
      </c>
      <c r="P9" s="40"/>
      <c r="Q9" s="40"/>
      <c r="R9" s="40"/>
      <c r="S9" s="40" t="s">
        <v>72</v>
      </c>
      <c r="T9" s="40"/>
      <c r="U9" s="40" t="s">
        <v>73</v>
      </c>
      <c r="V9" s="40" t="s">
        <v>74</v>
      </c>
    </row>
    <row r="10" spans="1:22">
      <c r="A10" s="37"/>
      <c r="B10" s="38"/>
      <c r="C10" s="38"/>
      <c r="D10" s="39">
        <v>46206.943055555559</v>
      </c>
      <c r="E10" s="40" t="s">
        <v>75</v>
      </c>
      <c r="F10" s="40" t="s">
        <v>48</v>
      </c>
      <c r="G10" s="41"/>
      <c r="H10" s="40" t="s">
        <v>76</v>
      </c>
      <c r="I10" s="40" t="s">
        <v>38</v>
      </c>
      <c r="J10" s="40" t="s">
        <v>77</v>
      </c>
      <c r="K10" s="40" t="s">
        <v>78</v>
      </c>
      <c r="L10" s="40" t="s">
        <v>29</v>
      </c>
      <c r="M10" s="40" t="s">
        <v>79</v>
      </c>
      <c r="N10" s="40" t="s">
        <v>42</v>
      </c>
      <c r="O10" s="40" t="s">
        <v>80</v>
      </c>
      <c r="P10" s="40"/>
      <c r="Q10" s="40"/>
      <c r="R10" s="40"/>
      <c r="S10" s="40" t="s">
        <v>81</v>
      </c>
      <c r="T10" s="40"/>
      <c r="U10" s="40" t="s">
        <v>82</v>
      </c>
      <c r="V10" s="40" t="s">
        <v>83</v>
      </c>
    </row>
    <row r="11" spans="1:22">
      <c r="A11" s="37"/>
      <c r="B11" s="38"/>
      <c r="C11" s="38"/>
      <c r="D11" s="39">
        <v>46206.611111111109</v>
      </c>
      <c r="E11" s="40"/>
      <c r="F11" s="40" t="s">
        <v>36</v>
      </c>
      <c r="G11" s="41"/>
      <c r="H11" s="40" t="s">
        <v>84</v>
      </c>
      <c r="I11" s="40" t="s">
        <v>66</v>
      </c>
      <c r="J11" s="40" t="s">
        <v>85</v>
      </c>
      <c r="K11" s="40" t="s">
        <v>86</v>
      </c>
      <c r="L11" s="40" t="s">
        <v>87</v>
      </c>
      <c r="M11" s="40" t="s">
        <v>30</v>
      </c>
      <c r="N11" s="40" t="s">
        <v>31</v>
      </c>
      <c r="O11" s="40" t="s">
        <v>43</v>
      </c>
      <c r="P11" s="40"/>
      <c r="Q11" s="40"/>
      <c r="R11" s="40"/>
      <c r="S11" s="40" t="s">
        <v>88</v>
      </c>
      <c r="T11" s="40"/>
      <c r="U11" s="40" t="s">
        <v>34</v>
      </c>
      <c r="V11" s="40" t="s">
        <v>89</v>
      </c>
    </row>
    <row r="12" spans="1:22">
      <c r="A12" s="37"/>
      <c r="B12" s="38"/>
      <c r="C12" s="38"/>
      <c r="D12" s="39">
        <v>46206.036111111112</v>
      </c>
      <c r="E12" s="40" t="s">
        <v>90</v>
      </c>
      <c r="F12" s="40" t="s">
        <v>91</v>
      </c>
      <c r="G12" s="41"/>
      <c r="H12" s="40" t="s">
        <v>92</v>
      </c>
      <c r="I12" s="40" t="s">
        <v>93</v>
      </c>
      <c r="J12" s="40" t="s">
        <v>94</v>
      </c>
      <c r="K12" s="40" t="s">
        <v>95</v>
      </c>
      <c r="L12" s="40" t="s">
        <v>29</v>
      </c>
      <c r="M12" s="40" t="s">
        <v>30</v>
      </c>
      <c r="N12" s="40" t="s">
        <v>31</v>
      </c>
      <c r="O12" s="40" t="s">
        <v>43</v>
      </c>
      <c r="P12" s="40"/>
      <c r="Q12" s="40"/>
      <c r="R12" s="40"/>
      <c r="S12" s="40" t="s">
        <v>96</v>
      </c>
      <c r="T12" s="40"/>
      <c r="U12" s="40" t="s">
        <v>97</v>
      </c>
      <c r="V12" s="40" t="s">
        <v>83</v>
      </c>
    </row>
    <row r="13" spans="1:22">
      <c r="A13" s="37"/>
      <c r="B13" s="38"/>
      <c r="C13" s="38"/>
      <c r="D13" s="39">
        <v>46206</v>
      </c>
      <c r="E13" s="40" t="s">
        <v>98</v>
      </c>
      <c r="F13" s="40" t="s">
        <v>99</v>
      </c>
      <c r="G13" s="41"/>
      <c r="H13" s="40" t="s">
        <v>100</v>
      </c>
      <c r="I13" s="40" t="s">
        <v>93</v>
      </c>
      <c r="J13" s="40" t="s">
        <v>101</v>
      </c>
      <c r="K13" s="40" t="s">
        <v>102</v>
      </c>
      <c r="L13" s="40" t="s">
        <v>29</v>
      </c>
      <c r="M13" s="40" t="s">
        <v>103</v>
      </c>
      <c r="N13" s="40" t="s">
        <v>42</v>
      </c>
      <c r="O13" s="40" t="s">
        <v>43</v>
      </c>
      <c r="P13" s="40"/>
      <c r="Q13" s="40"/>
      <c r="R13" s="40"/>
      <c r="S13" s="40" t="s">
        <v>104</v>
      </c>
      <c r="T13" s="40"/>
      <c r="U13" s="40" t="s">
        <v>45</v>
      </c>
      <c r="V13" s="40" t="s">
        <v>105</v>
      </c>
    </row>
    <row r="14" spans="1:22">
      <c r="A14" s="37"/>
      <c r="B14" s="38"/>
      <c r="C14" s="38"/>
      <c r="D14" s="39">
        <v>46205.919444444437</v>
      </c>
      <c r="E14" s="40"/>
      <c r="F14" s="40" t="s">
        <v>24</v>
      </c>
      <c r="G14" s="41">
        <v>46206</v>
      </c>
      <c r="H14" s="40" t="s">
        <v>106</v>
      </c>
      <c r="I14" s="40" t="s">
        <v>107</v>
      </c>
      <c r="J14" s="40" t="s">
        <v>108</v>
      </c>
      <c r="K14" s="40" t="s">
        <v>109</v>
      </c>
      <c r="L14" s="40" t="s">
        <v>110</v>
      </c>
      <c r="M14" s="40" t="s">
        <v>30</v>
      </c>
      <c r="N14" s="40" t="s">
        <v>31</v>
      </c>
      <c r="O14" s="40" t="s">
        <v>43</v>
      </c>
      <c r="P14" s="40"/>
      <c r="Q14" s="40"/>
      <c r="R14" s="40"/>
      <c r="S14" s="40" t="s">
        <v>111</v>
      </c>
      <c r="T14" s="40"/>
      <c r="U14" s="40" t="s">
        <v>97</v>
      </c>
      <c r="V14" s="40" t="s">
        <v>112</v>
      </c>
    </row>
    <row r="15" spans="1:22">
      <c r="A15" s="37"/>
      <c r="B15" s="38"/>
      <c r="C15" s="38"/>
      <c r="D15" s="39">
        <v>46205</v>
      </c>
      <c r="E15" s="40"/>
      <c r="F15" s="40" t="s">
        <v>36</v>
      </c>
      <c r="G15" s="41">
        <v>46210</v>
      </c>
      <c r="H15" s="40" t="s">
        <v>113</v>
      </c>
      <c r="I15" s="40" t="s">
        <v>38</v>
      </c>
      <c r="J15" s="40" t="s">
        <v>114</v>
      </c>
      <c r="K15" s="40" t="s">
        <v>115</v>
      </c>
      <c r="L15" s="40" t="s">
        <v>29</v>
      </c>
      <c r="M15" s="40" t="s">
        <v>30</v>
      </c>
      <c r="N15" s="40" t="s">
        <v>31</v>
      </c>
      <c r="O15" s="40" t="s">
        <v>32</v>
      </c>
      <c r="P15" s="40"/>
      <c r="Q15" s="40"/>
      <c r="R15" s="40"/>
      <c r="S15" s="40" t="s">
        <v>116</v>
      </c>
      <c r="T15" s="40"/>
      <c r="U15" s="40" t="s">
        <v>97</v>
      </c>
      <c r="V15" s="40" t="s">
        <v>117</v>
      </c>
    </row>
    <row r="16" spans="1:22">
      <c r="A16" s="37"/>
      <c r="B16" s="38"/>
      <c r="C16" s="38"/>
      <c r="D16" s="39">
        <v>46205</v>
      </c>
      <c r="E16" s="40" t="s">
        <v>118</v>
      </c>
      <c r="F16" s="40" t="s">
        <v>119</v>
      </c>
      <c r="G16" s="41"/>
      <c r="H16" s="40" t="s">
        <v>120</v>
      </c>
      <c r="I16" s="40" t="s">
        <v>121</v>
      </c>
      <c r="J16" s="40" t="s">
        <v>122</v>
      </c>
      <c r="K16" s="40" t="s">
        <v>123</v>
      </c>
      <c r="L16" s="40" t="s">
        <v>124</v>
      </c>
      <c r="M16" s="40" t="s">
        <v>125</v>
      </c>
      <c r="N16" s="40" t="s">
        <v>126</v>
      </c>
      <c r="O16" s="40" t="s">
        <v>127</v>
      </c>
      <c r="P16" s="40"/>
      <c r="Q16" s="40"/>
      <c r="R16" s="40"/>
      <c r="S16" s="40"/>
      <c r="T16" s="40"/>
      <c r="U16" s="40"/>
      <c r="V16" s="40" t="s">
        <v>128</v>
      </c>
    </row>
    <row r="17" spans="1:22">
      <c r="A17" s="37"/>
      <c r="B17" s="38"/>
      <c r="C17" s="38"/>
      <c r="D17" s="39">
        <v>46205</v>
      </c>
      <c r="E17" s="40"/>
      <c r="F17" s="40" t="s">
        <v>36</v>
      </c>
      <c r="G17" s="41">
        <v>46205</v>
      </c>
      <c r="H17" s="40" t="s">
        <v>129</v>
      </c>
      <c r="I17" s="40" t="s">
        <v>93</v>
      </c>
      <c r="J17" s="40" t="s">
        <v>101</v>
      </c>
      <c r="K17" s="40" t="s">
        <v>130</v>
      </c>
      <c r="L17" s="40" t="s">
        <v>29</v>
      </c>
      <c r="M17" s="40" t="s">
        <v>30</v>
      </c>
      <c r="N17" s="40" t="s">
        <v>31</v>
      </c>
      <c r="O17" s="40" t="s">
        <v>32</v>
      </c>
      <c r="P17" s="40"/>
      <c r="Q17" s="40"/>
      <c r="R17" s="40"/>
      <c r="S17" s="40" t="s">
        <v>131</v>
      </c>
      <c r="T17" s="40"/>
      <c r="U17" s="40" t="s">
        <v>34</v>
      </c>
      <c r="V17" s="40" t="s">
        <v>132</v>
      </c>
    </row>
    <row r="18" spans="1:22">
      <c r="A18" s="37"/>
      <c r="B18" s="38"/>
      <c r="C18" s="38"/>
      <c r="D18" s="39">
        <v>46203</v>
      </c>
      <c r="E18" s="40"/>
      <c r="F18" s="40" t="s">
        <v>36</v>
      </c>
      <c r="G18" s="41">
        <v>46205</v>
      </c>
      <c r="H18" s="40" t="s">
        <v>133</v>
      </c>
      <c r="I18" s="40" t="s">
        <v>107</v>
      </c>
      <c r="J18" s="40" t="s">
        <v>134</v>
      </c>
      <c r="K18" s="40" t="s">
        <v>135</v>
      </c>
      <c r="L18" s="40" t="s">
        <v>136</v>
      </c>
      <c r="M18" s="40" t="s">
        <v>30</v>
      </c>
      <c r="N18" s="40" t="s">
        <v>31</v>
      </c>
      <c r="O18" s="40" t="s">
        <v>32</v>
      </c>
      <c r="P18" s="40"/>
      <c r="Q18" s="40"/>
      <c r="R18" s="40"/>
      <c r="S18" s="40" t="s">
        <v>137</v>
      </c>
      <c r="T18" s="40"/>
      <c r="U18" s="40" t="s">
        <v>97</v>
      </c>
      <c r="V18" s="40" t="s">
        <v>138</v>
      </c>
    </row>
    <row r="19" spans="1:22">
      <c r="A19" s="37"/>
      <c r="B19" s="38"/>
      <c r="C19" s="38"/>
      <c r="D19" s="39">
        <v>46203</v>
      </c>
      <c r="E19" s="40"/>
      <c r="F19" s="40" t="s">
        <v>24</v>
      </c>
      <c r="G19" s="41">
        <v>46204</v>
      </c>
      <c r="H19" s="40" t="s">
        <v>139</v>
      </c>
      <c r="I19" s="40" t="s">
        <v>66</v>
      </c>
      <c r="J19" s="40" t="s">
        <v>140</v>
      </c>
      <c r="K19" s="40" t="s">
        <v>141</v>
      </c>
      <c r="L19" s="40" t="s">
        <v>142</v>
      </c>
      <c r="M19" s="40" t="s">
        <v>30</v>
      </c>
      <c r="N19" s="40" t="s">
        <v>31</v>
      </c>
      <c r="O19" s="40" t="s">
        <v>43</v>
      </c>
      <c r="P19" s="40"/>
      <c r="Q19" s="40"/>
      <c r="R19" s="40"/>
      <c r="S19" s="40" t="s">
        <v>143</v>
      </c>
      <c r="T19" s="40"/>
      <c r="U19" s="40" t="s">
        <v>97</v>
      </c>
      <c r="V19" s="40" t="s">
        <v>144</v>
      </c>
    </row>
    <row r="20" spans="1:22">
      <c r="A20" s="37"/>
      <c r="B20" s="38"/>
      <c r="C20" s="38"/>
      <c r="D20" s="39">
        <v>46203</v>
      </c>
      <c r="E20" s="40"/>
      <c r="F20" s="40" t="s">
        <v>36</v>
      </c>
      <c r="G20" s="41">
        <v>46203</v>
      </c>
      <c r="H20" s="40" t="s">
        <v>145</v>
      </c>
      <c r="I20" s="40" t="s">
        <v>93</v>
      </c>
      <c r="J20" s="40" t="s">
        <v>146</v>
      </c>
      <c r="K20" s="40" t="s">
        <v>147</v>
      </c>
      <c r="L20" s="40" t="s">
        <v>29</v>
      </c>
      <c r="M20" s="40" t="s">
        <v>30</v>
      </c>
      <c r="N20" s="40" t="s">
        <v>31</v>
      </c>
      <c r="O20" s="40" t="s">
        <v>32</v>
      </c>
      <c r="P20" s="40"/>
      <c r="Q20" s="40"/>
      <c r="R20" s="40"/>
      <c r="S20" s="40" t="s">
        <v>148</v>
      </c>
      <c r="T20" s="40"/>
      <c r="U20" s="40" t="s">
        <v>34</v>
      </c>
      <c r="V20" s="40" t="s">
        <v>149</v>
      </c>
    </row>
    <row r="21" spans="1:22">
      <c r="A21" s="37"/>
      <c r="B21" s="38"/>
      <c r="C21" s="38"/>
      <c r="D21" s="39">
        <v>46202</v>
      </c>
      <c r="E21" s="40" t="s">
        <v>150</v>
      </c>
      <c r="F21" s="40" t="s">
        <v>151</v>
      </c>
      <c r="G21" s="41"/>
      <c r="H21" s="40" t="s">
        <v>152</v>
      </c>
      <c r="I21" s="40" t="s">
        <v>59</v>
      </c>
      <c r="J21" s="40" t="s">
        <v>153</v>
      </c>
      <c r="K21" s="40" t="s">
        <v>154</v>
      </c>
      <c r="L21" s="40" t="s">
        <v>29</v>
      </c>
      <c r="M21" s="40" t="s">
        <v>30</v>
      </c>
      <c r="N21" s="40" t="s">
        <v>31</v>
      </c>
      <c r="O21" s="40" t="s">
        <v>32</v>
      </c>
      <c r="P21" s="40"/>
      <c r="Q21" s="40"/>
      <c r="R21" s="40"/>
      <c r="S21" s="40" t="s">
        <v>155</v>
      </c>
      <c r="T21" s="40"/>
      <c r="U21" s="40" t="s">
        <v>97</v>
      </c>
      <c r="V21" s="40"/>
    </row>
    <row r="22" spans="1:22">
      <c r="A22" s="37"/>
      <c r="B22" s="38"/>
      <c r="C22" s="38"/>
      <c r="D22" s="39">
        <v>46200.147916666669</v>
      </c>
      <c r="E22" s="40"/>
      <c r="F22" s="40" t="s">
        <v>36</v>
      </c>
      <c r="G22" s="41">
        <v>46200</v>
      </c>
      <c r="H22" s="40" t="s">
        <v>156</v>
      </c>
      <c r="I22" s="40" t="s">
        <v>66</v>
      </c>
      <c r="J22" s="40" t="s">
        <v>157</v>
      </c>
      <c r="K22" s="40" t="s">
        <v>158</v>
      </c>
      <c r="L22" s="40" t="s">
        <v>87</v>
      </c>
      <c r="M22" s="40" t="s">
        <v>30</v>
      </c>
      <c r="N22" s="40" t="s">
        <v>31</v>
      </c>
      <c r="O22" s="40" t="s">
        <v>32</v>
      </c>
      <c r="P22" s="40"/>
      <c r="Q22" s="40"/>
      <c r="R22" s="40"/>
      <c r="S22" s="40" t="s">
        <v>159</v>
      </c>
      <c r="T22" s="40"/>
      <c r="U22" s="40" t="s">
        <v>97</v>
      </c>
      <c r="V22" s="40" t="s">
        <v>160</v>
      </c>
    </row>
    <row r="23" spans="1:22">
      <c r="A23" s="37"/>
      <c r="B23" s="38"/>
      <c r="C23" s="38"/>
      <c r="D23" s="39">
        <v>46199.431250000001</v>
      </c>
      <c r="E23" s="40"/>
      <c r="F23" s="40" t="s">
        <v>91</v>
      </c>
      <c r="G23" s="41"/>
      <c r="H23" s="40" t="s">
        <v>161</v>
      </c>
      <c r="I23" s="40" t="s">
        <v>93</v>
      </c>
      <c r="J23" s="40" t="s">
        <v>162</v>
      </c>
      <c r="K23" s="40" t="s">
        <v>163</v>
      </c>
      <c r="L23" s="40" t="s">
        <v>29</v>
      </c>
      <c r="M23" s="40" t="s">
        <v>164</v>
      </c>
      <c r="N23" s="40" t="s">
        <v>42</v>
      </c>
      <c r="O23" s="40" t="s">
        <v>32</v>
      </c>
      <c r="P23" s="40"/>
      <c r="Q23" s="40"/>
      <c r="R23" s="40"/>
      <c r="S23" s="40" t="s">
        <v>165</v>
      </c>
      <c r="T23" s="40"/>
      <c r="U23" s="40" t="s">
        <v>166</v>
      </c>
      <c r="V23" s="40" t="s">
        <v>167</v>
      </c>
    </row>
    <row r="24" spans="1:22">
      <c r="A24" s="37"/>
      <c r="B24" s="38"/>
      <c r="C24" s="38"/>
      <c r="D24" s="39">
        <v>46199.416666666657</v>
      </c>
      <c r="E24" s="40"/>
      <c r="F24" s="40" t="s">
        <v>36</v>
      </c>
      <c r="G24" s="41">
        <v>46200</v>
      </c>
      <c r="H24" s="40" t="s">
        <v>168</v>
      </c>
      <c r="I24" s="40" t="s">
        <v>93</v>
      </c>
      <c r="J24" s="40" t="s">
        <v>146</v>
      </c>
      <c r="K24" s="40" t="s">
        <v>147</v>
      </c>
      <c r="L24" s="40" t="s">
        <v>29</v>
      </c>
      <c r="M24" s="40" t="s">
        <v>169</v>
      </c>
      <c r="N24" s="40" t="s">
        <v>42</v>
      </c>
      <c r="O24" s="40" t="s">
        <v>32</v>
      </c>
      <c r="P24" s="40"/>
      <c r="Q24" s="40"/>
      <c r="R24" s="40"/>
      <c r="S24" s="40" t="s">
        <v>170</v>
      </c>
      <c r="T24" s="40"/>
      <c r="U24" s="40" t="s">
        <v>171</v>
      </c>
      <c r="V24" s="40" t="s">
        <v>172</v>
      </c>
    </row>
    <row r="25" spans="1:22">
      <c r="A25" s="37"/>
      <c r="B25" s="38"/>
      <c r="C25" s="38"/>
      <c r="D25" s="39">
        <v>46199.177083333343</v>
      </c>
      <c r="E25" s="40"/>
      <c r="F25" s="40" t="s">
        <v>36</v>
      </c>
      <c r="G25" s="41">
        <v>46200</v>
      </c>
      <c r="H25" s="40" t="s">
        <v>173</v>
      </c>
      <c r="I25" s="40" t="s">
        <v>66</v>
      </c>
      <c r="J25" s="40" t="s">
        <v>174</v>
      </c>
      <c r="K25" s="40" t="s">
        <v>175</v>
      </c>
      <c r="L25" s="40" t="s">
        <v>87</v>
      </c>
      <c r="M25" s="40" t="s">
        <v>30</v>
      </c>
      <c r="N25" s="40" t="s">
        <v>31</v>
      </c>
      <c r="O25" s="40" t="s">
        <v>32</v>
      </c>
      <c r="P25" s="40"/>
      <c r="Q25" s="40"/>
      <c r="R25" s="40"/>
      <c r="S25" s="40" t="s">
        <v>176</v>
      </c>
      <c r="T25" s="40"/>
      <c r="U25" s="40" t="s">
        <v>97</v>
      </c>
      <c r="V25" s="40" t="s">
        <v>177</v>
      </c>
    </row>
    <row r="26" spans="1:22">
      <c r="A26" s="37"/>
      <c r="B26" s="38"/>
      <c r="C26" s="38"/>
      <c r="D26" s="39">
        <v>46198.496527777781</v>
      </c>
      <c r="E26" s="40"/>
      <c r="F26" s="40" t="s">
        <v>36</v>
      </c>
      <c r="G26" s="41">
        <v>46199</v>
      </c>
      <c r="H26" s="40" t="s">
        <v>178</v>
      </c>
      <c r="I26" s="40" t="s">
        <v>66</v>
      </c>
      <c r="J26" s="40" t="s">
        <v>179</v>
      </c>
      <c r="K26" s="40" t="s">
        <v>180</v>
      </c>
      <c r="L26" s="40" t="s">
        <v>29</v>
      </c>
      <c r="M26" s="40" t="s">
        <v>30</v>
      </c>
      <c r="N26" s="40" t="s">
        <v>31</v>
      </c>
      <c r="O26" s="40" t="s">
        <v>32</v>
      </c>
      <c r="P26" s="40"/>
      <c r="Q26" s="40"/>
      <c r="R26" s="40"/>
      <c r="S26" s="40" t="s">
        <v>181</v>
      </c>
      <c r="T26" s="40"/>
      <c r="U26" s="40" t="s">
        <v>97</v>
      </c>
      <c r="V26" s="40" t="s">
        <v>182</v>
      </c>
    </row>
    <row r="27" spans="1:22">
      <c r="A27" s="37"/>
      <c r="B27" s="38"/>
      <c r="C27" s="38"/>
      <c r="D27" s="39">
        <v>46198.311805555553</v>
      </c>
      <c r="E27" s="40"/>
      <c r="F27" s="40" t="s">
        <v>36</v>
      </c>
      <c r="G27" s="41">
        <v>46199</v>
      </c>
      <c r="H27" s="40" t="s">
        <v>183</v>
      </c>
      <c r="I27" s="40" t="s">
        <v>66</v>
      </c>
      <c r="J27" s="40" t="s">
        <v>85</v>
      </c>
      <c r="K27" s="40" t="s">
        <v>184</v>
      </c>
      <c r="L27" s="40" t="s">
        <v>87</v>
      </c>
      <c r="M27" s="40" t="s">
        <v>30</v>
      </c>
      <c r="N27" s="40" t="s">
        <v>31</v>
      </c>
      <c r="O27" s="40" t="s">
        <v>32</v>
      </c>
      <c r="P27" s="40"/>
      <c r="Q27" s="40"/>
      <c r="R27" s="40"/>
      <c r="S27" s="40" t="s">
        <v>185</v>
      </c>
      <c r="T27" s="40"/>
      <c r="U27" s="40" t="s">
        <v>34</v>
      </c>
      <c r="V27" s="40" t="s">
        <v>186</v>
      </c>
    </row>
    <row r="28" spans="1:22">
      <c r="A28" s="37"/>
      <c r="B28" s="38"/>
      <c r="C28" s="38"/>
      <c r="D28" s="39">
        <v>46198.151388888888</v>
      </c>
      <c r="E28" s="40"/>
      <c r="F28" s="40" t="s">
        <v>36</v>
      </c>
      <c r="G28" s="41">
        <v>46198</v>
      </c>
      <c r="H28" s="40" t="s">
        <v>187</v>
      </c>
      <c r="I28" s="40" t="s">
        <v>107</v>
      </c>
      <c r="J28" s="40" t="s">
        <v>134</v>
      </c>
      <c r="K28" s="40" t="s">
        <v>135</v>
      </c>
      <c r="L28" s="40" t="s">
        <v>136</v>
      </c>
      <c r="M28" s="40" t="s">
        <v>30</v>
      </c>
      <c r="N28" s="40" t="s">
        <v>31</v>
      </c>
      <c r="O28" s="40" t="s">
        <v>188</v>
      </c>
      <c r="P28" s="40"/>
      <c r="Q28" s="40"/>
      <c r="R28" s="40"/>
      <c r="S28" s="40" t="s">
        <v>189</v>
      </c>
      <c r="T28" s="40"/>
      <c r="U28" s="40" t="s">
        <v>190</v>
      </c>
      <c r="V28" s="40" t="s">
        <v>191</v>
      </c>
    </row>
    <row r="29" spans="1:22">
      <c r="A29" s="37"/>
      <c r="B29" s="38"/>
      <c r="C29" s="38"/>
      <c r="D29" s="39">
        <v>46197.196527777778</v>
      </c>
      <c r="E29" s="40"/>
      <c r="F29" s="40" t="s">
        <v>36</v>
      </c>
      <c r="G29" s="41">
        <v>46198</v>
      </c>
      <c r="H29" s="40" t="s">
        <v>192</v>
      </c>
      <c r="I29" s="40" t="s">
        <v>193</v>
      </c>
      <c r="J29" s="40" t="s">
        <v>194</v>
      </c>
      <c r="K29" s="40" t="s">
        <v>195</v>
      </c>
      <c r="L29" s="40" t="s">
        <v>196</v>
      </c>
      <c r="M29" s="40" t="s">
        <v>197</v>
      </c>
      <c r="N29" s="40" t="s">
        <v>42</v>
      </c>
      <c r="O29" s="40" t="s">
        <v>43</v>
      </c>
      <c r="P29" s="40"/>
      <c r="Q29" s="40"/>
      <c r="R29" s="40"/>
      <c r="S29" s="40" t="s">
        <v>198</v>
      </c>
      <c r="T29" s="40"/>
      <c r="U29" s="40" t="s">
        <v>199</v>
      </c>
      <c r="V29" s="40" t="s">
        <v>200</v>
      </c>
    </row>
    <row r="30" spans="1:22">
      <c r="A30" s="37"/>
      <c r="B30" s="38"/>
      <c r="C30" s="38"/>
      <c r="D30" s="39">
        <v>46196.487500000003</v>
      </c>
      <c r="E30" s="40"/>
      <c r="F30" s="40" t="s">
        <v>36</v>
      </c>
      <c r="G30" s="41">
        <v>46199</v>
      </c>
      <c r="H30" s="40" t="s">
        <v>201</v>
      </c>
      <c r="I30" s="40" t="s">
        <v>193</v>
      </c>
      <c r="J30" s="40" t="s">
        <v>202</v>
      </c>
      <c r="K30" s="40" t="s">
        <v>203</v>
      </c>
      <c r="L30" s="40" t="s">
        <v>204</v>
      </c>
      <c r="M30" s="40" t="s">
        <v>205</v>
      </c>
      <c r="N30" s="40" t="s">
        <v>42</v>
      </c>
      <c r="O30" s="40" t="s">
        <v>71</v>
      </c>
      <c r="P30" s="40"/>
      <c r="Q30" s="40"/>
      <c r="R30" s="40"/>
      <c r="S30" s="40" t="s">
        <v>206</v>
      </c>
      <c r="T30" s="40"/>
      <c r="U30" s="40" t="s">
        <v>207</v>
      </c>
      <c r="V30" s="40" t="s">
        <v>208</v>
      </c>
    </row>
    <row r="31" spans="1:22">
      <c r="A31" s="37"/>
      <c r="B31" s="38"/>
      <c r="C31" s="38"/>
      <c r="D31" s="39">
        <v>46196.418749999997</v>
      </c>
      <c r="E31" s="40"/>
      <c r="F31" s="40" t="s">
        <v>36</v>
      </c>
      <c r="G31" s="41">
        <v>46196</v>
      </c>
      <c r="H31" s="40" t="s">
        <v>209</v>
      </c>
      <c r="I31" s="40" t="s">
        <v>210</v>
      </c>
      <c r="J31" s="40" t="s">
        <v>211</v>
      </c>
      <c r="K31" s="40" t="s">
        <v>212</v>
      </c>
      <c r="L31" s="40" t="s">
        <v>196</v>
      </c>
      <c r="M31" s="40" t="s">
        <v>213</v>
      </c>
      <c r="N31" s="40" t="s">
        <v>42</v>
      </c>
      <c r="O31" s="40" t="s">
        <v>32</v>
      </c>
      <c r="P31" s="40"/>
      <c r="Q31" s="40"/>
      <c r="R31" s="40"/>
      <c r="S31" s="40" t="s">
        <v>214</v>
      </c>
      <c r="T31" s="40"/>
      <c r="U31" s="40" t="s">
        <v>215</v>
      </c>
      <c r="V31" s="40" t="s">
        <v>216</v>
      </c>
    </row>
    <row r="32" spans="1:22">
      <c r="A32" s="37"/>
      <c r="B32" s="38"/>
      <c r="C32" s="38"/>
      <c r="D32" s="39">
        <v>46195.463194444441</v>
      </c>
      <c r="E32" s="40"/>
      <c r="F32" s="40" t="s">
        <v>36</v>
      </c>
      <c r="G32" s="41">
        <v>46195</v>
      </c>
      <c r="H32" s="40" t="s">
        <v>217</v>
      </c>
      <c r="I32" s="40" t="s">
        <v>66</v>
      </c>
      <c r="J32" s="40" t="s">
        <v>157</v>
      </c>
      <c r="K32" s="40" t="s">
        <v>158</v>
      </c>
      <c r="L32" s="40" t="s">
        <v>87</v>
      </c>
      <c r="M32" s="40" t="s">
        <v>30</v>
      </c>
      <c r="N32" s="40" t="s">
        <v>31</v>
      </c>
      <c r="O32" s="40" t="s">
        <v>43</v>
      </c>
      <c r="P32" s="40"/>
      <c r="Q32" s="40"/>
      <c r="R32" s="40"/>
      <c r="S32" s="40" t="s">
        <v>218</v>
      </c>
      <c r="T32" s="40"/>
      <c r="U32" s="40" t="s">
        <v>219</v>
      </c>
      <c r="V32" s="40" t="s">
        <v>220</v>
      </c>
    </row>
    <row r="33" spans="1:22">
      <c r="A33" s="37"/>
      <c r="B33" s="38"/>
      <c r="C33" s="38"/>
      <c r="D33" s="39">
        <v>46192.470833333333</v>
      </c>
      <c r="E33" s="40" t="s">
        <v>221</v>
      </c>
      <c r="F33" s="40" t="s">
        <v>119</v>
      </c>
      <c r="G33" s="41"/>
      <c r="H33" s="40" t="s">
        <v>222</v>
      </c>
      <c r="I33" s="40" t="s">
        <v>210</v>
      </c>
      <c r="J33" s="40" t="s">
        <v>223</v>
      </c>
      <c r="K33" s="40" t="s">
        <v>224</v>
      </c>
      <c r="L33" s="40" t="s">
        <v>196</v>
      </c>
      <c r="M33" s="40" t="s">
        <v>225</v>
      </c>
      <c r="N33" s="40" t="s">
        <v>42</v>
      </c>
      <c r="O33" s="40"/>
      <c r="P33" s="40"/>
      <c r="Q33" s="40"/>
      <c r="R33" s="40"/>
      <c r="S33" s="40" t="s">
        <v>226</v>
      </c>
      <c r="T33" s="40"/>
      <c r="U33" s="40" t="s">
        <v>227</v>
      </c>
      <c r="V33" s="40" t="s">
        <v>228</v>
      </c>
    </row>
    <row r="34" spans="1:22">
      <c r="A34" s="37"/>
      <c r="B34" s="38"/>
      <c r="C34" s="38"/>
      <c r="D34" s="39">
        <v>46191.436111111107</v>
      </c>
      <c r="E34" s="40"/>
      <c r="F34" s="40" t="s">
        <v>36</v>
      </c>
      <c r="G34" s="41">
        <v>46192</v>
      </c>
      <c r="H34" s="40" t="s">
        <v>229</v>
      </c>
      <c r="I34" s="40" t="s">
        <v>210</v>
      </c>
      <c r="J34" s="40" t="s">
        <v>223</v>
      </c>
      <c r="K34" s="40" t="s">
        <v>224</v>
      </c>
      <c r="L34" s="40" t="s">
        <v>196</v>
      </c>
      <c r="M34" s="40" t="s">
        <v>230</v>
      </c>
      <c r="N34" s="40" t="s">
        <v>42</v>
      </c>
      <c r="O34" s="40" t="s">
        <v>32</v>
      </c>
      <c r="P34" s="40"/>
      <c r="Q34" s="40"/>
      <c r="R34" s="40"/>
      <c r="S34" s="40" t="s">
        <v>214</v>
      </c>
      <c r="T34" s="40"/>
      <c r="U34" s="40" t="s">
        <v>231</v>
      </c>
      <c r="V34" s="40" t="s">
        <v>232</v>
      </c>
    </row>
    <row r="35" spans="1:22">
      <c r="A35" s="37"/>
      <c r="B35" s="38"/>
      <c r="C35" s="38"/>
      <c r="D35" s="39">
        <v>46191.277777777781</v>
      </c>
      <c r="E35" s="40"/>
      <c r="F35" s="40" t="s">
        <v>36</v>
      </c>
      <c r="G35" s="41">
        <v>46192</v>
      </c>
      <c r="H35" s="40" t="s">
        <v>233</v>
      </c>
      <c r="I35" s="40" t="s">
        <v>59</v>
      </c>
      <c r="J35" s="40" t="s">
        <v>234</v>
      </c>
      <c r="K35" s="40" t="s">
        <v>235</v>
      </c>
      <c r="L35" s="40" t="s">
        <v>62</v>
      </c>
      <c r="M35" s="40" t="s">
        <v>30</v>
      </c>
      <c r="N35" s="40" t="s">
        <v>31</v>
      </c>
      <c r="O35" s="40" t="s">
        <v>32</v>
      </c>
      <c r="P35" s="40"/>
      <c r="Q35" s="40"/>
      <c r="R35" s="40"/>
      <c r="S35" s="40" t="s">
        <v>236</v>
      </c>
      <c r="T35" s="40"/>
      <c r="U35" s="40" t="s">
        <v>231</v>
      </c>
      <c r="V35" s="40" t="s">
        <v>237</v>
      </c>
    </row>
    <row r="36" spans="1:22">
      <c r="A36" s="37"/>
      <c r="B36" s="38"/>
      <c r="C36" s="38"/>
      <c r="D36" s="39">
        <v>46191.088888888888</v>
      </c>
      <c r="E36" s="40" t="s">
        <v>238</v>
      </c>
      <c r="F36" s="40" t="s">
        <v>119</v>
      </c>
      <c r="G36" s="41"/>
      <c r="H36" s="40" t="s">
        <v>239</v>
      </c>
      <c r="I36" s="40" t="s">
        <v>66</v>
      </c>
      <c r="J36" s="40" t="s">
        <v>240</v>
      </c>
      <c r="K36" s="40" t="s">
        <v>141</v>
      </c>
      <c r="L36" s="40" t="s">
        <v>142</v>
      </c>
      <c r="M36" s="40" t="s">
        <v>30</v>
      </c>
      <c r="N36" s="40" t="s">
        <v>31</v>
      </c>
      <c r="O36" s="40" t="s">
        <v>32</v>
      </c>
      <c r="P36" s="40"/>
      <c r="Q36" s="40"/>
      <c r="R36" s="40"/>
      <c r="S36" s="40" t="s">
        <v>241</v>
      </c>
      <c r="T36" s="40"/>
      <c r="U36" s="40" t="s">
        <v>231</v>
      </c>
      <c r="V36" s="40"/>
    </row>
    <row r="37" spans="1:22">
      <c r="A37" s="37"/>
      <c r="B37" s="38"/>
      <c r="C37" s="38"/>
      <c r="D37" s="39">
        <v>46189.152083333327</v>
      </c>
      <c r="E37" s="40"/>
      <c r="F37" s="40" t="s">
        <v>36</v>
      </c>
      <c r="G37" s="41">
        <v>46189</v>
      </c>
      <c r="H37" s="40" t="s">
        <v>242</v>
      </c>
      <c r="I37" s="40" t="s">
        <v>210</v>
      </c>
      <c r="J37" s="40" t="s">
        <v>223</v>
      </c>
      <c r="K37" s="40" t="s">
        <v>224</v>
      </c>
      <c r="L37" s="40" t="s">
        <v>196</v>
      </c>
      <c r="M37" s="40" t="s">
        <v>243</v>
      </c>
      <c r="N37" s="40" t="s">
        <v>42</v>
      </c>
      <c r="O37" s="40" t="s">
        <v>32</v>
      </c>
      <c r="P37" s="40"/>
      <c r="Q37" s="40"/>
      <c r="R37" s="40"/>
      <c r="S37" s="40" t="s">
        <v>244</v>
      </c>
      <c r="T37" s="40"/>
      <c r="U37" s="40" t="s">
        <v>245</v>
      </c>
      <c r="V37" s="40" t="s">
        <v>246</v>
      </c>
    </row>
    <row r="38" spans="1:22">
      <c r="A38" s="37"/>
      <c r="B38" s="38"/>
      <c r="C38" s="38"/>
      <c r="D38" s="39">
        <v>46189.09652777778</v>
      </c>
      <c r="E38" s="40"/>
      <c r="F38" s="40" t="s">
        <v>36</v>
      </c>
      <c r="G38" s="41">
        <v>46189</v>
      </c>
      <c r="H38" s="40" t="s">
        <v>247</v>
      </c>
      <c r="I38" s="40" t="s">
        <v>26</v>
      </c>
      <c r="J38" s="40" t="s">
        <v>27</v>
      </c>
      <c r="K38" s="40" t="s">
        <v>28</v>
      </c>
      <c r="L38" s="40" t="s">
        <v>29</v>
      </c>
      <c r="M38" s="40" t="s">
        <v>30</v>
      </c>
      <c r="N38" s="40" t="s">
        <v>31</v>
      </c>
      <c r="O38" s="40" t="s">
        <v>43</v>
      </c>
      <c r="P38" s="40"/>
      <c r="Q38" s="40"/>
      <c r="R38" s="40"/>
      <c r="S38" s="40" t="s">
        <v>248</v>
      </c>
      <c r="T38" s="40"/>
      <c r="U38" s="40" t="s">
        <v>219</v>
      </c>
      <c r="V38" s="40" t="s">
        <v>249</v>
      </c>
    </row>
    <row r="39" spans="1:22">
      <c r="A39" s="37"/>
      <c r="B39" s="38"/>
      <c r="C39" s="38"/>
      <c r="D39" s="39">
        <v>46188.451388888891</v>
      </c>
      <c r="E39" s="40"/>
      <c r="F39" s="40" t="s">
        <v>36</v>
      </c>
      <c r="G39" s="41">
        <v>46196</v>
      </c>
      <c r="H39" s="40" t="s">
        <v>250</v>
      </c>
      <c r="I39" s="40" t="s">
        <v>59</v>
      </c>
      <c r="J39" s="40" t="s">
        <v>251</v>
      </c>
      <c r="K39" s="40" t="s">
        <v>252</v>
      </c>
      <c r="L39" s="40" t="s">
        <v>62</v>
      </c>
      <c r="M39" s="40" t="s">
        <v>253</v>
      </c>
      <c r="N39" s="40" t="s">
        <v>254</v>
      </c>
      <c r="O39" s="40" t="s">
        <v>32</v>
      </c>
      <c r="P39" s="40"/>
      <c r="Q39" s="40"/>
      <c r="R39" s="40"/>
      <c r="S39" s="40" t="s">
        <v>255</v>
      </c>
      <c r="T39" s="40"/>
      <c r="U39" s="40" t="s">
        <v>231</v>
      </c>
      <c r="V39" s="40" t="s">
        <v>256</v>
      </c>
    </row>
    <row r="40" spans="1:22">
      <c r="A40" s="37"/>
      <c r="B40" s="38"/>
      <c r="C40" s="38"/>
      <c r="D40" s="39">
        <v>46188.447222222218</v>
      </c>
      <c r="E40" s="40"/>
      <c r="F40" s="40" t="s">
        <v>36</v>
      </c>
      <c r="G40" s="41">
        <v>46188</v>
      </c>
      <c r="H40" s="40" t="s">
        <v>257</v>
      </c>
      <c r="I40" s="40" t="s">
        <v>93</v>
      </c>
      <c r="J40" s="40" t="s">
        <v>258</v>
      </c>
      <c r="K40" s="40" t="s">
        <v>259</v>
      </c>
      <c r="L40" s="40" t="s">
        <v>29</v>
      </c>
      <c r="M40" s="40" t="s">
        <v>30</v>
      </c>
      <c r="N40" s="40" t="s">
        <v>31</v>
      </c>
      <c r="O40" s="40" t="s">
        <v>43</v>
      </c>
      <c r="P40" s="40"/>
      <c r="Q40" s="40"/>
      <c r="R40" s="40"/>
      <c r="S40" s="40" t="s">
        <v>260</v>
      </c>
      <c r="T40" s="40"/>
      <c r="U40" s="40" t="s">
        <v>261</v>
      </c>
      <c r="V40" s="40" t="s">
        <v>262</v>
      </c>
    </row>
    <row r="41" spans="1:22">
      <c r="A41" s="37"/>
      <c r="B41" s="38"/>
      <c r="C41" s="38"/>
      <c r="D41" s="39">
        <v>46186.342361111107</v>
      </c>
      <c r="E41" s="40"/>
      <c r="F41" s="40" t="s">
        <v>36</v>
      </c>
      <c r="G41" s="41">
        <v>46186</v>
      </c>
      <c r="H41" s="40" t="s">
        <v>263</v>
      </c>
      <c r="I41" s="40" t="s">
        <v>210</v>
      </c>
      <c r="J41" s="40" t="s">
        <v>264</v>
      </c>
      <c r="K41" s="40" t="s">
        <v>265</v>
      </c>
      <c r="L41" s="40" t="s">
        <v>196</v>
      </c>
      <c r="M41" s="40" t="s">
        <v>30</v>
      </c>
      <c r="N41" s="40" t="s">
        <v>31</v>
      </c>
      <c r="O41" s="40" t="s">
        <v>43</v>
      </c>
      <c r="P41" s="40"/>
      <c r="Q41" s="40"/>
      <c r="R41" s="40"/>
      <c r="S41" s="40" t="s">
        <v>266</v>
      </c>
      <c r="T41" s="40" t="s">
        <v>267</v>
      </c>
      <c r="U41" s="40" t="s">
        <v>268</v>
      </c>
      <c r="V41" s="40" t="s">
        <v>269</v>
      </c>
    </row>
    <row r="42" spans="1:22">
      <c r="A42" s="37"/>
      <c r="B42" s="38"/>
      <c r="C42" s="38"/>
      <c r="D42" s="39">
        <v>46185.45208333333</v>
      </c>
      <c r="E42" s="40"/>
      <c r="F42" s="40" t="s">
        <v>36</v>
      </c>
      <c r="G42" s="41">
        <v>46186</v>
      </c>
      <c r="H42" s="40" t="s">
        <v>270</v>
      </c>
      <c r="I42" s="40" t="s">
        <v>210</v>
      </c>
      <c r="J42" s="40" t="s">
        <v>223</v>
      </c>
      <c r="K42" s="40" t="s">
        <v>224</v>
      </c>
      <c r="L42" s="40" t="s">
        <v>196</v>
      </c>
      <c r="M42" s="40" t="s">
        <v>271</v>
      </c>
      <c r="N42" s="40" t="s">
        <v>42</v>
      </c>
      <c r="O42" s="40" t="s">
        <v>32</v>
      </c>
      <c r="P42" s="40"/>
      <c r="Q42" s="40"/>
      <c r="R42" s="40"/>
      <c r="S42" s="40" t="s">
        <v>272</v>
      </c>
      <c r="T42" s="40" t="s">
        <v>267</v>
      </c>
      <c r="U42" s="40" t="s">
        <v>273</v>
      </c>
      <c r="V42" s="40" t="s">
        <v>274</v>
      </c>
    </row>
    <row r="43" spans="1:22">
      <c r="A43" s="37"/>
      <c r="B43" s="38"/>
      <c r="C43" s="38"/>
      <c r="D43" s="39">
        <v>46185.38958333333</v>
      </c>
      <c r="E43" s="40" t="s">
        <v>275</v>
      </c>
      <c r="F43" s="40" t="s">
        <v>151</v>
      </c>
      <c r="G43" s="41"/>
      <c r="H43" s="40" t="s">
        <v>276</v>
      </c>
      <c r="I43" s="40" t="s">
        <v>277</v>
      </c>
      <c r="J43" s="40" t="s">
        <v>278</v>
      </c>
      <c r="K43" s="40" t="s">
        <v>279</v>
      </c>
      <c r="L43" s="40" t="s">
        <v>136</v>
      </c>
      <c r="M43" s="40" t="s">
        <v>30</v>
      </c>
      <c r="N43" s="40" t="s">
        <v>280</v>
      </c>
      <c r="O43" s="40" t="s">
        <v>281</v>
      </c>
      <c r="P43" s="40"/>
      <c r="Q43" s="40"/>
      <c r="R43" s="40"/>
      <c r="S43" s="40" t="s">
        <v>282</v>
      </c>
      <c r="T43" s="40"/>
      <c r="U43" s="40" t="s">
        <v>283</v>
      </c>
      <c r="V43" s="40"/>
    </row>
    <row r="44" spans="1:22">
      <c r="A44" s="37"/>
      <c r="B44" s="38"/>
      <c r="C44" s="38"/>
      <c r="D44" s="39">
        <v>46185.326388888891</v>
      </c>
      <c r="E44" s="40" t="s">
        <v>275</v>
      </c>
      <c r="F44" s="40" t="s">
        <v>151</v>
      </c>
      <c r="G44" s="41"/>
      <c r="H44" s="40" t="s">
        <v>284</v>
      </c>
      <c r="I44" s="40"/>
      <c r="J44" s="40" t="s">
        <v>285</v>
      </c>
      <c r="K44" s="40" t="s">
        <v>286</v>
      </c>
      <c r="L44" s="40" t="s">
        <v>29</v>
      </c>
      <c r="M44" s="40" t="s">
        <v>30</v>
      </c>
      <c r="N44" s="40" t="s">
        <v>280</v>
      </c>
      <c r="O44" s="40" t="s">
        <v>281</v>
      </c>
      <c r="P44" s="40"/>
      <c r="Q44" s="40"/>
      <c r="R44" s="40"/>
      <c r="S44" s="40" t="s">
        <v>287</v>
      </c>
      <c r="T44" s="40"/>
      <c r="U44" s="40" t="s">
        <v>283</v>
      </c>
      <c r="V44" s="40"/>
    </row>
    <row r="45" spans="1:22">
      <c r="A45" s="37"/>
      <c r="B45" s="38"/>
      <c r="C45" s="38"/>
      <c r="D45" s="39">
        <v>46185.283333333333</v>
      </c>
      <c r="E45" s="40" t="s">
        <v>288</v>
      </c>
      <c r="F45" s="40" t="s">
        <v>151</v>
      </c>
      <c r="G45" s="41"/>
      <c r="H45" s="40" t="s">
        <v>289</v>
      </c>
      <c r="I45" s="40" t="s">
        <v>38</v>
      </c>
      <c r="J45" s="40" t="s">
        <v>290</v>
      </c>
      <c r="K45" s="40" t="s">
        <v>291</v>
      </c>
      <c r="L45" s="40" t="s">
        <v>29</v>
      </c>
      <c r="M45" s="40">
        <v>5097125</v>
      </c>
      <c r="N45" s="40" t="s">
        <v>42</v>
      </c>
      <c r="O45" s="40" t="s">
        <v>55</v>
      </c>
      <c r="P45" s="40"/>
      <c r="Q45" s="40"/>
      <c r="R45" s="40"/>
      <c r="S45" s="40" t="s">
        <v>292</v>
      </c>
      <c r="T45" s="40"/>
      <c r="U45" s="40" t="s">
        <v>293</v>
      </c>
      <c r="V45" s="40"/>
    </row>
    <row r="46" spans="1:22">
      <c r="A46" s="37"/>
      <c r="B46" s="38"/>
      <c r="C46" s="38"/>
      <c r="D46" s="39">
        <v>46185.274305555547</v>
      </c>
      <c r="E46" s="40" t="s">
        <v>275</v>
      </c>
      <c r="F46" s="40" t="s">
        <v>151</v>
      </c>
      <c r="G46" s="41"/>
      <c r="H46" s="40" t="s">
        <v>294</v>
      </c>
      <c r="I46" s="40"/>
      <c r="J46" s="40" t="s">
        <v>295</v>
      </c>
      <c r="K46" s="40" t="s">
        <v>296</v>
      </c>
      <c r="L46" s="40" t="s">
        <v>110</v>
      </c>
      <c r="M46" s="40" t="s">
        <v>30</v>
      </c>
      <c r="N46" s="40" t="s">
        <v>31</v>
      </c>
      <c r="O46" s="40" t="s">
        <v>281</v>
      </c>
      <c r="P46" s="40"/>
      <c r="Q46" s="40"/>
      <c r="R46" s="40"/>
      <c r="S46" s="40" t="s">
        <v>297</v>
      </c>
      <c r="T46" s="40"/>
      <c r="U46" s="40" t="s">
        <v>283</v>
      </c>
      <c r="V46" s="40"/>
    </row>
    <row r="47" spans="1:22">
      <c r="A47" s="37"/>
      <c r="B47" s="38"/>
      <c r="C47" s="38"/>
      <c r="D47" s="39">
        <v>46184.377083333333</v>
      </c>
      <c r="E47" s="40"/>
      <c r="F47" s="40" t="s">
        <v>36</v>
      </c>
      <c r="G47" s="41">
        <v>46185</v>
      </c>
      <c r="H47" s="40" t="s">
        <v>298</v>
      </c>
      <c r="I47" s="40" t="s">
        <v>210</v>
      </c>
      <c r="J47" s="40" t="s">
        <v>223</v>
      </c>
      <c r="K47" s="40" t="s">
        <v>224</v>
      </c>
      <c r="L47" s="40" t="s">
        <v>196</v>
      </c>
      <c r="M47" s="40" t="s">
        <v>30</v>
      </c>
      <c r="N47" s="40" t="s">
        <v>31</v>
      </c>
      <c r="O47" s="40" t="s">
        <v>299</v>
      </c>
      <c r="P47" s="40"/>
      <c r="Q47" s="40"/>
      <c r="R47" s="40"/>
      <c r="S47" s="40" t="s">
        <v>300</v>
      </c>
      <c r="T47" s="40" t="s">
        <v>267</v>
      </c>
      <c r="U47" s="40" t="s">
        <v>301</v>
      </c>
      <c r="V47" s="40" t="s">
        <v>302</v>
      </c>
    </row>
    <row r="48" spans="1:22">
      <c r="A48" s="37"/>
      <c r="B48" s="38"/>
      <c r="C48" s="38"/>
      <c r="D48" s="39">
        <v>46184.052083333343</v>
      </c>
      <c r="E48" s="40" t="s">
        <v>303</v>
      </c>
      <c r="F48" s="40" t="s">
        <v>36</v>
      </c>
      <c r="G48" s="41">
        <v>46185</v>
      </c>
      <c r="H48" s="40" t="s">
        <v>304</v>
      </c>
      <c r="I48" s="40" t="s">
        <v>210</v>
      </c>
      <c r="J48" s="40" t="s">
        <v>305</v>
      </c>
      <c r="K48" s="40" t="s">
        <v>306</v>
      </c>
      <c r="L48" s="40" t="s">
        <v>196</v>
      </c>
      <c r="M48" s="40" t="s">
        <v>307</v>
      </c>
      <c r="N48" s="40" t="s">
        <v>42</v>
      </c>
      <c r="O48" s="40" t="s">
        <v>308</v>
      </c>
      <c r="P48" s="40"/>
      <c r="Q48" s="40"/>
      <c r="R48" s="40"/>
      <c r="S48" s="40" t="s">
        <v>309</v>
      </c>
      <c r="T48" s="40"/>
      <c r="U48" s="40" t="s">
        <v>310</v>
      </c>
      <c r="V48" s="40" t="s">
        <v>311</v>
      </c>
    </row>
    <row r="49" spans="1:22">
      <c r="A49" s="37"/>
      <c r="B49" s="38"/>
      <c r="C49" s="38"/>
      <c r="D49" s="39">
        <v>46184</v>
      </c>
      <c r="E49" s="40"/>
      <c r="F49" s="40" t="s">
        <v>36</v>
      </c>
      <c r="G49" s="41">
        <v>46185</v>
      </c>
      <c r="H49" s="40" t="s">
        <v>312</v>
      </c>
      <c r="I49" s="40" t="s">
        <v>93</v>
      </c>
      <c r="J49" s="40" t="s">
        <v>313</v>
      </c>
      <c r="K49" s="40" t="s">
        <v>314</v>
      </c>
      <c r="L49" s="40" t="s">
        <v>29</v>
      </c>
      <c r="M49" s="40" t="s">
        <v>315</v>
      </c>
      <c r="N49" s="40" t="s">
        <v>42</v>
      </c>
      <c r="O49" s="40" t="s">
        <v>55</v>
      </c>
      <c r="P49" s="40"/>
      <c r="Q49" s="40"/>
      <c r="R49" s="40"/>
      <c r="S49" s="40" t="s">
        <v>316</v>
      </c>
      <c r="T49" s="40" t="s">
        <v>267</v>
      </c>
      <c r="U49" s="40" t="s">
        <v>317</v>
      </c>
      <c r="V49" s="40" t="s">
        <v>318</v>
      </c>
    </row>
    <row r="50" spans="1:22">
      <c r="A50" s="37"/>
      <c r="B50" s="38"/>
      <c r="C50" s="38"/>
      <c r="D50" s="39">
        <v>46183</v>
      </c>
      <c r="E50" s="40" t="s">
        <v>319</v>
      </c>
      <c r="F50" s="40" t="s">
        <v>48</v>
      </c>
      <c r="G50" s="41"/>
      <c r="H50" s="40" t="s">
        <v>320</v>
      </c>
      <c r="I50" s="40" t="s">
        <v>66</v>
      </c>
      <c r="J50" s="40" t="s">
        <v>321</v>
      </c>
      <c r="K50" s="40" t="s">
        <v>141</v>
      </c>
      <c r="L50" s="40" t="s">
        <v>142</v>
      </c>
      <c r="M50" s="40" t="s">
        <v>30</v>
      </c>
      <c r="N50" s="40" t="s">
        <v>31</v>
      </c>
      <c r="O50" s="40" t="s">
        <v>32</v>
      </c>
      <c r="P50" s="40"/>
      <c r="Q50" s="40"/>
      <c r="R50" s="40"/>
      <c r="S50" s="40" t="s">
        <v>322</v>
      </c>
      <c r="T50" s="40"/>
      <c r="U50" s="40" t="s">
        <v>231</v>
      </c>
      <c r="V50" s="40"/>
    </row>
    <row r="51" spans="1:22">
      <c r="A51" s="37"/>
      <c r="B51" s="38"/>
      <c r="C51" s="38"/>
      <c r="D51" s="39">
        <v>46183</v>
      </c>
      <c r="E51" s="40" t="s">
        <v>323</v>
      </c>
      <c r="F51" s="40" t="s">
        <v>324</v>
      </c>
      <c r="G51" s="41"/>
      <c r="H51" s="40" t="s">
        <v>325</v>
      </c>
      <c r="I51" s="40" t="s">
        <v>210</v>
      </c>
      <c r="J51" s="40" t="s">
        <v>326</v>
      </c>
      <c r="K51" s="40" t="s">
        <v>212</v>
      </c>
      <c r="L51" s="40" t="s">
        <v>196</v>
      </c>
      <c r="M51" s="40" t="s">
        <v>30</v>
      </c>
      <c r="N51" s="40" t="s">
        <v>31</v>
      </c>
      <c r="O51" s="40" t="s">
        <v>299</v>
      </c>
      <c r="P51" s="40"/>
      <c r="Q51" s="40"/>
      <c r="R51" s="40"/>
      <c r="S51" s="40" t="s">
        <v>327</v>
      </c>
      <c r="T51" s="40"/>
      <c r="U51" s="40" t="s">
        <v>328</v>
      </c>
      <c r="V51" s="40"/>
    </row>
    <row r="52" spans="1:22">
      <c r="A52" s="37"/>
      <c r="B52" s="38"/>
      <c r="C52" s="38"/>
      <c r="D52" s="39">
        <v>46183</v>
      </c>
      <c r="E52" s="40" t="s">
        <v>319</v>
      </c>
      <c r="F52" s="40" t="s">
        <v>48</v>
      </c>
      <c r="G52" s="41"/>
      <c r="H52" s="40" t="s">
        <v>320</v>
      </c>
      <c r="I52" s="40" t="s">
        <v>66</v>
      </c>
      <c r="J52" s="40" t="s">
        <v>321</v>
      </c>
      <c r="K52" s="40" t="s">
        <v>141</v>
      </c>
      <c r="L52" s="40" t="s">
        <v>142</v>
      </c>
      <c r="M52" s="40" t="s">
        <v>30</v>
      </c>
      <c r="N52" s="40" t="s">
        <v>31</v>
      </c>
      <c r="O52" s="40" t="s">
        <v>32</v>
      </c>
      <c r="P52" s="40"/>
      <c r="Q52" s="40"/>
      <c r="R52" s="40"/>
      <c r="S52" s="40" t="s">
        <v>322</v>
      </c>
      <c r="T52" s="40"/>
      <c r="U52" s="40" t="s">
        <v>231</v>
      </c>
      <c r="V52" s="40"/>
    </row>
    <row r="53" spans="1:22">
      <c r="A53" s="37"/>
      <c r="B53" s="38"/>
      <c r="C53" s="38"/>
      <c r="D53" s="39">
        <v>46182.395138888889</v>
      </c>
      <c r="E53" s="40"/>
      <c r="F53" s="40" t="s">
        <v>36</v>
      </c>
      <c r="G53" s="41">
        <v>46183</v>
      </c>
      <c r="H53" s="40" t="s">
        <v>329</v>
      </c>
      <c r="I53" s="40" t="s">
        <v>330</v>
      </c>
      <c r="J53" s="40" t="s">
        <v>331</v>
      </c>
      <c r="K53" s="40" t="s">
        <v>332</v>
      </c>
      <c r="L53" s="40" t="s">
        <v>136</v>
      </c>
      <c r="M53" s="40" t="s">
        <v>30</v>
      </c>
      <c r="N53" s="40" t="s">
        <v>31</v>
      </c>
      <c r="O53" s="40" t="s">
        <v>32</v>
      </c>
      <c r="P53" s="40"/>
      <c r="Q53" s="40"/>
      <c r="R53" s="40"/>
      <c r="S53" s="40" t="s">
        <v>333</v>
      </c>
      <c r="T53" s="40"/>
      <c r="U53" s="40" t="s">
        <v>34</v>
      </c>
      <c r="V53" s="40" t="s">
        <v>334</v>
      </c>
    </row>
    <row r="54" spans="1:22">
      <c r="A54" s="37"/>
      <c r="B54" s="38"/>
      <c r="C54" s="38"/>
      <c r="D54" s="39">
        <v>46182.1875</v>
      </c>
      <c r="E54" s="40"/>
      <c r="F54" s="40" t="s">
        <v>151</v>
      </c>
      <c r="G54" s="41"/>
      <c r="H54" s="40" t="s">
        <v>335</v>
      </c>
      <c r="I54" s="40" t="s">
        <v>59</v>
      </c>
      <c r="J54" s="40" t="s">
        <v>336</v>
      </c>
      <c r="K54" s="40" t="s">
        <v>337</v>
      </c>
      <c r="L54" s="40" t="s">
        <v>29</v>
      </c>
      <c r="M54" s="40" t="s">
        <v>338</v>
      </c>
      <c r="N54" s="40" t="s">
        <v>42</v>
      </c>
      <c r="O54" s="40" t="s">
        <v>55</v>
      </c>
      <c r="P54" s="40"/>
      <c r="Q54" s="40"/>
      <c r="R54" s="40"/>
      <c r="S54" s="40" t="s">
        <v>339</v>
      </c>
      <c r="T54" s="40"/>
      <c r="U54" s="40" t="s">
        <v>340</v>
      </c>
      <c r="V54" s="40"/>
    </row>
    <row r="55" spans="1:22">
      <c r="A55" s="37"/>
      <c r="B55" s="38"/>
      <c r="C55" s="38"/>
      <c r="D55" s="39">
        <v>46181.536805555559</v>
      </c>
      <c r="E55" s="40"/>
      <c r="F55" s="40" t="s">
        <v>48</v>
      </c>
      <c r="G55" s="41"/>
      <c r="H55" s="40" t="s">
        <v>341</v>
      </c>
      <c r="I55" s="40" t="s">
        <v>50</v>
      </c>
      <c r="J55" s="40" t="s">
        <v>342</v>
      </c>
      <c r="K55" s="40" t="s">
        <v>343</v>
      </c>
      <c r="L55" s="40" t="s">
        <v>136</v>
      </c>
      <c r="M55" s="40" t="s">
        <v>344</v>
      </c>
      <c r="N55" s="40" t="s">
        <v>42</v>
      </c>
      <c r="O55" s="40" t="s">
        <v>43</v>
      </c>
      <c r="P55" s="40"/>
      <c r="Q55" s="40"/>
      <c r="R55" s="40"/>
      <c r="S55" s="40" t="s">
        <v>345</v>
      </c>
      <c r="T55" s="40"/>
      <c r="U55" s="40" t="s">
        <v>346</v>
      </c>
      <c r="V55" s="40"/>
    </row>
    <row r="56" spans="1:22">
      <c r="A56" s="37"/>
      <c r="B56" s="38"/>
      <c r="C56" s="38"/>
      <c r="D56" s="39">
        <v>46181.424305555563</v>
      </c>
      <c r="E56" s="40" t="s">
        <v>347</v>
      </c>
      <c r="F56" s="40" t="s">
        <v>324</v>
      </c>
      <c r="G56" s="41"/>
      <c r="H56" s="40" t="s">
        <v>348</v>
      </c>
      <c r="I56" s="40" t="s">
        <v>93</v>
      </c>
      <c r="J56" s="40" t="s">
        <v>349</v>
      </c>
      <c r="K56" s="40" t="s">
        <v>350</v>
      </c>
      <c r="L56" s="40" t="s">
        <v>29</v>
      </c>
      <c r="M56" s="40" t="s">
        <v>30</v>
      </c>
      <c r="N56" s="40" t="s">
        <v>31</v>
      </c>
      <c r="O56" s="40" t="s">
        <v>32</v>
      </c>
      <c r="P56" s="40"/>
      <c r="Q56" s="40"/>
      <c r="R56" s="40"/>
      <c r="S56" s="40" t="s">
        <v>351</v>
      </c>
      <c r="T56" s="40"/>
      <c r="U56" s="40" t="s">
        <v>34</v>
      </c>
      <c r="V56" s="40"/>
    </row>
    <row r="57" spans="1:22">
      <c r="A57" s="37"/>
      <c r="B57" s="38"/>
      <c r="C57" s="38"/>
      <c r="D57" s="39">
        <v>46181.335416666669</v>
      </c>
      <c r="E57" s="40" t="s">
        <v>352</v>
      </c>
      <c r="F57" s="40" t="s">
        <v>48</v>
      </c>
      <c r="G57" s="41"/>
      <c r="H57" s="40" t="s">
        <v>353</v>
      </c>
      <c r="I57" s="40" t="s">
        <v>26</v>
      </c>
      <c r="J57" s="40" t="s">
        <v>27</v>
      </c>
      <c r="K57" s="40" t="s">
        <v>28</v>
      </c>
      <c r="L57" s="40" t="s">
        <v>29</v>
      </c>
      <c r="M57" s="40" t="s">
        <v>354</v>
      </c>
      <c r="N57" s="40" t="s">
        <v>42</v>
      </c>
      <c r="O57" s="40" t="s">
        <v>355</v>
      </c>
      <c r="P57" s="40"/>
      <c r="Q57" s="40"/>
      <c r="R57" s="40"/>
      <c r="S57" s="40" t="s">
        <v>272</v>
      </c>
      <c r="T57" s="40"/>
      <c r="U57" s="40" t="s">
        <v>356</v>
      </c>
      <c r="V57" s="40"/>
    </row>
    <row r="58" spans="1:22">
      <c r="A58" s="37"/>
      <c r="B58" s="38"/>
      <c r="C58" s="38"/>
      <c r="D58" s="39">
        <v>46181.536805555559</v>
      </c>
      <c r="E58" s="40"/>
      <c r="F58" s="40" t="s">
        <v>151</v>
      </c>
      <c r="G58" s="41"/>
      <c r="H58" s="40" t="s">
        <v>341</v>
      </c>
      <c r="I58" s="40" t="s">
        <v>50</v>
      </c>
      <c r="J58" s="40" t="s">
        <v>342</v>
      </c>
      <c r="K58" s="40" t="s">
        <v>343</v>
      </c>
      <c r="L58" s="40" t="s">
        <v>136</v>
      </c>
      <c r="M58" s="40" t="s">
        <v>344</v>
      </c>
      <c r="N58" s="40" t="s">
        <v>42</v>
      </c>
      <c r="O58" s="40" t="s">
        <v>43</v>
      </c>
      <c r="P58" s="40"/>
      <c r="Q58" s="40"/>
      <c r="R58" s="40"/>
      <c r="S58" s="40" t="s">
        <v>345</v>
      </c>
      <c r="T58" s="40"/>
      <c r="U58" s="40" t="s">
        <v>346</v>
      </c>
      <c r="V58" s="40"/>
    </row>
    <row r="59" spans="1:22">
      <c r="A59" s="37"/>
      <c r="B59" s="38"/>
      <c r="C59" s="38"/>
      <c r="D59" s="39">
        <v>46180.355555555558</v>
      </c>
      <c r="E59" s="40"/>
      <c r="F59" s="40" t="s">
        <v>357</v>
      </c>
      <c r="G59" s="41"/>
      <c r="H59" s="40" t="s">
        <v>358</v>
      </c>
      <c r="I59" s="40" t="s">
        <v>38</v>
      </c>
      <c r="J59" s="40" t="s">
        <v>39</v>
      </c>
      <c r="K59" s="40" t="s">
        <v>40</v>
      </c>
      <c r="L59" s="40" t="s">
        <v>29</v>
      </c>
      <c r="M59" s="40" t="s">
        <v>359</v>
      </c>
      <c r="N59" s="40" t="s">
        <v>360</v>
      </c>
      <c r="O59" s="40" t="s">
        <v>43</v>
      </c>
      <c r="P59" s="40"/>
      <c r="Q59" s="40"/>
      <c r="R59" s="40"/>
      <c r="S59" s="40" t="s">
        <v>361</v>
      </c>
      <c r="T59" s="40" t="s">
        <v>362</v>
      </c>
      <c r="U59" s="40" t="s">
        <v>363</v>
      </c>
      <c r="V59" s="40"/>
    </row>
    <row r="60" spans="1:22">
      <c r="A60" s="37"/>
      <c r="B60" s="38"/>
      <c r="C60" s="38"/>
      <c r="D60" s="39">
        <v>46179.472222222219</v>
      </c>
      <c r="E60" s="40" t="s">
        <v>364</v>
      </c>
      <c r="F60" s="40" t="s">
        <v>151</v>
      </c>
      <c r="G60" s="41"/>
      <c r="H60" s="40" t="s">
        <v>365</v>
      </c>
      <c r="I60" s="40" t="s">
        <v>365</v>
      </c>
      <c r="J60" s="40" t="s">
        <v>366</v>
      </c>
      <c r="K60" s="40" t="s">
        <v>367</v>
      </c>
      <c r="L60" s="40" t="s">
        <v>142</v>
      </c>
      <c r="M60" s="40" t="s">
        <v>368</v>
      </c>
      <c r="N60" s="40" t="s">
        <v>42</v>
      </c>
      <c r="O60" s="40" t="s">
        <v>369</v>
      </c>
      <c r="P60" s="40"/>
      <c r="Q60" s="40" t="s">
        <v>267</v>
      </c>
      <c r="R60" s="40"/>
      <c r="S60" s="40" t="s">
        <v>362</v>
      </c>
      <c r="T60" s="40"/>
      <c r="U60" s="40" t="s">
        <v>370</v>
      </c>
      <c r="V60" s="40" t="s">
        <v>371</v>
      </c>
    </row>
    <row r="61" spans="1:22">
      <c r="A61" s="37"/>
      <c r="B61" s="38"/>
      <c r="C61" s="38"/>
      <c r="D61" s="39">
        <v>46178.18472222222</v>
      </c>
      <c r="E61" s="40"/>
      <c r="F61" s="40" t="s">
        <v>357</v>
      </c>
      <c r="G61" s="41"/>
      <c r="H61" s="40" t="s">
        <v>372</v>
      </c>
      <c r="I61" s="40" t="s">
        <v>50</v>
      </c>
      <c r="J61" s="40" t="s">
        <v>373</v>
      </c>
      <c r="K61" s="40" t="s">
        <v>374</v>
      </c>
      <c r="L61" s="40" t="s">
        <v>53</v>
      </c>
      <c r="M61" s="40" t="s">
        <v>375</v>
      </c>
      <c r="N61" s="40" t="s">
        <v>42</v>
      </c>
      <c r="O61" s="40" t="s">
        <v>32</v>
      </c>
      <c r="P61" s="40" t="s">
        <v>376</v>
      </c>
      <c r="Q61" s="40"/>
      <c r="R61" s="40"/>
      <c r="S61" s="40" t="s">
        <v>377</v>
      </c>
      <c r="T61" s="40" t="s">
        <v>267</v>
      </c>
      <c r="U61" s="40" t="s">
        <v>378</v>
      </c>
      <c r="V61" s="40" t="s">
        <v>379</v>
      </c>
    </row>
    <row r="62" spans="1:22">
      <c r="A62" s="37"/>
      <c r="B62" s="38"/>
      <c r="C62" s="38"/>
      <c r="D62" s="39">
        <v>46177.498611111107</v>
      </c>
      <c r="E62" s="40" t="s">
        <v>380</v>
      </c>
      <c r="F62" s="40" t="s">
        <v>151</v>
      </c>
      <c r="G62" s="41"/>
      <c r="H62" s="40" t="s">
        <v>381</v>
      </c>
      <c r="I62" s="40" t="s">
        <v>382</v>
      </c>
      <c r="J62" s="40" t="s">
        <v>383</v>
      </c>
      <c r="K62" s="40" t="s">
        <v>384</v>
      </c>
      <c r="L62" s="40" t="s">
        <v>385</v>
      </c>
      <c r="M62" s="40" t="s">
        <v>386</v>
      </c>
      <c r="N62" s="40" t="s">
        <v>42</v>
      </c>
      <c r="O62" s="40" t="s">
        <v>387</v>
      </c>
      <c r="P62" s="40"/>
      <c r="Q62" s="40" t="s">
        <v>267</v>
      </c>
      <c r="R62" s="40"/>
      <c r="S62" s="40"/>
      <c r="T62" s="40"/>
      <c r="U62" s="40" t="s">
        <v>362</v>
      </c>
      <c r="V62" s="40"/>
    </row>
    <row r="63" spans="1:22">
      <c r="A63" s="37"/>
      <c r="B63" s="38"/>
      <c r="C63" s="38"/>
      <c r="D63" s="39">
        <v>46177.4375</v>
      </c>
      <c r="E63" s="40" t="s">
        <v>388</v>
      </c>
      <c r="F63" s="40" t="s">
        <v>36</v>
      </c>
      <c r="G63" s="41">
        <v>46177</v>
      </c>
      <c r="H63" s="40" t="s">
        <v>389</v>
      </c>
      <c r="I63" s="40" t="s">
        <v>193</v>
      </c>
      <c r="J63" s="40" t="s">
        <v>202</v>
      </c>
      <c r="K63" s="40" t="s">
        <v>203</v>
      </c>
      <c r="L63" s="40" t="s">
        <v>204</v>
      </c>
      <c r="M63" s="40" t="s">
        <v>30</v>
      </c>
      <c r="N63" s="40" t="s">
        <v>31</v>
      </c>
      <c r="O63" s="40" t="s">
        <v>32</v>
      </c>
      <c r="P63" s="40"/>
      <c r="Q63" s="40"/>
      <c r="R63" s="40"/>
      <c r="S63" s="40" t="s">
        <v>390</v>
      </c>
      <c r="T63" s="40"/>
      <c r="U63" s="40" t="s">
        <v>391</v>
      </c>
      <c r="V63" s="40" t="s">
        <v>392</v>
      </c>
    </row>
    <row r="64" spans="1:22">
      <c r="A64" s="37"/>
      <c r="B64" s="38"/>
      <c r="C64" s="38"/>
      <c r="D64" s="39">
        <v>46177.402083333327</v>
      </c>
      <c r="E64" s="40"/>
      <c r="F64" s="40" t="s">
        <v>36</v>
      </c>
      <c r="G64" s="41">
        <v>46181</v>
      </c>
      <c r="H64" s="40" t="s">
        <v>393</v>
      </c>
      <c r="I64" s="40" t="s">
        <v>50</v>
      </c>
      <c r="J64" s="40" t="s">
        <v>394</v>
      </c>
      <c r="K64" s="40" t="s">
        <v>395</v>
      </c>
      <c r="L64" s="40" t="s">
        <v>53</v>
      </c>
      <c r="M64" s="40" t="s">
        <v>396</v>
      </c>
      <c r="N64" s="40" t="s">
        <v>42</v>
      </c>
      <c r="O64" s="40" t="s">
        <v>397</v>
      </c>
      <c r="P64" s="40"/>
      <c r="Q64" s="40" t="s">
        <v>267</v>
      </c>
      <c r="R64" s="40"/>
      <c r="S64" s="40" t="s">
        <v>398</v>
      </c>
      <c r="T64" s="40"/>
      <c r="U64" s="40" t="s">
        <v>399</v>
      </c>
      <c r="V64" s="40" t="s">
        <v>400</v>
      </c>
    </row>
    <row r="65" spans="1:22">
      <c r="A65" s="37"/>
      <c r="B65" s="38"/>
      <c r="C65" s="38"/>
      <c r="D65" s="39">
        <v>46177.071527777778</v>
      </c>
      <c r="E65" s="40" t="s">
        <v>380</v>
      </c>
      <c r="F65" s="40" t="s">
        <v>151</v>
      </c>
      <c r="G65" s="41"/>
      <c r="H65" s="40" t="s">
        <v>401</v>
      </c>
      <c r="I65" s="40" t="s">
        <v>193</v>
      </c>
      <c r="J65" s="40" t="s">
        <v>402</v>
      </c>
      <c r="K65" s="40" t="s">
        <v>403</v>
      </c>
      <c r="L65" s="40" t="s">
        <v>404</v>
      </c>
      <c r="M65" s="40" t="s">
        <v>405</v>
      </c>
      <c r="N65" s="40" t="s">
        <v>42</v>
      </c>
      <c r="O65" s="40" t="s">
        <v>406</v>
      </c>
      <c r="P65" s="40"/>
      <c r="Q65" s="40" t="s">
        <v>267</v>
      </c>
      <c r="R65" s="40"/>
      <c r="S65" s="40"/>
      <c r="T65" s="40"/>
      <c r="U65" s="40" t="s">
        <v>407</v>
      </c>
      <c r="V65" s="40"/>
    </row>
    <row r="66" spans="1:22">
      <c r="A66" s="37"/>
      <c r="B66" s="38"/>
      <c r="C66" s="38"/>
      <c r="D66" s="39">
        <v>46176.926388888889</v>
      </c>
      <c r="E66" s="40" t="s">
        <v>408</v>
      </c>
      <c r="F66" s="40" t="s">
        <v>151</v>
      </c>
      <c r="G66" s="41"/>
      <c r="H66" s="40" t="s">
        <v>409</v>
      </c>
      <c r="I66" s="40" t="s">
        <v>193</v>
      </c>
      <c r="J66" s="40" t="s">
        <v>373</v>
      </c>
      <c r="K66" s="40" t="s">
        <v>374</v>
      </c>
      <c r="L66" s="40" t="s">
        <v>53</v>
      </c>
      <c r="M66" s="40" t="s">
        <v>410</v>
      </c>
      <c r="N66" s="40" t="s">
        <v>411</v>
      </c>
      <c r="O66" s="40" t="s">
        <v>412</v>
      </c>
      <c r="P66" s="40" t="s">
        <v>376</v>
      </c>
      <c r="Q66" s="40"/>
      <c r="R66" s="40"/>
      <c r="S66" s="40" t="s">
        <v>272</v>
      </c>
      <c r="T66" s="40"/>
      <c r="U66" s="40" t="s">
        <v>413</v>
      </c>
      <c r="V66" s="40" t="s">
        <v>414</v>
      </c>
    </row>
    <row r="67" spans="1:22">
      <c r="A67" s="37"/>
      <c r="B67" s="38"/>
      <c r="C67" s="38"/>
      <c r="D67" s="39">
        <v>46176.40347222222</v>
      </c>
      <c r="E67" s="40"/>
      <c r="F67" s="40" t="s">
        <v>36</v>
      </c>
      <c r="G67" s="41">
        <v>46181</v>
      </c>
      <c r="H67" s="40" t="s">
        <v>415</v>
      </c>
      <c r="I67" s="40" t="s">
        <v>59</v>
      </c>
      <c r="J67" s="40" t="s">
        <v>416</v>
      </c>
      <c r="K67" s="40" t="s">
        <v>417</v>
      </c>
      <c r="L67" s="40" t="s">
        <v>62</v>
      </c>
      <c r="M67" s="40" t="s">
        <v>418</v>
      </c>
      <c r="N67" s="40" t="s">
        <v>42</v>
      </c>
      <c r="O67" s="40" t="s">
        <v>32</v>
      </c>
      <c r="P67" s="40"/>
      <c r="Q67" s="40"/>
      <c r="R67" s="40"/>
      <c r="S67" s="40" t="s">
        <v>419</v>
      </c>
      <c r="T67" s="40"/>
      <c r="U67" s="40" t="s">
        <v>420</v>
      </c>
      <c r="V67" s="40" t="s">
        <v>421</v>
      </c>
    </row>
    <row r="68" spans="1:22">
      <c r="A68" s="37"/>
      <c r="B68" s="38"/>
      <c r="C68" s="38"/>
      <c r="D68" s="39">
        <v>46175.419444444437</v>
      </c>
      <c r="E68" s="40"/>
      <c r="F68" s="40" t="s">
        <v>36</v>
      </c>
      <c r="G68" s="41">
        <v>46181</v>
      </c>
      <c r="H68" s="40" t="s">
        <v>422</v>
      </c>
      <c r="I68" s="40" t="s">
        <v>93</v>
      </c>
      <c r="J68" s="40" t="s">
        <v>146</v>
      </c>
      <c r="K68" s="40" t="s">
        <v>147</v>
      </c>
      <c r="L68" s="40" t="s">
        <v>29</v>
      </c>
      <c r="M68" s="40" t="s">
        <v>423</v>
      </c>
      <c r="N68" s="40" t="s">
        <v>42</v>
      </c>
      <c r="O68" s="40" t="s">
        <v>424</v>
      </c>
      <c r="P68" s="40"/>
      <c r="Q68" s="40"/>
      <c r="R68" s="40"/>
      <c r="S68" s="40" t="s">
        <v>425</v>
      </c>
      <c r="T68" s="40"/>
      <c r="U68" s="40" t="s">
        <v>426</v>
      </c>
      <c r="V68" s="40" t="s">
        <v>427</v>
      </c>
    </row>
    <row r="69" spans="1:22">
      <c r="A69" s="37"/>
      <c r="B69" s="38"/>
      <c r="C69" s="38"/>
      <c r="D69" s="39">
        <v>46175.418749999997</v>
      </c>
      <c r="E69" s="40"/>
      <c r="F69" s="40" t="s">
        <v>24</v>
      </c>
      <c r="G69" s="41">
        <v>46176</v>
      </c>
      <c r="H69" s="40" t="s">
        <v>428</v>
      </c>
      <c r="I69" s="40" t="s">
        <v>50</v>
      </c>
      <c r="J69" s="40" t="s">
        <v>394</v>
      </c>
      <c r="K69" s="40" t="s">
        <v>395</v>
      </c>
      <c r="L69" s="40" t="s">
        <v>53</v>
      </c>
      <c r="M69" s="40" t="s">
        <v>30</v>
      </c>
      <c r="N69" s="40" t="s">
        <v>31</v>
      </c>
      <c r="O69" s="40" t="s">
        <v>32</v>
      </c>
      <c r="P69" s="40"/>
      <c r="Q69" s="40"/>
      <c r="R69" s="40"/>
      <c r="S69" s="40" t="s">
        <v>429</v>
      </c>
      <c r="T69" s="40"/>
      <c r="U69" s="40" t="s">
        <v>430</v>
      </c>
      <c r="V69" s="40" t="s">
        <v>431</v>
      </c>
    </row>
    <row r="70" spans="1:22">
      <c r="A70" s="37"/>
      <c r="B70" s="38"/>
      <c r="C70" s="38"/>
      <c r="D70" s="39">
        <v>46172.206250000003</v>
      </c>
      <c r="E70" s="40"/>
      <c r="F70" s="40" t="s">
        <v>36</v>
      </c>
      <c r="G70" s="41">
        <v>46173</v>
      </c>
      <c r="H70" s="40" t="s">
        <v>432</v>
      </c>
      <c r="I70" s="40" t="s">
        <v>66</v>
      </c>
      <c r="J70" s="40" t="s">
        <v>433</v>
      </c>
      <c r="K70" s="40" t="s">
        <v>434</v>
      </c>
      <c r="L70" s="40" t="s">
        <v>87</v>
      </c>
      <c r="M70" s="40" t="s">
        <v>435</v>
      </c>
      <c r="N70" s="40" t="s">
        <v>42</v>
      </c>
      <c r="O70" s="40" t="s">
        <v>32</v>
      </c>
      <c r="P70" s="40" t="s">
        <v>436</v>
      </c>
      <c r="Q70" s="40" t="s">
        <v>267</v>
      </c>
      <c r="R70" s="40"/>
      <c r="S70" s="40"/>
      <c r="T70" s="40"/>
      <c r="U70" s="40" t="s">
        <v>437</v>
      </c>
      <c r="V70" s="40" t="s">
        <v>438</v>
      </c>
    </row>
    <row r="71" spans="1:22">
      <c r="A71" s="37"/>
      <c r="B71" s="38"/>
      <c r="C71" s="38"/>
      <c r="D71" s="39">
        <v>46172.145833333343</v>
      </c>
      <c r="E71" s="40"/>
      <c r="F71" s="40" t="s">
        <v>36</v>
      </c>
      <c r="G71" s="41">
        <v>46174</v>
      </c>
      <c r="H71" s="40" t="s">
        <v>439</v>
      </c>
      <c r="I71" s="40" t="s">
        <v>66</v>
      </c>
      <c r="J71" s="40" t="s">
        <v>440</v>
      </c>
      <c r="K71" s="40" t="s">
        <v>441</v>
      </c>
      <c r="L71" s="40" t="s">
        <v>142</v>
      </c>
      <c r="M71" s="40" t="s">
        <v>442</v>
      </c>
      <c r="N71" s="40" t="s">
        <v>42</v>
      </c>
      <c r="O71" s="40" t="s">
        <v>32</v>
      </c>
      <c r="P71" s="40"/>
      <c r="Q71" s="40"/>
      <c r="R71" s="40"/>
      <c r="S71" s="40" t="s">
        <v>443</v>
      </c>
      <c r="T71" s="40"/>
      <c r="U71" s="40" t="s">
        <v>444</v>
      </c>
      <c r="V71" s="40" t="s">
        <v>445</v>
      </c>
    </row>
    <row r="72" spans="1:22">
      <c r="A72" s="37"/>
      <c r="B72" s="38"/>
      <c r="C72" s="38"/>
      <c r="D72" s="39">
        <v>46171.398611111108</v>
      </c>
      <c r="E72" s="40"/>
      <c r="F72" s="40" t="s">
        <v>36</v>
      </c>
      <c r="G72" s="41">
        <v>46171</v>
      </c>
      <c r="H72" s="40" t="s">
        <v>446</v>
      </c>
      <c r="I72" s="40" t="s">
        <v>93</v>
      </c>
      <c r="J72" s="40" t="s">
        <v>447</v>
      </c>
      <c r="K72" s="40" t="s">
        <v>95</v>
      </c>
      <c r="L72" s="40" t="s">
        <v>29</v>
      </c>
      <c r="M72" s="40" t="s">
        <v>30</v>
      </c>
      <c r="N72" s="40" t="s">
        <v>31</v>
      </c>
      <c r="O72" s="40" t="s">
        <v>32</v>
      </c>
      <c r="P72" s="40"/>
      <c r="Q72" s="40"/>
      <c r="R72" s="40"/>
      <c r="S72" s="40" t="s">
        <v>448</v>
      </c>
      <c r="T72" s="40"/>
      <c r="U72" s="40" t="s">
        <v>449</v>
      </c>
      <c r="V72" s="40" t="s">
        <v>450</v>
      </c>
    </row>
    <row r="73" spans="1:22">
      <c r="A73" s="37"/>
      <c r="B73" s="38"/>
      <c r="C73" s="38"/>
      <c r="D73" s="39">
        <v>46171.192361111112</v>
      </c>
      <c r="E73" s="40" t="s">
        <v>451</v>
      </c>
      <c r="F73" s="40" t="s">
        <v>48</v>
      </c>
      <c r="G73" s="41"/>
      <c r="H73" s="40" t="s">
        <v>452</v>
      </c>
      <c r="I73" s="40" t="s">
        <v>330</v>
      </c>
      <c r="J73" s="40" t="s">
        <v>453</v>
      </c>
      <c r="K73" s="40" t="s">
        <v>332</v>
      </c>
      <c r="L73" s="40" t="s">
        <v>136</v>
      </c>
      <c r="M73" s="40" t="s">
        <v>454</v>
      </c>
      <c r="N73" s="40" t="s">
        <v>455</v>
      </c>
      <c r="O73" s="40" t="s">
        <v>456</v>
      </c>
      <c r="P73" s="40"/>
      <c r="Q73" s="40"/>
      <c r="R73" s="40"/>
      <c r="S73" s="40"/>
      <c r="T73" s="40"/>
      <c r="U73" s="40"/>
      <c r="V73" s="40"/>
    </row>
    <row r="74" spans="1:22">
      <c r="A74" s="37"/>
      <c r="B74" s="38"/>
      <c r="C74" s="38"/>
      <c r="D74" s="39">
        <v>46168.521793981483</v>
      </c>
      <c r="E74" s="40" t="s">
        <v>380</v>
      </c>
      <c r="F74" s="40" t="s">
        <v>151</v>
      </c>
      <c r="G74" s="41"/>
      <c r="H74" s="40" t="s">
        <v>457</v>
      </c>
      <c r="I74" s="40" t="s">
        <v>193</v>
      </c>
      <c r="J74" s="40" t="s">
        <v>458</v>
      </c>
      <c r="K74" s="40" t="s">
        <v>459</v>
      </c>
      <c r="L74" s="40" t="s">
        <v>460</v>
      </c>
      <c r="M74" s="40" t="s">
        <v>461</v>
      </c>
      <c r="N74" s="40" t="s">
        <v>42</v>
      </c>
      <c r="O74" s="40" t="s">
        <v>462</v>
      </c>
      <c r="P74" s="40"/>
      <c r="Q74" s="40" t="s">
        <v>267</v>
      </c>
      <c r="R74" s="40"/>
      <c r="S74" s="40"/>
      <c r="T74" s="40"/>
      <c r="U74" s="40" t="s">
        <v>463</v>
      </c>
      <c r="V74" s="40"/>
    </row>
    <row r="75" spans="1:22">
      <c r="A75" s="37"/>
      <c r="B75" s="38"/>
      <c r="C75" s="38"/>
      <c r="D75" s="39">
        <v>46165.39166666667</v>
      </c>
      <c r="E75" s="40"/>
      <c r="F75" s="40" t="s">
        <v>36</v>
      </c>
      <c r="G75" s="41">
        <v>46165</v>
      </c>
      <c r="H75" s="40" t="s">
        <v>464</v>
      </c>
      <c r="I75" s="40" t="s">
        <v>93</v>
      </c>
      <c r="J75" s="40" t="s">
        <v>465</v>
      </c>
      <c r="K75" s="40" t="s">
        <v>259</v>
      </c>
      <c r="L75" s="40" t="s">
        <v>29</v>
      </c>
      <c r="M75" s="40" t="s">
        <v>30</v>
      </c>
      <c r="N75" s="40" t="s">
        <v>31</v>
      </c>
      <c r="O75" s="40" t="s">
        <v>32</v>
      </c>
      <c r="P75" s="40"/>
      <c r="Q75" s="40"/>
      <c r="R75" s="40"/>
      <c r="S75" s="40" t="s">
        <v>466</v>
      </c>
      <c r="T75" s="40"/>
      <c r="U75" s="40" t="s">
        <v>34</v>
      </c>
      <c r="V75" s="40" t="s">
        <v>467</v>
      </c>
    </row>
    <row r="76" spans="1:22">
      <c r="A76" s="37"/>
      <c r="B76" s="38"/>
      <c r="C76" s="38"/>
      <c r="D76" s="39">
        <v>46164.331030092602</v>
      </c>
      <c r="E76" s="40" t="s">
        <v>468</v>
      </c>
      <c r="F76" s="40" t="s">
        <v>357</v>
      </c>
      <c r="G76" s="41"/>
      <c r="H76" s="40" t="s">
        <v>469</v>
      </c>
      <c r="I76" s="40" t="s">
        <v>210</v>
      </c>
      <c r="J76" s="40" t="s">
        <v>470</v>
      </c>
      <c r="K76" s="40" t="s">
        <v>471</v>
      </c>
      <c r="L76" s="40" t="s">
        <v>196</v>
      </c>
      <c r="M76" s="40" t="s">
        <v>472</v>
      </c>
      <c r="N76" s="40" t="s">
        <v>42</v>
      </c>
      <c r="O76" s="40" t="s">
        <v>32</v>
      </c>
      <c r="P76" s="40"/>
      <c r="Q76" s="40"/>
      <c r="R76" s="40"/>
      <c r="S76" s="40" t="s">
        <v>473</v>
      </c>
      <c r="T76" s="40"/>
      <c r="U76" s="40" t="s">
        <v>474</v>
      </c>
      <c r="V76" s="40" t="s">
        <v>475</v>
      </c>
    </row>
    <row r="77" spans="1:22">
      <c r="A77" s="37"/>
      <c r="B77" s="38"/>
      <c r="C77" s="38"/>
      <c r="D77" s="39">
        <v>46164.251944444448</v>
      </c>
      <c r="E77" s="40"/>
      <c r="F77" s="40" t="s">
        <v>36</v>
      </c>
      <c r="G77" s="41">
        <v>46164</v>
      </c>
      <c r="H77" s="40" t="s">
        <v>476</v>
      </c>
      <c r="I77" s="40" t="s">
        <v>210</v>
      </c>
      <c r="J77" s="40" t="s">
        <v>477</v>
      </c>
      <c r="K77" s="40" t="s">
        <v>478</v>
      </c>
      <c r="L77" s="40" t="s">
        <v>196</v>
      </c>
      <c r="M77" s="40" t="s">
        <v>479</v>
      </c>
      <c r="N77" s="40" t="s">
        <v>31</v>
      </c>
      <c r="O77" s="40" t="s">
        <v>397</v>
      </c>
      <c r="P77" s="40"/>
      <c r="Q77" s="40"/>
      <c r="R77" s="40"/>
      <c r="S77" s="40" t="s">
        <v>480</v>
      </c>
      <c r="T77" s="40" t="s">
        <v>481</v>
      </c>
      <c r="U77" s="40" t="s">
        <v>482</v>
      </c>
      <c r="V77" s="40" t="s">
        <v>483</v>
      </c>
    </row>
    <row r="78" spans="1:22">
      <c r="A78" s="37"/>
      <c r="B78" s="38"/>
      <c r="C78" s="38"/>
      <c r="D78" s="39">
        <v>46162.52847222222</v>
      </c>
      <c r="E78" s="40"/>
      <c r="F78" s="40" t="s">
        <v>36</v>
      </c>
      <c r="G78" s="41">
        <v>46163</v>
      </c>
      <c r="H78" s="40" t="s">
        <v>484</v>
      </c>
      <c r="I78" s="40" t="s">
        <v>93</v>
      </c>
      <c r="J78" s="40" t="s">
        <v>258</v>
      </c>
      <c r="K78" s="40" t="s">
        <v>259</v>
      </c>
      <c r="L78" s="40" t="s">
        <v>29</v>
      </c>
      <c r="M78" s="40">
        <v>5031411</v>
      </c>
      <c r="N78" s="40" t="s">
        <v>42</v>
      </c>
      <c r="O78" s="40" t="s">
        <v>485</v>
      </c>
      <c r="P78" s="40" t="s">
        <v>486</v>
      </c>
      <c r="Q78" s="40"/>
      <c r="R78" s="40"/>
      <c r="S78" s="40" t="s">
        <v>487</v>
      </c>
      <c r="T78" s="40"/>
      <c r="U78" s="40" t="s">
        <v>488</v>
      </c>
      <c r="V78" s="40" t="s">
        <v>489</v>
      </c>
    </row>
    <row r="79" spans="1:22">
      <c r="A79" s="37"/>
      <c r="B79" s="38"/>
      <c r="C79" s="38"/>
      <c r="D79" s="39">
        <v>46162.09652777778</v>
      </c>
      <c r="E79" s="40" t="s">
        <v>490</v>
      </c>
      <c r="F79" s="40" t="s">
        <v>151</v>
      </c>
      <c r="G79" s="41"/>
      <c r="H79" s="40" t="s">
        <v>491</v>
      </c>
      <c r="I79" s="40" t="s">
        <v>193</v>
      </c>
      <c r="J79" s="40" t="s">
        <v>492</v>
      </c>
      <c r="K79" s="40" t="s">
        <v>493</v>
      </c>
      <c r="L79" s="40" t="s">
        <v>29</v>
      </c>
      <c r="M79" s="40" t="s">
        <v>494</v>
      </c>
      <c r="N79" s="40" t="s">
        <v>42</v>
      </c>
      <c r="O79" s="40" t="s">
        <v>495</v>
      </c>
      <c r="P79" s="40"/>
      <c r="Q79" s="40"/>
      <c r="R79" s="40"/>
      <c r="S79" s="40" t="s">
        <v>496</v>
      </c>
      <c r="T79" s="40"/>
      <c r="U79" s="40" t="s">
        <v>497</v>
      </c>
      <c r="V79" s="40"/>
    </row>
    <row r="80" spans="1:22">
      <c r="A80" s="37"/>
      <c r="B80" s="38"/>
      <c r="C80" s="38"/>
      <c r="D80" s="39">
        <v>46160.246527777781</v>
      </c>
      <c r="E80" s="40"/>
      <c r="F80" s="40" t="s">
        <v>36</v>
      </c>
      <c r="G80" s="41">
        <v>46161</v>
      </c>
      <c r="H80" s="40" t="s">
        <v>498</v>
      </c>
      <c r="I80" s="40" t="s">
        <v>50</v>
      </c>
      <c r="J80" s="40" t="s">
        <v>499</v>
      </c>
      <c r="K80" s="40" t="s">
        <v>500</v>
      </c>
      <c r="L80" s="40" t="s">
        <v>53</v>
      </c>
      <c r="M80" s="40">
        <v>5021320</v>
      </c>
      <c r="N80" s="40" t="s">
        <v>42</v>
      </c>
      <c r="O80" s="40" t="s">
        <v>501</v>
      </c>
      <c r="P80" s="40"/>
      <c r="Q80" s="40" t="s">
        <v>267</v>
      </c>
      <c r="R80" s="40"/>
      <c r="S80" s="40" t="s">
        <v>362</v>
      </c>
      <c r="T80" s="40"/>
      <c r="U80" s="40" t="s">
        <v>502</v>
      </c>
      <c r="V80" s="40" t="s">
        <v>503</v>
      </c>
    </row>
    <row r="81" spans="1:22">
      <c r="A81" s="37"/>
      <c r="B81" s="38"/>
      <c r="C81" s="38"/>
      <c r="D81" s="39">
        <v>46159.354166666657</v>
      </c>
      <c r="E81" s="40"/>
      <c r="F81" s="40" t="s">
        <v>36</v>
      </c>
      <c r="G81" s="41">
        <v>46159</v>
      </c>
      <c r="H81" s="40" t="s">
        <v>504</v>
      </c>
      <c r="I81" s="40" t="s">
        <v>107</v>
      </c>
      <c r="J81" s="40" t="s">
        <v>134</v>
      </c>
      <c r="K81" s="40" t="s">
        <v>135</v>
      </c>
      <c r="L81" s="40" t="s">
        <v>136</v>
      </c>
      <c r="M81" s="40" t="s">
        <v>30</v>
      </c>
      <c r="N81" s="40" t="s">
        <v>31</v>
      </c>
      <c r="O81" s="40" t="s">
        <v>32</v>
      </c>
      <c r="P81" s="40"/>
      <c r="Q81" s="40"/>
      <c r="R81" s="40"/>
      <c r="S81" s="40" t="s">
        <v>189</v>
      </c>
      <c r="T81" s="40" t="s">
        <v>481</v>
      </c>
      <c r="U81" s="40" t="s">
        <v>505</v>
      </c>
      <c r="V81" s="40" t="s">
        <v>506</v>
      </c>
    </row>
    <row r="82" spans="1:22">
      <c r="A82" s="37"/>
      <c r="B82" s="38"/>
      <c r="C82" s="38"/>
      <c r="D82" s="39">
        <v>46158.42083333333</v>
      </c>
      <c r="E82" s="40"/>
      <c r="F82" s="40" t="s">
        <v>36</v>
      </c>
      <c r="G82" s="41">
        <v>46157</v>
      </c>
      <c r="H82" s="40" t="s">
        <v>507</v>
      </c>
      <c r="I82" s="40" t="s">
        <v>38</v>
      </c>
      <c r="J82" s="40" t="s">
        <v>290</v>
      </c>
      <c r="K82" s="40" t="s">
        <v>291</v>
      </c>
      <c r="L82" s="40" t="s">
        <v>29</v>
      </c>
      <c r="M82" s="40">
        <v>5012792</v>
      </c>
      <c r="N82" s="40" t="s">
        <v>42</v>
      </c>
      <c r="O82" s="40" t="s">
        <v>508</v>
      </c>
      <c r="P82" s="40"/>
      <c r="Q82" s="40"/>
      <c r="R82" s="40"/>
      <c r="S82" s="40" t="s">
        <v>292</v>
      </c>
      <c r="T82" s="40"/>
      <c r="U82" s="40" t="s">
        <v>509</v>
      </c>
      <c r="V82" s="40" t="s">
        <v>510</v>
      </c>
    </row>
    <row r="83" spans="1:22">
      <c r="A83" s="37"/>
      <c r="B83" s="38"/>
      <c r="C83" s="38"/>
      <c r="D83" s="39">
        <v>46157.116666666669</v>
      </c>
      <c r="E83" s="40"/>
      <c r="F83" s="40" t="s">
        <v>36</v>
      </c>
      <c r="G83" s="41">
        <v>46162</v>
      </c>
      <c r="H83" s="40" t="s">
        <v>511</v>
      </c>
      <c r="I83" s="40" t="s">
        <v>50</v>
      </c>
      <c r="J83" s="40" t="s">
        <v>512</v>
      </c>
      <c r="K83" s="40" t="s">
        <v>52</v>
      </c>
      <c r="L83" s="40" t="s">
        <v>53</v>
      </c>
      <c r="M83" s="40" t="s">
        <v>513</v>
      </c>
      <c r="N83" s="40" t="s">
        <v>514</v>
      </c>
      <c r="O83" s="40" t="s">
        <v>308</v>
      </c>
      <c r="P83" s="40"/>
      <c r="Q83" s="40"/>
      <c r="R83" s="40"/>
      <c r="S83" s="40" t="s">
        <v>515</v>
      </c>
      <c r="T83" s="40"/>
      <c r="U83" s="40" t="s">
        <v>516</v>
      </c>
      <c r="V83" s="40"/>
    </row>
    <row r="84" spans="1:22">
      <c r="A84" s="37"/>
      <c r="B84" s="38"/>
      <c r="C84" s="38"/>
      <c r="D84" s="39">
        <v>46155.359722222223</v>
      </c>
      <c r="E84" s="40"/>
      <c r="F84" s="40" t="s">
        <v>36</v>
      </c>
      <c r="G84" s="41">
        <v>46160</v>
      </c>
      <c r="H84" s="40" t="s">
        <v>517</v>
      </c>
      <c r="I84" s="40" t="s">
        <v>193</v>
      </c>
      <c r="J84" s="40" t="s">
        <v>518</v>
      </c>
      <c r="K84" s="40" t="s">
        <v>519</v>
      </c>
      <c r="L84" s="40" t="s">
        <v>204</v>
      </c>
      <c r="M84" s="40">
        <v>5008372</v>
      </c>
      <c r="N84" s="40" t="s">
        <v>42</v>
      </c>
      <c r="O84" s="40" t="s">
        <v>495</v>
      </c>
      <c r="P84" s="40"/>
      <c r="Q84" s="40"/>
      <c r="R84" s="40" t="s">
        <v>520</v>
      </c>
      <c r="S84" s="40" t="s">
        <v>521</v>
      </c>
      <c r="T84" s="40" t="s">
        <v>481</v>
      </c>
      <c r="U84" s="40" t="s">
        <v>522</v>
      </c>
      <c r="V84" s="40" t="s">
        <v>523</v>
      </c>
    </row>
    <row r="85" spans="1:22">
      <c r="A85" s="37"/>
      <c r="B85" s="38"/>
      <c r="C85" s="38"/>
      <c r="D85" s="39">
        <v>46155.342361111107</v>
      </c>
      <c r="E85" s="40"/>
      <c r="F85" s="40" t="s">
        <v>36</v>
      </c>
      <c r="G85" s="41">
        <v>46156</v>
      </c>
      <c r="H85" s="40" t="s">
        <v>524</v>
      </c>
      <c r="I85" s="40" t="s">
        <v>66</v>
      </c>
      <c r="J85" s="40" t="s">
        <v>67</v>
      </c>
      <c r="K85" s="40" t="s">
        <v>525</v>
      </c>
      <c r="L85" s="40" t="s">
        <v>69</v>
      </c>
      <c r="M85" s="40">
        <v>5006558</v>
      </c>
      <c r="N85" s="40" t="s">
        <v>42</v>
      </c>
      <c r="O85" s="40" t="s">
        <v>32</v>
      </c>
      <c r="P85" s="40"/>
      <c r="Q85" s="40"/>
      <c r="R85" s="40" t="s">
        <v>526</v>
      </c>
      <c r="S85" s="40" t="s">
        <v>527</v>
      </c>
      <c r="T85" s="40"/>
      <c r="U85" s="40" t="s">
        <v>45</v>
      </c>
      <c r="V85" s="40" t="s">
        <v>528</v>
      </c>
    </row>
    <row r="86" spans="1:22">
      <c r="A86" s="37"/>
      <c r="B86" s="38"/>
      <c r="C86" s="38"/>
      <c r="D86" s="39">
        <v>46155.142361111109</v>
      </c>
      <c r="E86" s="40" t="s">
        <v>529</v>
      </c>
      <c r="F86" s="40" t="s">
        <v>530</v>
      </c>
      <c r="G86" s="41"/>
      <c r="H86" s="40" t="s">
        <v>531</v>
      </c>
      <c r="I86" s="40" t="s">
        <v>532</v>
      </c>
      <c r="J86" s="40" t="s">
        <v>533</v>
      </c>
      <c r="K86" s="40" t="s">
        <v>534</v>
      </c>
      <c r="L86" s="40" t="s">
        <v>535</v>
      </c>
      <c r="M86" s="40">
        <v>5008919</v>
      </c>
      <c r="N86" s="40" t="s">
        <v>42</v>
      </c>
      <c r="O86" s="40" t="s">
        <v>536</v>
      </c>
      <c r="P86" s="40"/>
      <c r="Q86" s="40" t="s">
        <v>267</v>
      </c>
      <c r="R86" s="40" t="s">
        <v>537</v>
      </c>
      <c r="S86" s="40" t="s">
        <v>538</v>
      </c>
      <c r="T86" s="40"/>
      <c r="U86" s="40" t="s">
        <v>539</v>
      </c>
      <c r="V86" s="40"/>
    </row>
    <row r="87" spans="1:22">
      <c r="A87" s="37"/>
      <c r="B87" s="38"/>
      <c r="C87" s="38"/>
      <c r="D87" s="39">
        <v>46154.495138888888</v>
      </c>
      <c r="E87" s="40"/>
      <c r="F87" s="40" t="s">
        <v>36</v>
      </c>
      <c r="G87" s="41">
        <v>46155</v>
      </c>
      <c r="H87" s="40" t="s">
        <v>540</v>
      </c>
      <c r="I87" s="40" t="s">
        <v>210</v>
      </c>
      <c r="J87" s="40" t="s">
        <v>223</v>
      </c>
      <c r="K87" s="40" t="s">
        <v>224</v>
      </c>
      <c r="L87" s="40" t="s">
        <v>196</v>
      </c>
      <c r="M87" s="40" t="s">
        <v>541</v>
      </c>
      <c r="N87" s="40" t="s">
        <v>31</v>
      </c>
      <c r="O87" s="40" t="s">
        <v>495</v>
      </c>
      <c r="P87" s="40"/>
      <c r="Q87" s="40"/>
      <c r="R87" s="40"/>
      <c r="S87" s="40" t="s">
        <v>300</v>
      </c>
      <c r="T87" s="40" t="s">
        <v>481</v>
      </c>
      <c r="U87" s="40" t="s">
        <v>542</v>
      </c>
      <c r="V87" s="40" t="s">
        <v>543</v>
      </c>
    </row>
    <row r="88" spans="1:22">
      <c r="A88" s="37"/>
      <c r="B88" s="38"/>
      <c r="C88" s="38"/>
      <c r="D88" s="39">
        <v>46154.492361111108</v>
      </c>
      <c r="E88" s="40"/>
      <c r="F88" s="40" t="s">
        <v>36</v>
      </c>
      <c r="G88" s="41">
        <v>46156</v>
      </c>
      <c r="H88" s="40" t="s">
        <v>544</v>
      </c>
      <c r="I88" s="40" t="s">
        <v>93</v>
      </c>
      <c r="J88" s="40" t="s">
        <v>94</v>
      </c>
      <c r="K88" s="40" t="s">
        <v>95</v>
      </c>
      <c r="L88" s="40" t="s">
        <v>29</v>
      </c>
      <c r="M88" s="40" t="s">
        <v>541</v>
      </c>
      <c r="N88" s="40" t="s">
        <v>31</v>
      </c>
      <c r="O88" s="40" t="s">
        <v>545</v>
      </c>
      <c r="P88" s="40"/>
      <c r="Q88" s="40"/>
      <c r="R88" s="40"/>
      <c r="S88" s="40" t="s">
        <v>546</v>
      </c>
      <c r="T88" s="40" t="s">
        <v>481</v>
      </c>
      <c r="U88" s="40" t="s">
        <v>547</v>
      </c>
      <c r="V88" s="40" t="s">
        <v>548</v>
      </c>
    </row>
    <row r="89" spans="1:22">
      <c r="A89" s="37"/>
      <c r="B89" s="38"/>
      <c r="C89" s="38"/>
      <c r="D89" s="39">
        <v>46154.490277777782</v>
      </c>
      <c r="E89" s="40"/>
      <c r="F89" s="40" t="s">
        <v>36</v>
      </c>
      <c r="G89" s="41">
        <v>46155</v>
      </c>
      <c r="H89" s="40" t="s">
        <v>549</v>
      </c>
      <c r="I89" s="40" t="s">
        <v>210</v>
      </c>
      <c r="J89" s="40" t="s">
        <v>550</v>
      </c>
      <c r="K89" s="40" t="s">
        <v>551</v>
      </c>
      <c r="L89" s="40" t="s">
        <v>196</v>
      </c>
      <c r="M89" s="40" t="s">
        <v>541</v>
      </c>
      <c r="N89" s="40" t="s">
        <v>31</v>
      </c>
      <c r="O89" s="40" t="s">
        <v>545</v>
      </c>
      <c r="P89" s="40"/>
      <c r="Q89" s="40"/>
      <c r="R89" s="40"/>
      <c r="S89" s="40" t="s">
        <v>552</v>
      </c>
      <c r="T89" s="40"/>
      <c r="U89" s="40" t="s">
        <v>553</v>
      </c>
      <c r="V89" s="40" t="s">
        <v>554</v>
      </c>
    </row>
    <row r="90" spans="1:22">
      <c r="A90" s="37"/>
      <c r="B90" s="38"/>
      <c r="C90" s="38"/>
      <c r="D90" s="39">
        <v>46154.484722222223</v>
      </c>
      <c r="E90" s="40"/>
      <c r="F90" s="40" t="s">
        <v>36</v>
      </c>
      <c r="G90" s="41">
        <v>46155</v>
      </c>
      <c r="H90" s="40" t="s">
        <v>555</v>
      </c>
      <c r="I90" s="40" t="s">
        <v>210</v>
      </c>
      <c r="J90" s="40" t="s">
        <v>326</v>
      </c>
      <c r="K90" s="40" t="s">
        <v>212</v>
      </c>
      <c r="L90" s="40" t="s">
        <v>196</v>
      </c>
      <c r="M90" s="40" t="s">
        <v>541</v>
      </c>
      <c r="N90" s="40" t="s">
        <v>31</v>
      </c>
      <c r="O90" s="40" t="s">
        <v>495</v>
      </c>
      <c r="P90" s="40"/>
      <c r="Q90" s="40"/>
      <c r="R90" s="40"/>
      <c r="S90" s="40" t="s">
        <v>327</v>
      </c>
      <c r="T90" s="40"/>
      <c r="U90" s="40" t="s">
        <v>556</v>
      </c>
      <c r="V90" s="40" t="s">
        <v>557</v>
      </c>
    </row>
    <row r="91" spans="1:22">
      <c r="A91" s="37"/>
      <c r="B91" s="38"/>
      <c r="C91" s="38"/>
      <c r="D91" s="39">
        <v>46154.271527777782</v>
      </c>
      <c r="E91" s="40" t="s">
        <v>558</v>
      </c>
      <c r="F91" s="40" t="s">
        <v>36</v>
      </c>
      <c r="G91" s="41">
        <v>46175</v>
      </c>
      <c r="H91" s="40" t="s">
        <v>559</v>
      </c>
      <c r="I91" s="40" t="s">
        <v>193</v>
      </c>
      <c r="J91" s="40" t="s">
        <v>560</v>
      </c>
      <c r="K91" s="40" t="s">
        <v>561</v>
      </c>
      <c r="L91" s="40" t="s">
        <v>29</v>
      </c>
      <c r="M91" s="40" t="s">
        <v>562</v>
      </c>
      <c r="N91" s="40" t="s">
        <v>563</v>
      </c>
      <c r="O91" s="40" t="s">
        <v>32</v>
      </c>
      <c r="P91" s="40"/>
      <c r="Q91" s="40" t="s">
        <v>267</v>
      </c>
      <c r="R91" s="40"/>
      <c r="S91" s="40" t="s">
        <v>564</v>
      </c>
      <c r="T91" s="40"/>
      <c r="U91" s="40" t="s">
        <v>565</v>
      </c>
      <c r="V91" s="40"/>
    </row>
    <row r="92" spans="1:22">
      <c r="A92" s="37"/>
      <c r="B92" s="38"/>
      <c r="C92" s="38"/>
      <c r="D92" s="39">
        <v>46154.177083333343</v>
      </c>
      <c r="E92" s="40" t="s">
        <v>566</v>
      </c>
      <c r="F92" s="40" t="s">
        <v>36</v>
      </c>
      <c r="G92" s="41">
        <v>46175</v>
      </c>
      <c r="H92" s="40" t="s">
        <v>567</v>
      </c>
      <c r="I92" s="40" t="s">
        <v>365</v>
      </c>
      <c r="J92" s="40" t="s">
        <v>568</v>
      </c>
      <c r="K92" s="40" t="s">
        <v>569</v>
      </c>
      <c r="L92" s="40" t="s">
        <v>29</v>
      </c>
      <c r="M92" s="40" t="s">
        <v>541</v>
      </c>
      <c r="N92" s="40" t="s">
        <v>31</v>
      </c>
      <c r="O92" s="40" t="s">
        <v>545</v>
      </c>
      <c r="P92" s="40"/>
      <c r="Q92" s="40"/>
      <c r="R92" s="40"/>
      <c r="S92" s="40" t="s">
        <v>570</v>
      </c>
      <c r="T92" s="40"/>
      <c r="U92" s="40" t="s">
        <v>547</v>
      </c>
      <c r="V92" s="40" t="s">
        <v>571</v>
      </c>
    </row>
    <row r="93" spans="1:22">
      <c r="A93" s="37"/>
      <c r="B93" s="38"/>
      <c r="C93" s="38"/>
      <c r="D93" s="39">
        <v>46152.15625</v>
      </c>
      <c r="E93" s="40"/>
      <c r="F93" s="40" t="s">
        <v>36</v>
      </c>
      <c r="G93" s="41">
        <v>46152</v>
      </c>
      <c r="H93" s="40" t="s">
        <v>572</v>
      </c>
      <c r="I93" s="40" t="s">
        <v>210</v>
      </c>
      <c r="J93" s="40" t="s">
        <v>211</v>
      </c>
      <c r="K93" s="40" t="s">
        <v>212</v>
      </c>
      <c r="L93" s="40" t="s">
        <v>196</v>
      </c>
      <c r="M93" s="40" t="s">
        <v>479</v>
      </c>
      <c r="N93" s="40" t="s">
        <v>31</v>
      </c>
      <c r="O93" s="40" t="s">
        <v>43</v>
      </c>
      <c r="P93" s="40"/>
      <c r="Q93" s="40"/>
      <c r="R93" s="40"/>
      <c r="S93" s="40" t="s">
        <v>573</v>
      </c>
      <c r="T93" s="40"/>
      <c r="U93" s="40" t="s">
        <v>574</v>
      </c>
      <c r="V93" s="40" t="s">
        <v>575</v>
      </c>
    </row>
    <row r="94" spans="1:22">
      <c r="A94" s="37"/>
      <c r="B94" s="38"/>
      <c r="C94" s="38"/>
      <c r="D94" s="39">
        <v>46150.382638888892</v>
      </c>
      <c r="E94" s="40"/>
      <c r="F94" s="40" t="s">
        <v>36</v>
      </c>
      <c r="G94" s="41">
        <v>46150</v>
      </c>
      <c r="H94" s="40" t="s">
        <v>576</v>
      </c>
      <c r="I94" s="40" t="s">
        <v>577</v>
      </c>
      <c r="J94" s="40" t="s">
        <v>578</v>
      </c>
      <c r="K94" s="40" t="s">
        <v>109</v>
      </c>
      <c r="L94" s="40" t="s">
        <v>110</v>
      </c>
      <c r="M94" s="40" t="s">
        <v>30</v>
      </c>
      <c r="N94" s="40" t="s">
        <v>31</v>
      </c>
      <c r="O94" s="40" t="s">
        <v>32</v>
      </c>
      <c r="P94" s="40" t="s">
        <v>362</v>
      </c>
      <c r="Q94" s="40"/>
      <c r="R94" s="40"/>
      <c r="S94" s="40" t="s">
        <v>579</v>
      </c>
      <c r="T94" s="40" t="s">
        <v>481</v>
      </c>
      <c r="U94" s="40" t="s">
        <v>580</v>
      </c>
      <c r="V94" s="40" t="s">
        <v>581</v>
      </c>
    </row>
    <row r="95" spans="1:22">
      <c r="A95" s="37"/>
      <c r="B95" s="38"/>
      <c r="C95" s="38"/>
      <c r="D95" s="39">
        <v>46148</v>
      </c>
      <c r="E95" s="40"/>
      <c r="F95" s="40" t="s">
        <v>36</v>
      </c>
      <c r="G95" s="41">
        <v>46150</v>
      </c>
      <c r="H95" s="40" t="s">
        <v>582</v>
      </c>
      <c r="I95" s="40" t="s">
        <v>59</v>
      </c>
      <c r="J95" s="40" t="s">
        <v>60</v>
      </c>
      <c r="K95" s="40" t="s">
        <v>61</v>
      </c>
      <c r="L95" s="40" t="s">
        <v>62</v>
      </c>
      <c r="M95" s="40" t="s">
        <v>30</v>
      </c>
      <c r="N95" s="40" t="s">
        <v>31</v>
      </c>
      <c r="O95" s="40" t="s">
        <v>32</v>
      </c>
      <c r="P95" s="40" t="s">
        <v>583</v>
      </c>
      <c r="Q95" s="40"/>
      <c r="R95" s="40"/>
      <c r="S95" s="40" t="s">
        <v>584</v>
      </c>
      <c r="T95" s="40"/>
      <c r="U95" s="40" t="s">
        <v>585</v>
      </c>
      <c r="V95" s="40" t="s">
        <v>586</v>
      </c>
    </row>
    <row r="96" spans="1:22">
      <c r="A96" s="37"/>
      <c r="B96" s="38"/>
      <c r="C96" s="38"/>
      <c r="D96" s="39">
        <v>46147.45208333333</v>
      </c>
      <c r="E96" s="40"/>
      <c r="F96" s="40" t="s">
        <v>36</v>
      </c>
      <c r="G96" s="41">
        <v>46148</v>
      </c>
      <c r="H96" s="40" t="s">
        <v>587</v>
      </c>
      <c r="I96" s="40" t="s">
        <v>210</v>
      </c>
      <c r="J96" s="40" t="s">
        <v>588</v>
      </c>
      <c r="K96" s="40" t="s">
        <v>471</v>
      </c>
      <c r="L96" s="40" t="s">
        <v>196</v>
      </c>
      <c r="M96" s="40" t="s">
        <v>30</v>
      </c>
      <c r="N96" s="40" t="s">
        <v>31</v>
      </c>
      <c r="O96" s="40" t="s">
        <v>32</v>
      </c>
      <c r="P96" s="40"/>
      <c r="Q96" s="40"/>
      <c r="R96" s="40"/>
      <c r="S96" s="40" t="s">
        <v>589</v>
      </c>
      <c r="T96" s="40"/>
      <c r="U96" s="40" t="s">
        <v>590</v>
      </c>
      <c r="V96" s="40" t="s">
        <v>591</v>
      </c>
    </row>
    <row r="97" spans="1:22">
      <c r="A97" s="37"/>
      <c r="B97" s="38"/>
      <c r="C97" s="38"/>
      <c r="D97" s="39">
        <v>46147</v>
      </c>
      <c r="E97" s="40"/>
      <c r="F97" s="40" t="s">
        <v>36</v>
      </c>
      <c r="G97" s="41">
        <v>46148</v>
      </c>
      <c r="H97" s="40" t="s">
        <v>592</v>
      </c>
      <c r="I97" s="40" t="s">
        <v>210</v>
      </c>
      <c r="J97" s="40" t="s">
        <v>593</v>
      </c>
      <c r="K97" s="40" t="s">
        <v>594</v>
      </c>
      <c r="L97" s="40" t="s">
        <v>196</v>
      </c>
      <c r="M97" s="40" t="s">
        <v>595</v>
      </c>
      <c r="N97" s="40" t="s">
        <v>596</v>
      </c>
      <c r="O97" s="40" t="s">
        <v>597</v>
      </c>
      <c r="P97" s="40"/>
      <c r="Q97" s="40"/>
      <c r="R97" s="40"/>
      <c r="S97" s="40" t="s">
        <v>598</v>
      </c>
      <c r="T97" s="40" t="s">
        <v>481</v>
      </c>
      <c r="U97" s="40" t="s">
        <v>599</v>
      </c>
      <c r="V97" s="40" t="s">
        <v>600</v>
      </c>
    </row>
    <row r="98" spans="1:22">
      <c r="A98" s="37"/>
      <c r="B98" s="38"/>
      <c r="C98" s="38"/>
      <c r="D98" s="39">
        <v>46144.319444444453</v>
      </c>
      <c r="E98" s="40" t="s">
        <v>601</v>
      </c>
      <c r="F98" s="40" t="s">
        <v>36</v>
      </c>
      <c r="G98" s="41">
        <v>46147</v>
      </c>
      <c r="H98" s="40" t="s">
        <v>602</v>
      </c>
      <c r="I98" s="40" t="s">
        <v>210</v>
      </c>
      <c r="J98" s="40" t="s">
        <v>264</v>
      </c>
      <c r="K98" s="40" t="s">
        <v>265</v>
      </c>
      <c r="L98" s="40" t="s">
        <v>196</v>
      </c>
      <c r="M98" s="40">
        <v>4983001</v>
      </c>
      <c r="N98" s="40" t="s">
        <v>42</v>
      </c>
      <c r="O98" s="40" t="s">
        <v>376</v>
      </c>
      <c r="P98" s="40" t="s">
        <v>603</v>
      </c>
      <c r="Q98" s="40"/>
      <c r="R98" s="40"/>
      <c r="S98" s="40" t="s">
        <v>604</v>
      </c>
      <c r="T98" s="40"/>
      <c r="U98" s="40" t="s">
        <v>605</v>
      </c>
      <c r="V98" s="40" t="s">
        <v>606</v>
      </c>
    </row>
    <row r="99" spans="1:22">
      <c r="A99" s="37" t="s">
        <v>607</v>
      </c>
      <c r="B99" s="38" t="s">
        <v>608</v>
      </c>
      <c r="C99" s="38">
        <v>46141.62023148148</v>
      </c>
      <c r="D99" s="39">
        <v>46140.596631944441</v>
      </c>
      <c r="E99" s="40" t="s">
        <v>609</v>
      </c>
      <c r="F99" s="40" t="s">
        <v>610</v>
      </c>
      <c r="G99" s="41"/>
      <c r="H99" s="40" t="s">
        <v>611</v>
      </c>
      <c r="I99" s="40" t="s">
        <v>193</v>
      </c>
      <c r="J99" s="40" t="s">
        <v>612</v>
      </c>
      <c r="K99" s="40" t="s">
        <v>613</v>
      </c>
      <c r="L99" s="40" t="s">
        <v>142</v>
      </c>
      <c r="M99" s="40" t="s">
        <v>614</v>
      </c>
      <c r="N99" s="40" t="s">
        <v>42</v>
      </c>
      <c r="O99" s="40" t="s">
        <v>615</v>
      </c>
      <c r="P99" s="40" t="s">
        <v>616</v>
      </c>
      <c r="Q99" s="40" t="s">
        <v>267</v>
      </c>
      <c r="R99" s="40"/>
      <c r="S99" s="40"/>
      <c r="T99" s="40"/>
      <c r="U99" s="40" t="s">
        <v>617</v>
      </c>
      <c r="V99" s="40"/>
    </row>
    <row r="100" spans="1:22">
      <c r="A100" s="37" t="s">
        <v>618</v>
      </c>
      <c r="B100" s="38" t="s">
        <v>619</v>
      </c>
      <c r="C100" s="38">
        <v>46142.743703703702</v>
      </c>
      <c r="D100" s="39">
        <v>46140.53633101852</v>
      </c>
      <c r="E100" s="40" t="s">
        <v>620</v>
      </c>
      <c r="F100" s="40" t="s">
        <v>621</v>
      </c>
      <c r="G100" s="41"/>
      <c r="H100" s="40" t="s">
        <v>622</v>
      </c>
      <c r="I100" s="40" t="s">
        <v>623</v>
      </c>
      <c r="J100" s="40" t="s">
        <v>624</v>
      </c>
      <c r="K100" s="40" t="s">
        <v>625</v>
      </c>
      <c r="L100" s="40" t="s">
        <v>385</v>
      </c>
      <c r="M100" s="40" t="s">
        <v>626</v>
      </c>
      <c r="N100" s="40" t="s">
        <v>42</v>
      </c>
      <c r="O100" s="40" t="s">
        <v>627</v>
      </c>
      <c r="P100" s="40"/>
      <c r="Q100" s="40" t="s">
        <v>267</v>
      </c>
      <c r="R100" s="40"/>
      <c r="S100" s="40"/>
      <c r="T100" s="40"/>
      <c r="U100" s="40" t="s">
        <v>628</v>
      </c>
      <c r="V100" s="40"/>
    </row>
    <row r="101" spans="1:22">
      <c r="A101" s="37" t="s">
        <v>629</v>
      </c>
      <c r="B101" s="38" t="s">
        <v>630</v>
      </c>
      <c r="C101" s="38">
        <v>46142.591296296298</v>
      </c>
      <c r="D101" s="39">
        <v>46139.317384259259</v>
      </c>
      <c r="E101" s="40" t="s">
        <v>631</v>
      </c>
      <c r="F101" s="40" t="s">
        <v>36</v>
      </c>
      <c r="G101" s="41">
        <v>46150</v>
      </c>
      <c r="H101" s="40" t="s">
        <v>632</v>
      </c>
      <c r="I101" s="40" t="s">
        <v>93</v>
      </c>
      <c r="J101" s="40" t="s">
        <v>633</v>
      </c>
      <c r="K101" s="40" t="s">
        <v>95</v>
      </c>
      <c r="L101" s="40" t="s">
        <v>29</v>
      </c>
      <c r="M101" s="40" t="s">
        <v>634</v>
      </c>
      <c r="N101" s="40" t="s">
        <v>42</v>
      </c>
      <c r="O101" s="40" t="s">
        <v>635</v>
      </c>
      <c r="P101" s="40" t="s">
        <v>636</v>
      </c>
      <c r="Q101" s="40"/>
      <c r="R101" s="40"/>
      <c r="S101" s="40" t="s">
        <v>637</v>
      </c>
      <c r="T101" s="40"/>
      <c r="U101" s="40" t="s">
        <v>638</v>
      </c>
      <c r="V101" s="40" t="s">
        <v>639</v>
      </c>
    </row>
    <row r="102" spans="1:22">
      <c r="A102" s="37" t="s">
        <v>640</v>
      </c>
      <c r="B102" s="38" t="s">
        <v>641</v>
      </c>
      <c r="C102" s="38">
        <v>46139.519016203703</v>
      </c>
      <c r="D102" s="39">
        <v>46139.225393518522</v>
      </c>
      <c r="E102" s="40"/>
      <c r="F102" s="40" t="s">
        <v>36</v>
      </c>
      <c r="G102" s="41">
        <v>46146</v>
      </c>
      <c r="H102" s="40" t="s">
        <v>642</v>
      </c>
      <c r="I102" s="40" t="s">
        <v>193</v>
      </c>
      <c r="J102" s="40" t="s">
        <v>643</v>
      </c>
      <c r="K102" s="40" t="s">
        <v>203</v>
      </c>
      <c r="L102" s="40" t="s">
        <v>204</v>
      </c>
      <c r="M102" s="40" t="s">
        <v>479</v>
      </c>
      <c r="N102" s="40" t="s">
        <v>31</v>
      </c>
      <c r="O102" s="40" t="s">
        <v>644</v>
      </c>
      <c r="P102" s="40" t="s">
        <v>645</v>
      </c>
      <c r="Q102" s="40"/>
      <c r="R102" s="40"/>
      <c r="S102" s="40" t="s">
        <v>646</v>
      </c>
      <c r="T102" s="40"/>
      <c r="U102" s="40" t="s">
        <v>647</v>
      </c>
      <c r="V102" s="40" t="s">
        <v>648</v>
      </c>
    </row>
    <row r="103" spans="1:22">
      <c r="A103" s="37" t="s">
        <v>649</v>
      </c>
      <c r="B103" s="38" t="s">
        <v>650</v>
      </c>
      <c r="C103" s="38">
        <v>46135.83357638889</v>
      </c>
      <c r="D103" s="39">
        <v>46135.46166666667</v>
      </c>
      <c r="E103" s="40"/>
      <c r="F103" s="40" t="s">
        <v>36</v>
      </c>
      <c r="G103" s="41">
        <v>46150</v>
      </c>
      <c r="H103" s="40" t="s">
        <v>651</v>
      </c>
      <c r="I103" s="40" t="s">
        <v>59</v>
      </c>
      <c r="J103" s="40" t="s">
        <v>652</v>
      </c>
      <c r="K103" s="40" t="s">
        <v>653</v>
      </c>
      <c r="L103" s="40" t="s">
        <v>460</v>
      </c>
      <c r="M103" s="40" t="s">
        <v>654</v>
      </c>
      <c r="N103" s="40" t="s">
        <v>42</v>
      </c>
      <c r="O103" s="40" t="s">
        <v>655</v>
      </c>
      <c r="P103" s="40"/>
      <c r="Q103" s="40" t="s">
        <v>267</v>
      </c>
      <c r="R103" s="40"/>
      <c r="S103" s="40"/>
      <c r="T103" s="40"/>
      <c r="U103" s="40" t="s">
        <v>656</v>
      </c>
      <c r="V103" s="40"/>
    </row>
    <row r="104" spans="1:22">
      <c r="A104" s="37" t="s">
        <v>657</v>
      </c>
      <c r="B104" s="38" t="s">
        <v>658</v>
      </c>
      <c r="C104" s="38">
        <v>46135.675729166673</v>
      </c>
      <c r="D104" s="39">
        <v>46135.265810185178</v>
      </c>
      <c r="E104" s="40"/>
      <c r="F104" s="40" t="s">
        <v>36</v>
      </c>
      <c r="G104" s="41">
        <v>46146</v>
      </c>
      <c r="H104" s="40" t="s">
        <v>659</v>
      </c>
      <c r="I104" s="40" t="s">
        <v>193</v>
      </c>
      <c r="J104" s="40" t="s">
        <v>518</v>
      </c>
      <c r="K104" s="40" t="s">
        <v>519</v>
      </c>
      <c r="L104" s="40" t="s">
        <v>204</v>
      </c>
      <c r="M104" s="40" t="s">
        <v>479</v>
      </c>
      <c r="N104" s="40" t="s">
        <v>31</v>
      </c>
      <c r="O104" s="40" t="s">
        <v>281</v>
      </c>
      <c r="P104" s="40"/>
      <c r="Q104" s="40"/>
      <c r="R104" s="40"/>
      <c r="S104" s="40" t="s">
        <v>521</v>
      </c>
      <c r="T104" s="40"/>
      <c r="U104" s="40" t="s">
        <v>660</v>
      </c>
      <c r="V104" s="40" t="s">
        <v>661</v>
      </c>
    </row>
    <row r="105" spans="1:22">
      <c r="A105" s="37" t="s">
        <v>662</v>
      </c>
      <c r="B105" s="38" t="s">
        <v>663</v>
      </c>
      <c r="C105" s="38">
        <v>46142.122557870367</v>
      </c>
      <c r="D105" s="39">
        <v>46134.244606481479</v>
      </c>
      <c r="E105" s="40"/>
      <c r="F105" s="40" t="s">
        <v>36</v>
      </c>
      <c r="G105" s="41">
        <v>46153</v>
      </c>
      <c r="H105" s="40" t="s">
        <v>664</v>
      </c>
      <c r="I105" s="40" t="s">
        <v>532</v>
      </c>
      <c r="J105" s="40" t="s">
        <v>665</v>
      </c>
      <c r="K105" s="40" t="s">
        <v>666</v>
      </c>
      <c r="L105" s="40" t="s">
        <v>69</v>
      </c>
      <c r="M105" s="40" t="s">
        <v>479</v>
      </c>
      <c r="N105" s="40" t="s">
        <v>31</v>
      </c>
      <c r="O105" s="40" t="s">
        <v>667</v>
      </c>
      <c r="P105" s="40" t="s">
        <v>668</v>
      </c>
      <c r="Q105" s="40"/>
      <c r="R105" s="40"/>
      <c r="S105" s="40" t="s">
        <v>669</v>
      </c>
      <c r="T105" s="40"/>
      <c r="U105" s="40" t="s">
        <v>670</v>
      </c>
      <c r="V105" s="40" t="s">
        <v>671</v>
      </c>
    </row>
    <row r="106" spans="1:22">
      <c r="A106" s="37" t="s">
        <v>672</v>
      </c>
      <c r="B106" s="38" t="s">
        <v>673</v>
      </c>
      <c r="C106" s="38">
        <v>46139.685856481483</v>
      </c>
      <c r="D106" s="39">
        <v>46133.411481481482</v>
      </c>
      <c r="E106" s="40"/>
      <c r="F106" s="40" t="s">
        <v>36</v>
      </c>
      <c r="G106" s="41">
        <v>46163</v>
      </c>
      <c r="H106" s="40" t="s">
        <v>674</v>
      </c>
      <c r="I106" s="40" t="s">
        <v>38</v>
      </c>
      <c r="J106" s="40" t="s">
        <v>675</v>
      </c>
      <c r="K106" s="40" t="s">
        <v>78</v>
      </c>
      <c r="L106" s="40" t="s">
        <v>29</v>
      </c>
      <c r="M106" s="40" t="s">
        <v>676</v>
      </c>
      <c r="N106" s="40" t="s">
        <v>42</v>
      </c>
      <c r="O106" s="40" t="s">
        <v>32</v>
      </c>
      <c r="P106" s="40" t="s">
        <v>677</v>
      </c>
      <c r="Q106" s="40"/>
      <c r="R106" s="40"/>
      <c r="S106" s="40" t="s">
        <v>678</v>
      </c>
      <c r="T106" s="40" t="s">
        <v>481</v>
      </c>
      <c r="U106" s="40" t="s">
        <v>679</v>
      </c>
      <c r="V106" s="40" t="s">
        <v>680</v>
      </c>
    </row>
    <row r="107" spans="1:22">
      <c r="A107" s="37" t="s">
        <v>681</v>
      </c>
      <c r="B107" s="38" t="s">
        <v>682</v>
      </c>
      <c r="C107" s="38">
        <v>46140.596342592587</v>
      </c>
      <c r="D107" s="39">
        <v>46132.276180555556</v>
      </c>
      <c r="E107" s="40"/>
      <c r="F107" s="40" t="s">
        <v>36</v>
      </c>
      <c r="G107" s="41">
        <v>46134.542986111112</v>
      </c>
      <c r="H107" s="40" t="s">
        <v>683</v>
      </c>
      <c r="I107" s="40" t="s">
        <v>623</v>
      </c>
      <c r="J107" s="40" t="s">
        <v>684</v>
      </c>
      <c r="K107" s="40" t="s">
        <v>685</v>
      </c>
      <c r="L107" s="40" t="s">
        <v>686</v>
      </c>
      <c r="M107" s="40" t="s">
        <v>687</v>
      </c>
      <c r="N107" s="40" t="s">
        <v>42</v>
      </c>
      <c r="O107" s="40" t="s">
        <v>688</v>
      </c>
      <c r="P107" s="40" t="s">
        <v>362</v>
      </c>
      <c r="Q107" s="40" t="s">
        <v>267</v>
      </c>
      <c r="R107" s="40"/>
      <c r="S107" s="40" t="s">
        <v>689</v>
      </c>
      <c r="T107" s="40" t="s">
        <v>481</v>
      </c>
      <c r="U107" s="40" t="s">
        <v>690</v>
      </c>
      <c r="V107" s="40" t="s">
        <v>691</v>
      </c>
    </row>
    <row r="108" spans="1:22">
      <c r="A108" s="37" t="s">
        <v>692</v>
      </c>
      <c r="B108" s="38" t="s">
        <v>693</v>
      </c>
      <c r="C108" s="38">
        <v>46135.575428240743</v>
      </c>
      <c r="D108" s="39">
        <v>46130.377754629633</v>
      </c>
      <c r="E108" s="40"/>
      <c r="F108" s="40" t="s">
        <v>36</v>
      </c>
      <c r="G108" s="41">
        <v>46130.416666666657</v>
      </c>
      <c r="H108" s="40" t="s">
        <v>694</v>
      </c>
      <c r="I108" s="40" t="s">
        <v>193</v>
      </c>
      <c r="J108" s="40" t="s">
        <v>695</v>
      </c>
      <c r="K108" s="40" t="s">
        <v>286</v>
      </c>
      <c r="L108" s="40" t="s">
        <v>29</v>
      </c>
      <c r="M108" s="40" t="s">
        <v>479</v>
      </c>
      <c r="N108" s="40" t="s">
        <v>31</v>
      </c>
      <c r="O108" s="40" t="s">
        <v>32</v>
      </c>
      <c r="P108" s="40"/>
      <c r="Q108" s="40"/>
      <c r="R108" s="40"/>
      <c r="S108" s="40" t="s">
        <v>696</v>
      </c>
      <c r="T108" s="40"/>
      <c r="U108" s="40" t="s">
        <v>697</v>
      </c>
      <c r="V108" s="40" t="s">
        <v>698</v>
      </c>
    </row>
    <row r="109" spans="1:22">
      <c r="A109" s="37" t="s">
        <v>699</v>
      </c>
      <c r="B109" s="38" t="s">
        <v>700</v>
      </c>
      <c r="C109" s="38">
        <v>46138.939942129633</v>
      </c>
      <c r="D109" s="39">
        <v>46128.467013888891</v>
      </c>
      <c r="E109" s="40" t="s">
        <v>701</v>
      </c>
      <c r="F109" s="40" t="s">
        <v>36</v>
      </c>
      <c r="G109" s="41">
        <v>46169</v>
      </c>
      <c r="H109" s="40" t="s">
        <v>702</v>
      </c>
      <c r="I109" s="40" t="s">
        <v>50</v>
      </c>
      <c r="J109" s="40" t="s">
        <v>703</v>
      </c>
      <c r="K109" s="40" t="s">
        <v>704</v>
      </c>
      <c r="L109" s="40" t="s">
        <v>53</v>
      </c>
      <c r="M109" s="40" t="s">
        <v>705</v>
      </c>
      <c r="N109" s="40" t="s">
        <v>563</v>
      </c>
      <c r="O109" s="40" t="s">
        <v>706</v>
      </c>
      <c r="P109" s="40"/>
      <c r="Q109" s="40" t="s">
        <v>267</v>
      </c>
      <c r="R109" s="40"/>
      <c r="S109" s="40"/>
      <c r="T109" s="40"/>
      <c r="U109" s="40" t="s">
        <v>707</v>
      </c>
      <c r="V109" s="40"/>
    </row>
    <row r="110" spans="1:22">
      <c r="A110" s="37" t="s">
        <v>708</v>
      </c>
      <c r="B110" s="38" t="s">
        <v>709</v>
      </c>
      <c r="C110" s="38">
        <v>46139.519965277781</v>
      </c>
      <c r="D110" s="39">
        <v>46128.454930555563</v>
      </c>
      <c r="E110" s="40" t="s">
        <v>710</v>
      </c>
      <c r="F110" s="40" t="s">
        <v>711</v>
      </c>
      <c r="G110" s="41"/>
      <c r="H110" s="40" t="s">
        <v>712</v>
      </c>
      <c r="I110" s="40" t="s">
        <v>93</v>
      </c>
      <c r="J110" s="40" t="s">
        <v>713</v>
      </c>
      <c r="K110" s="40" t="s">
        <v>314</v>
      </c>
      <c r="L110" s="40" t="s">
        <v>29</v>
      </c>
      <c r="M110" s="40" t="s">
        <v>714</v>
      </c>
      <c r="N110" s="40" t="s">
        <v>42</v>
      </c>
      <c r="O110" s="40" t="s">
        <v>508</v>
      </c>
      <c r="P110" s="40"/>
      <c r="Q110" s="40"/>
      <c r="R110" s="40"/>
      <c r="S110" s="40" t="s">
        <v>715</v>
      </c>
      <c r="T110" s="40" t="s">
        <v>481</v>
      </c>
      <c r="U110" s="40" t="s">
        <v>716</v>
      </c>
      <c r="V110" s="40" t="s">
        <v>717</v>
      </c>
    </row>
    <row r="111" spans="1:22">
      <c r="A111" s="37" t="s">
        <v>718</v>
      </c>
      <c r="B111" s="38" t="s">
        <v>719</v>
      </c>
      <c r="C111" s="38">
        <v>46139.939097222217</v>
      </c>
      <c r="D111" s="39">
        <v>46127.321759259263</v>
      </c>
      <c r="E111" s="40"/>
      <c r="F111" s="40" t="s">
        <v>720</v>
      </c>
      <c r="G111" s="41">
        <v>46127.626828703702</v>
      </c>
      <c r="H111" s="40" t="s">
        <v>721</v>
      </c>
      <c r="I111" s="40" t="s">
        <v>532</v>
      </c>
      <c r="J111" s="40" t="s">
        <v>722</v>
      </c>
      <c r="K111" s="40" t="s">
        <v>613</v>
      </c>
      <c r="L111" s="40" t="s">
        <v>142</v>
      </c>
      <c r="M111" s="40" t="s">
        <v>30</v>
      </c>
      <c r="N111" s="40" t="s">
        <v>42</v>
      </c>
      <c r="O111" s="40" t="s">
        <v>495</v>
      </c>
      <c r="P111" s="40"/>
      <c r="Q111" s="40"/>
      <c r="R111" s="40"/>
      <c r="S111" s="40" t="s">
        <v>723</v>
      </c>
      <c r="T111" s="40"/>
      <c r="U111" s="40" t="s">
        <v>724</v>
      </c>
      <c r="V111" s="40"/>
    </row>
    <row r="112" spans="1:22">
      <c r="A112" s="37" t="s">
        <v>725</v>
      </c>
      <c r="B112" s="38" t="s">
        <v>726</v>
      </c>
      <c r="C112" s="38">
        <v>46135.626747685194</v>
      </c>
      <c r="D112" s="39">
        <v>46127.248645833337</v>
      </c>
      <c r="E112" s="40"/>
      <c r="F112" s="40" t="s">
        <v>36</v>
      </c>
      <c r="G112" s="41">
        <v>46127.675821759258</v>
      </c>
      <c r="H112" s="40" t="s">
        <v>727</v>
      </c>
      <c r="I112" s="40" t="s">
        <v>38</v>
      </c>
      <c r="J112" s="40" t="s">
        <v>675</v>
      </c>
      <c r="K112" s="40" t="s">
        <v>78</v>
      </c>
      <c r="L112" s="40" t="s">
        <v>29</v>
      </c>
      <c r="M112" s="40" t="s">
        <v>728</v>
      </c>
      <c r="N112" s="40" t="s">
        <v>729</v>
      </c>
      <c r="O112" s="40" t="s">
        <v>730</v>
      </c>
      <c r="P112" s="40"/>
      <c r="Q112" s="40"/>
      <c r="R112" s="40"/>
      <c r="S112" s="40" t="s">
        <v>731</v>
      </c>
      <c r="T112" s="40" t="s">
        <v>481</v>
      </c>
      <c r="U112" s="40" t="s">
        <v>732</v>
      </c>
      <c r="V112" s="40" t="s">
        <v>733</v>
      </c>
    </row>
    <row r="113" spans="1:22">
      <c r="A113" s="37" t="s">
        <v>734</v>
      </c>
      <c r="B113" s="38" t="s">
        <v>735</v>
      </c>
      <c r="C113" s="38">
        <v>46140.672303240739</v>
      </c>
      <c r="D113" s="39">
        <v>46126.561631944453</v>
      </c>
      <c r="E113" s="40"/>
      <c r="F113" s="40" t="s">
        <v>36</v>
      </c>
      <c r="G113" s="41">
        <v>46133.865972222222</v>
      </c>
      <c r="H113" s="40" t="s">
        <v>736</v>
      </c>
      <c r="I113" s="40" t="s">
        <v>93</v>
      </c>
      <c r="J113" s="40" t="s">
        <v>737</v>
      </c>
      <c r="K113" s="40" t="s">
        <v>95</v>
      </c>
      <c r="L113" s="40" t="s">
        <v>29</v>
      </c>
      <c r="M113" s="40" t="s">
        <v>30</v>
      </c>
      <c r="N113" s="40" t="s">
        <v>31</v>
      </c>
      <c r="O113" s="40" t="s">
        <v>495</v>
      </c>
      <c r="P113" s="40"/>
      <c r="Q113" s="40"/>
      <c r="R113" s="40"/>
      <c r="S113" s="40" t="s">
        <v>546</v>
      </c>
      <c r="T113" s="40" t="s">
        <v>481</v>
      </c>
      <c r="U113" s="40" t="s">
        <v>738</v>
      </c>
      <c r="V113" s="40" t="s">
        <v>739</v>
      </c>
    </row>
    <row r="114" spans="1:22">
      <c r="A114" s="37" t="s">
        <v>740</v>
      </c>
      <c r="B114" s="38" t="s">
        <v>741</v>
      </c>
      <c r="C114" s="38">
        <v>46135.007280092592</v>
      </c>
      <c r="D114" s="39">
        <v>46126.558541666673</v>
      </c>
      <c r="E114" s="40"/>
      <c r="F114" s="40" t="s">
        <v>36</v>
      </c>
      <c r="G114" s="41">
        <v>46128.679861111108</v>
      </c>
      <c r="H114" s="40" t="s">
        <v>742</v>
      </c>
      <c r="I114" s="40" t="s">
        <v>210</v>
      </c>
      <c r="J114" s="40" t="s">
        <v>743</v>
      </c>
      <c r="K114" s="40" t="s">
        <v>551</v>
      </c>
      <c r="L114" s="40" t="s">
        <v>196</v>
      </c>
      <c r="M114" s="40" t="s">
        <v>30</v>
      </c>
      <c r="N114" s="40" t="s">
        <v>31</v>
      </c>
      <c r="O114" s="40" t="s">
        <v>744</v>
      </c>
      <c r="P114" s="40"/>
      <c r="Q114" s="40"/>
      <c r="R114" s="40"/>
      <c r="S114" s="40" t="s">
        <v>552</v>
      </c>
      <c r="T114" s="40"/>
      <c r="U114" s="40" t="s">
        <v>745</v>
      </c>
      <c r="V114" s="40" t="s">
        <v>746</v>
      </c>
    </row>
    <row r="115" spans="1:22">
      <c r="A115" s="37" t="s">
        <v>747</v>
      </c>
      <c r="B115" s="38" t="s">
        <v>748</v>
      </c>
      <c r="C115" s="38">
        <v>46135.010729166657</v>
      </c>
      <c r="D115" s="39">
        <v>46126.54146990741</v>
      </c>
      <c r="E115" s="40"/>
      <c r="F115" s="40" t="s">
        <v>36</v>
      </c>
      <c r="G115" s="41">
        <v>46127.25</v>
      </c>
      <c r="H115" s="40" t="s">
        <v>749</v>
      </c>
      <c r="I115" s="40" t="s">
        <v>193</v>
      </c>
      <c r="J115" s="40" t="s">
        <v>750</v>
      </c>
      <c r="K115" s="40" t="s">
        <v>569</v>
      </c>
      <c r="L115" s="40" t="s">
        <v>29</v>
      </c>
      <c r="M115" s="40" t="s">
        <v>479</v>
      </c>
      <c r="N115" s="40" t="s">
        <v>31</v>
      </c>
      <c r="O115" s="40" t="s">
        <v>645</v>
      </c>
      <c r="P115" s="40"/>
      <c r="Q115" s="40"/>
      <c r="R115" s="40"/>
      <c r="S115" s="40" t="s">
        <v>751</v>
      </c>
      <c r="T115" s="40" t="s">
        <v>481</v>
      </c>
      <c r="U115" s="40" t="s">
        <v>752</v>
      </c>
      <c r="V115" s="40" t="s">
        <v>753</v>
      </c>
    </row>
    <row r="116" spans="1:22">
      <c r="A116" s="37" t="s">
        <v>754</v>
      </c>
      <c r="B116" s="38" t="s">
        <v>755</v>
      </c>
      <c r="C116" s="38">
        <v>46132.661365740743</v>
      </c>
      <c r="D116" s="39">
        <v>46126.53460648148</v>
      </c>
      <c r="E116" s="40"/>
      <c r="F116" s="40" t="s">
        <v>36</v>
      </c>
      <c r="G116" s="41">
        <v>46127.25</v>
      </c>
      <c r="H116" s="40" t="s">
        <v>756</v>
      </c>
      <c r="I116" s="40" t="s">
        <v>193</v>
      </c>
      <c r="J116" s="40" t="s">
        <v>757</v>
      </c>
      <c r="K116" s="40" t="s">
        <v>296</v>
      </c>
      <c r="L116" s="40" t="s">
        <v>110</v>
      </c>
      <c r="M116" s="40" t="s">
        <v>30</v>
      </c>
      <c r="N116" s="40" t="s">
        <v>31</v>
      </c>
      <c r="O116" s="40" t="s">
        <v>597</v>
      </c>
      <c r="P116" s="40"/>
      <c r="Q116" s="40"/>
      <c r="R116" s="40"/>
      <c r="S116" s="40" t="s">
        <v>758</v>
      </c>
      <c r="T116" s="40"/>
      <c r="U116" s="40" t="s">
        <v>759</v>
      </c>
      <c r="V116" s="40"/>
    </row>
    <row r="117" spans="1:22">
      <c r="A117" s="37" t="s">
        <v>760</v>
      </c>
      <c r="B117" s="38" t="s">
        <v>761</v>
      </c>
      <c r="C117" s="38">
        <v>46135.791921296302</v>
      </c>
      <c r="D117" s="39">
        <v>46126.525127314817</v>
      </c>
      <c r="E117" s="40"/>
      <c r="F117" s="40" t="s">
        <v>720</v>
      </c>
      <c r="G117" s="41">
        <v>46128.634305555563</v>
      </c>
      <c r="H117" s="40" t="s">
        <v>762</v>
      </c>
      <c r="I117" s="40" t="s">
        <v>532</v>
      </c>
      <c r="J117" s="40" t="s">
        <v>665</v>
      </c>
      <c r="K117" s="40" t="s">
        <v>666</v>
      </c>
      <c r="L117" s="40" t="s">
        <v>69</v>
      </c>
      <c r="M117" s="40" t="s">
        <v>763</v>
      </c>
      <c r="N117" s="40" t="s">
        <v>42</v>
      </c>
      <c r="O117" s="40" t="s">
        <v>508</v>
      </c>
      <c r="P117" s="40"/>
      <c r="Q117" s="40"/>
      <c r="R117" s="40"/>
      <c r="S117" s="40" t="s">
        <v>764</v>
      </c>
      <c r="T117" s="40" t="s">
        <v>481</v>
      </c>
      <c r="U117" s="40" t="s">
        <v>765</v>
      </c>
      <c r="V117" s="40" t="s">
        <v>766</v>
      </c>
    </row>
    <row r="118" spans="1:22">
      <c r="A118" s="37" t="s">
        <v>767</v>
      </c>
      <c r="B118" s="38" t="s">
        <v>768</v>
      </c>
      <c r="C118" s="38">
        <v>46132.625497685192</v>
      </c>
      <c r="D118" s="39">
        <v>46126.520231481481</v>
      </c>
      <c r="E118" s="40"/>
      <c r="F118" s="40" t="s">
        <v>36</v>
      </c>
      <c r="G118" s="41">
        <v>46126.738194444442</v>
      </c>
      <c r="H118" s="40" t="s">
        <v>769</v>
      </c>
      <c r="I118" s="40" t="s">
        <v>210</v>
      </c>
      <c r="J118" s="40" t="s">
        <v>770</v>
      </c>
      <c r="K118" s="40" t="s">
        <v>224</v>
      </c>
      <c r="L118" s="40" t="s">
        <v>196</v>
      </c>
      <c r="M118" s="40" t="s">
        <v>30</v>
      </c>
      <c r="N118" s="40" t="s">
        <v>31</v>
      </c>
      <c r="O118" s="40" t="s">
        <v>495</v>
      </c>
      <c r="P118" s="40"/>
      <c r="Q118" s="40"/>
      <c r="R118" s="40"/>
      <c r="S118" s="40" t="s">
        <v>771</v>
      </c>
      <c r="T118" s="40"/>
      <c r="U118" s="40" t="s">
        <v>772</v>
      </c>
      <c r="V118" s="40" t="s">
        <v>773</v>
      </c>
    </row>
    <row r="119" spans="1:22">
      <c r="A119" s="37" t="s">
        <v>774</v>
      </c>
      <c r="B119" s="38" t="s">
        <v>775</v>
      </c>
      <c r="C119" s="38">
        <v>46132.623113425929</v>
      </c>
      <c r="D119" s="39">
        <v>46126.512106481481</v>
      </c>
      <c r="E119" s="40"/>
      <c r="F119" s="40" t="s">
        <v>36</v>
      </c>
      <c r="G119" s="41">
        <v>46127.425844907397</v>
      </c>
      <c r="H119" s="40" t="s">
        <v>776</v>
      </c>
      <c r="I119" s="40" t="s">
        <v>210</v>
      </c>
      <c r="J119" s="40" t="s">
        <v>777</v>
      </c>
      <c r="K119" s="40" t="s">
        <v>212</v>
      </c>
      <c r="L119" s="40" t="s">
        <v>196</v>
      </c>
      <c r="M119" s="40" t="s">
        <v>30</v>
      </c>
      <c r="N119" s="40" t="s">
        <v>31</v>
      </c>
      <c r="O119" s="40" t="s">
        <v>778</v>
      </c>
      <c r="P119" s="40"/>
      <c r="Q119" s="40"/>
      <c r="R119" s="40"/>
      <c r="S119" s="40" t="s">
        <v>779</v>
      </c>
      <c r="T119" s="40"/>
      <c r="U119" s="40" t="s">
        <v>780</v>
      </c>
      <c r="V119" s="40" t="s">
        <v>781</v>
      </c>
    </row>
    <row r="120" spans="1:22">
      <c r="A120" s="37" t="s">
        <v>782</v>
      </c>
      <c r="B120" s="38" t="s">
        <v>783</v>
      </c>
      <c r="C120" s="38">
        <v>46132.755856481483</v>
      </c>
      <c r="D120" s="39">
        <v>46126.383657407408</v>
      </c>
      <c r="E120" s="40"/>
      <c r="F120" s="40" t="s">
        <v>36</v>
      </c>
      <c r="G120" s="41">
        <v>46133.25</v>
      </c>
      <c r="H120" s="40" t="s">
        <v>784</v>
      </c>
      <c r="I120" s="40" t="s">
        <v>193</v>
      </c>
      <c r="J120" s="40" t="s">
        <v>785</v>
      </c>
      <c r="K120" s="40" t="s">
        <v>569</v>
      </c>
      <c r="L120" s="40" t="s">
        <v>29</v>
      </c>
      <c r="M120" s="40" t="s">
        <v>786</v>
      </c>
      <c r="N120" s="40" t="s">
        <v>42</v>
      </c>
      <c r="O120" s="40"/>
      <c r="P120" s="40"/>
      <c r="Q120" s="40"/>
      <c r="R120" s="40"/>
      <c r="S120" s="40" t="s">
        <v>787</v>
      </c>
      <c r="T120" s="40"/>
      <c r="U120" s="40" t="s">
        <v>788</v>
      </c>
      <c r="V120" s="40" t="s">
        <v>789</v>
      </c>
    </row>
    <row r="121" spans="1:22">
      <c r="A121" s="37" t="s">
        <v>790</v>
      </c>
      <c r="B121" s="38" t="s">
        <v>791</v>
      </c>
      <c r="C121" s="38">
        <v>46132.876064814824</v>
      </c>
      <c r="D121" s="39">
        <v>46125.432685185187</v>
      </c>
      <c r="E121" s="40"/>
      <c r="F121" s="40" t="s">
        <v>36</v>
      </c>
      <c r="G121" s="41">
        <v>46125.755266203712</v>
      </c>
      <c r="H121" s="40" t="s">
        <v>792</v>
      </c>
      <c r="I121" s="40" t="s">
        <v>93</v>
      </c>
      <c r="J121" s="40" t="s">
        <v>737</v>
      </c>
      <c r="K121" s="40" t="s">
        <v>95</v>
      </c>
      <c r="L121" s="40" t="s">
        <v>29</v>
      </c>
      <c r="M121" s="40" t="s">
        <v>793</v>
      </c>
      <c r="N121" s="40" t="s">
        <v>31</v>
      </c>
      <c r="O121" s="40" t="s">
        <v>794</v>
      </c>
      <c r="P121" s="40"/>
      <c r="Q121" s="40" t="s">
        <v>362</v>
      </c>
      <c r="R121" s="40"/>
      <c r="S121" s="40" t="s">
        <v>795</v>
      </c>
      <c r="T121" s="40"/>
      <c r="U121" s="40" t="s">
        <v>796</v>
      </c>
      <c r="V121" s="40" t="s">
        <v>797</v>
      </c>
    </row>
    <row r="122" spans="1:22">
      <c r="A122" s="37" t="s">
        <v>798</v>
      </c>
      <c r="B122" s="38" t="s">
        <v>799</v>
      </c>
      <c r="C122" s="38">
        <v>46125.955821759257</v>
      </c>
      <c r="D122" s="39">
        <v>46122.573634259257</v>
      </c>
      <c r="E122" s="40"/>
      <c r="F122" s="40" t="s">
        <v>36</v>
      </c>
      <c r="G122" s="41">
        <v>46123.25</v>
      </c>
      <c r="H122" s="40" t="s">
        <v>800</v>
      </c>
      <c r="I122" s="40" t="s">
        <v>193</v>
      </c>
      <c r="J122" s="40" t="s">
        <v>801</v>
      </c>
      <c r="K122" s="40" t="s">
        <v>493</v>
      </c>
      <c r="L122" s="40" t="s">
        <v>29</v>
      </c>
      <c r="M122" s="40" t="s">
        <v>802</v>
      </c>
      <c r="N122" s="40" t="s">
        <v>563</v>
      </c>
      <c r="O122" s="40" t="s">
        <v>803</v>
      </c>
      <c r="P122" s="40"/>
      <c r="Q122" s="40"/>
      <c r="R122" s="40"/>
      <c r="S122" s="40"/>
      <c r="T122" s="40"/>
      <c r="U122" s="40" t="s">
        <v>804</v>
      </c>
      <c r="V122" s="40" t="s">
        <v>805</v>
      </c>
    </row>
    <row r="123" spans="1:22">
      <c r="A123" s="37" t="s">
        <v>806</v>
      </c>
      <c r="B123" s="38" t="s">
        <v>807</v>
      </c>
      <c r="C123" s="38">
        <v>46126.663969907408</v>
      </c>
      <c r="D123" s="39">
        <v>46121.515381944453</v>
      </c>
      <c r="E123" s="40"/>
      <c r="F123" s="40" t="s">
        <v>36</v>
      </c>
      <c r="G123" s="41">
        <v>46121.541666666657</v>
      </c>
      <c r="H123" s="40" t="s">
        <v>808</v>
      </c>
      <c r="I123" s="40" t="s">
        <v>193</v>
      </c>
      <c r="J123" s="40" t="s">
        <v>785</v>
      </c>
      <c r="K123" s="40" t="s">
        <v>569</v>
      </c>
      <c r="L123" s="40" t="s">
        <v>29</v>
      </c>
      <c r="M123" s="40" t="s">
        <v>809</v>
      </c>
      <c r="N123" s="40" t="s">
        <v>42</v>
      </c>
      <c r="O123" s="40"/>
      <c r="P123" s="40"/>
      <c r="Q123" s="40"/>
      <c r="R123" s="40"/>
      <c r="S123" s="40" t="s">
        <v>810</v>
      </c>
      <c r="T123" s="40"/>
      <c r="U123" s="40" t="s">
        <v>811</v>
      </c>
      <c r="V123" s="40" t="s">
        <v>812</v>
      </c>
    </row>
    <row r="124" spans="1:22">
      <c r="A124" s="37" t="s">
        <v>813</v>
      </c>
      <c r="B124" s="38" t="s">
        <v>814</v>
      </c>
      <c r="C124" s="38">
        <v>46124.97755787037</v>
      </c>
      <c r="D124" s="39">
        <v>46121.500925925917</v>
      </c>
      <c r="E124" s="40"/>
      <c r="F124" s="40" t="s">
        <v>36</v>
      </c>
      <c r="G124" s="41">
        <v>46122.354166666657</v>
      </c>
      <c r="H124" s="40" t="s">
        <v>815</v>
      </c>
      <c r="I124" s="40" t="s">
        <v>193</v>
      </c>
      <c r="J124" s="40" t="s">
        <v>816</v>
      </c>
      <c r="K124" s="40" t="s">
        <v>817</v>
      </c>
      <c r="L124" s="40" t="s">
        <v>29</v>
      </c>
      <c r="M124" s="40" t="s">
        <v>30</v>
      </c>
      <c r="N124" s="40" t="s">
        <v>31</v>
      </c>
      <c r="O124" s="40" t="s">
        <v>597</v>
      </c>
      <c r="P124" s="40"/>
      <c r="Q124" s="40"/>
      <c r="R124" s="40"/>
      <c r="S124" s="40" t="s">
        <v>818</v>
      </c>
      <c r="T124" s="40"/>
      <c r="U124" s="40" t="s">
        <v>819</v>
      </c>
      <c r="V124" s="40" t="s">
        <v>820</v>
      </c>
    </row>
    <row r="125" spans="1:22">
      <c r="A125" s="37" t="s">
        <v>821</v>
      </c>
      <c r="B125" s="38" t="s">
        <v>822</v>
      </c>
      <c r="C125" s="38">
        <v>46141.092662037037</v>
      </c>
      <c r="D125" s="39">
        <v>46120.635810185187</v>
      </c>
      <c r="E125" s="40"/>
      <c r="F125" s="40" t="s">
        <v>720</v>
      </c>
      <c r="G125" s="41">
        <v>46129.486805555563</v>
      </c>
      <c r="H125" s="40" t="s">
        <v>823</v>
      </c>
      <c r="I125" s="40" t="s">
        <v>532</v>
      </c>
      <c r="J125" s="40" t="s">
        <v>824</v>
      </c>
      <c r="K125" s="40" t="s">
        <v>825</v>
      </c>
      <c r="L125" s="40" t="s">
        <v>69</v>
      </c>
      <c r="M125" s="40" t="s">
        <v>802</v>
      </c>
      <c r="N125" s="40" t="s">
        <v>563</v>
      </c>
      <c r="O125" s="40" t="s">
        <v>826</v>
      </c>
      <c r="P125" s="40" t="s">
        <v>827</v>
      </c>
      <c r="Q125" s="40"/>
      <c r="R125" s="40"/>
      <c r="S125" s="40" t="s">
        <v>828</v>
      </c>
      <c r="T125" s="40"/>
      <c r="U125" s="40" t="s">
        <v>829</v>
      </c>
      <c r="V125" s="40" t="s">
        <v>830</v>
      </c>
    </row>
    <row r="126" spans="1:22">
      <c r="A126" s="37" t="s">
        <v>831</v>
      </c>
      <c r="B126" s="38" t="s">
        <v>832</v>
      </c>
      <c r="C126" s="38">
        <v>46124.973229166673</v>
      </c>
      <c r="D126" s="39">
        <v>46120.392291666663</v>
      </c>
      <c r="E126" s="40"/>
      <c r="F126" s="40" t="s">
        <v>36</v>
      </c>
      <c r="G126" s="41">
        <v>46120.458333333343</v>
      </c>
      <c r="H126" s="40" t="s">
        <v>833</v>
      </c>
      <c r="I126" s="40" t="s">
        <v>193</v>
      </c>
      <c r="J126" s="40" t="s">
        <v>750</v>
      </c>
      <c r="K126" s="40" t="s">
        <v>569</v>
      </c>
      <c r="L126" s="40" t="s">
        <v>29</v>
      </c>
      <c r="M126" s="40" t="s">
        <v>834</v>
      </c>
      <c r="N126" s="40" t="s">
        <v>42</v>
      </c>
      <c r="O126" s="40" t="s">
        <v>835</v>
      </c>
      <c r="P126" s="40" t="s">
        <v>836</v>
      </c>
      <c r="Q126" s="40"/>
      <c r="R126" s="40"/>
      <c r="S126" s="40" t="s">
        <v>837</v>
      </c>
      <c r="T126" s="40"/>
      <c r="U126" s="40" t="s">
        <v>838</v>
      </c>
      <c r="V126" s="40" t="s">
        <v>839</v>
      </c>
    </row>
    <row r="127" spans="1:22">
      <c r="A127" s="37" t="s">
        <v>840</v>
      </c>
      <c r="B127" s="38" t="s">
        <v>841</v>
      </c>
      <c r="C127" s="38">
        <v>46126.692835648151</v>
      </c>
      <c r="D127" s="39">
        <v>46119.611064814817</v>
      </c>
      <c r="E127" s="40"/>
      <c r="F127" s="40" t="s">
        <v>36</v>
      </c>
      <c r="G127" s="41">
        <v>46122.679386574076</v>
      </c>
      <c r="H127" s="40" t="s">
        <v>842</v>
      </c>
      <c r="I127" s="40" t="s">
        <v>93</v>
      </c>
      <c r="J127" s="40" t="s">
        <v>737</v>
      </c>
      <c r="K127" s="40" t="s">
        <v>95</v>
      </c>
      <c r="L127" s="40" t="s">
        <v>29</v>
      </c>
      <c r="M127" s="40" t="s">
        <v>30</v>
      </c>
      <c r="N127" s="40" t="s">
        <v>31</v>
      </c>
      <c r="O127" s="40" t="s">
        <v>843</v>
      </c>
      <c r="P127" s="40"/>
      <c r="Q127" s="40"/>
      <c r="R127" s="40"/>
      <c r="S127" s="40" t="s">
        <v>844</v>
      </c>
      <c r="T127" s="40"/>
      <c r="U127" s="40" t="s">
        <v>845</v>
      </c>
      <c r="V127" s="40" t="s">
        <v>846</v>
      </c>
    </row>
    <row r="128" spans="1:22">
      <c r="A128" s="37" t="s">
        <v>847</v>
      </c>
      <c r="B128" s="38" t="s">
        <v>848</v>
      </c>
      <c r="C128" s="38">
        <v>46133.803541666668</v>
      </c>
      <c r="D128" s="39">
        <v>46118.547997685193</v>
      </c>
      <c r="E128" s="40"/>
      <c r="F128" s="40" t="s">
        <v>36</v>
      </c>
      <c r="G128" s="41">
        <v>46126.250694444447</v>
      </c>
      <c r="H128" s="40" t="s">
        <v>849</v>
      </c>
      <c r="I128" s="40" t="s">
        <v>532</v>
      </c>
      <c r="J128" s="40" t="s">
        <v>850</v>
      </c>
      <c r="K128" s="40" t="s">
        <v>851</v>
      </c>
      <c r="L128" s="40" t="s">
        <v>69</v>
      </c>
      <c r="M128" s="40" t="s">
        <v>852</v>
      </c>
      <c r="N128" s="40" t="s">
        <v>42</v>
      </c>
      <c r="O128" s="40" t="s">
        <v>32</v>
      </c>
      <c r="P128" s="40"/>
      <c r="Q128" s="40"/>
      <c r="R128" s="40"/>
      <c r="S128" s="40" t="s">
        <v>853</v>
      </c>
      <c r="T128" s="40"/>
      <c r="U128" s="40" t="s">
        <v>854</v>
      </c>
      <c r="V128" s="40" t="s">
        <v>855</v>
      </c>
    </row>
    <row r="129" spans="1:22">
      <c r="A129" s="37" t="s">
        <v>856</v>
      </c>
      <c r="B129" s="38" t="s">
        <v>857</v>
      </c>
      <c r="C129" s="38">
        <v>46126.587129629632</v>
      </c>
      <c r="D129" s="39">
        <v>46116.769791666673</v>
      </c>
      <c r="E129" s="40"/>
      <c r="F129" s="40" t="s">
        <v>720</v>
      </c>
      <c r="G129" s="41">
        <v>46119.495474537027</v>
      </c>
      <c r="H129" s="40" t="s">
        <v>858</v>
      </c>
      <c r="I129" s="40" t="s">
        <v>532</v>
      </c>
      <c r="J129" s="40" t="s">
        <v>665</v>
      </c>
      <c r="K129" s="40" t="s">
        <v>666</v>
      </c>
      <c r="L129" s="40" t="s">
        <v>69</v>
      </c>
      <c r="M129" s="40" t="s">
        <v>859</v>
      </c>
      <c r="N129" s="40" t="s">
        <v>42</v>
      </c>
      <c r="O129" s="40" t="s">
        <v>508</v>
      </c>
      <c r="P129" s="40"/>
      <c r="Q129" s="40"/>
      <c r="R129" s="40"/>
      <c r="S129" s="40" t="s">
        <v>860</v>
      </c>
      <c r="T129" s="40"/>
      <c r="U129" s="40" t="s">
        <v>861</v>
      </c>
      <c r="V129" s="40" t="s">
        <v>862</v>
      </c>
    </row>
    <row r="130" spans="1:22">
      <c r="A130" s="37" t="s">
        <v>863</v>
      </c>
      <c r="B130" s="38" t="s">
        <v>864</v>
      </c>
      <c r="C130" s="38">
        <v>46135.027650462973</v>
      </c>
      <c r="D130" s="39">
        <v>46114.636805555558</v>
      </c>
      <c r="E130" s="40"/>
      <c r="F130" s="40" t="s">
        <v>36</v>
      </c>
      <c r="G130" s="41">
        <v>46115.397222222222</v>
      </c>
      <c r="H130" s="40" t="s">
        <v>865</v>
      </c>
      <c r="I130" s="40" t="s">
        <v>210</v>
      </c>
      <c r="J130" s="40" t="s">
        <v>866</v>
      </c>
      <c r="K130" s="40" t="s">
        <v>867</v>
      </c>
      <c r="L130" s="40" t="s">
        <v>196</v>
      </c>
      <c r="M130" s="40" t="s">
        <v>868</v>
      </c>
      <c r="N130" s="40" t="s">
        <v>31</v>
      </c>
      <c r="O130" s="40" t="s">
        <v>869</v>
      </c>
      <c r="P130" s="40"/>
      <c r="Q130" s="40"/>
      <c r="R130" s="40"/>
      <c r="S130" s="40" t="s">
        <v>870</v>
      </c>
      <c r="T130" s="40"/>
      <c r="U130" s="40" t="s">
        <v>871</v>
      </c>
      <c r="V130" s="40" t="s">
        <v>872</v>
      </c>
    </row>
    <row r="131" spans="1:22">
      <c r="A131" s="37" t="s">
        <v>873</v>
      </c>
      <c r="B131" s="38" t="s">
        <v>874</v>
      </c>
      <c r="C131" s="38">
        <v>46126.692499999997</v>
      </c>
      <c r="D131" s="39">
        <v>46114.614398148151</v>
      </c>
      <c r="E131" s="40"/>
      <c r="F131" s="40" t="s">
        <v>36</v>
      </c>
      <c r="G131" s="41">
        <v>46115.458807870367</v>
      </c>
      <c r="H131" s="40" t="s">
        <v>875</v>
      </c>
      <c r="I131" s="40" t="s">
        <v>93</v>
      </c>
      <c r="J131" s="40" t="s">
        <v>876</v>
      </c>
      <c r="K131" s="40" t="s">
        <v>877</v>
      </c>
      <c r="L131" s="40" t="s">
        <v>29</v>
      </c>
      <c r="M131" s="40" t="s">
        <v>30</v>
      </c>
      <c r="N131" s="40" t="s">
        <v>31</v>
      </c>
      <c r="O131" s="40" t="s">
        <v>878</v>
      </c>
      <c r="P131" s="40"/>
      <c r="Q131" s="40"/>
      <c r="R131" s="40"/>
      <c r="S131" s="40" t="s">
        <v>879</v>
      </c>
      <c r="T131" s="40"/>
      <c r="U131" s="40" t="s">
        <v>880</v>
      </c>
      <c r="V131" s="40" t="s">
        <v>881</v>
      </c>
    </row>
    <row r="132" spans="1:22">
      <c r="A132" s="37" t="s">
        <v>882</v>
      </c>
      <c r="B132" s="38" t="s">
        <v>883</v>
      </c>
      <c r="C132" s="38">
        <v>46132.632627314822</v>
      </c>
      <c r="D132" s="39">
        <v>46112.443668981483</v>
      </c>
      <c r="E132" s="40"/>
      <c r="F132" s="40" t="s">
        <v>720</v>
      </c>
      <c r="G132" s="41">
        <v>46120.375</v>
      </c>
      <c r="H132" s="40" t="s">
        <v>884</v>
      </c>
      <c r="I132" s="40" t="s">
        <v>210</v>
      </c>
      <c r="J132" s="40" t="s">
        <v>885</v>
      </c>
      <c r="K132" s="40" t="s">
        <v>306</v>
      </c>
      <c r="L132" s="40" t="s">
        <v>196</v>
      </c>
      <c r="M132" s="40" t="s">
        <v>886</v>
      </c>
      <c r="N132" s="40" t="s">
        <v>42</v>
      </c>
      <c r="O132" s="40" t="s">
        <v>887</v>
      </c>
      <c r="P132" s="40"/>
      <c r="Q132" s="40" t="s">
        <v>267</v>
      </c>
      <c r="R132" s="40"/>
      <c r="S132" s="40"/>
      <c r="T132" s="40"/>
      <c r="U132" s="40" t="s">
        <v>888</v>
      </c>
      <c r="V132" s="40" t="s">
        <v>889</v>
      </c>
    </row>
    <row r="133" spans="1:22">
      <c r="A133" s="37" t="s">
        <v>890</v>
      </c>
      <c r="B133" s="38" t="s">
        <v>891</v>
      </c>
      <c r="C133" s="38">
        <v>46135.039305555547</v>
      </c>
      <c r="D133" s="39">
        <v>46111.377766203703</v>
      </c>
      <c r="E133" s="40"/>
      <c r="F133" s="40" t="s">
        <v>36</v>
      </c>
      <c r="G133" s="41">
        <v>46112.548715277779</v>
      </c>
      <c r="H133" s="40" t="s">
        <v>892</v>
      </c>
      <c r="I133" s="40" t="s">
        <v>210</v>
      </c>
      <c r="J133" s="40" t="s">
        <v>866</v>
      </c>
      <c r="K133" s="40" t="s">
        <v>867</v>
      </c>
      <c r="L133" s="40" t="s">
        <v>196</v>
      </c>
      <c r="M133" s="40" t="s">
        <v>893</v>
      </c>
      <c r="N133" s="40" t="s">
        <v>31</v>
      </c>
      <c r="O133" s="40" t="s">
        <v>869</v>
      </c>
      <c r="P133" s="40"/>
      <c r="Q133" s="40"/>
      <c r="R133" s="40"/>
      <c r="S133" s="40" t="s">
        <v>894</v>
      </c>
      <c r="T133" s="40"/>
      <c r="U133" s="40" t="s">
        <v>895</v>
      </c>
      <c r="V133" s="40" t="s">
        <v>896</v>
      </c>
    </row>
    <row r="134" spans="1:22">
      <c r="A134" s="37" t="s">
        <v>897</v>
      </c>
      <c r="B134" s="38" t="s">
        <v>898</v>
      </c>
      <c r="C134" s="38">
        <v>46132.968101851853</v>
      </c>
      <c r="D134" s="39">
        <v>46111.32</v>
      </c>
      <c r="E134" s="40"/>
      <c r="F134" s="40" t="s">
        <v>720</v>
      </c>
      <c r="G134" s="41">
        <v>46121.362013888887</v>
      </c>
      <c r="H134" s="40" t="s">
        <v>899</v>
      </c>
      <c r="I134" s="40" t="s">
        <v>59</v>
      </c>
      <c r="J134" s="40" t="s">
        <v>900</v>
      </c>
      <c r="K134" s="40" t="s">
        <v>337</v>
      </c>
      <c r="L134" s="40" t="s">
        <v>29</v>
      </c>
      <c r="M134" s="40" t="s">
        <v>901</v>
      </c>
      <c r="N134" s="40" t="s">
        <v>42</v>
      </c>
      <c r="O134" s="40" t="s">
        <v>495</v>
      </c>
      <c r="P134" s="40" t="s">
        <v>902</v>
      </c>
      <c r="Q134" s="40"/>
      <c r="R134" s="40"/>
      <c r="S134" s="40" t="s">
        <v>903</v>
      </c>
      <c r="T134" s="40" t="s">
        <v>481</v>
      </c>
      <c r="U134" s="40" t="s">
        <v>904</v>
      </c>
      <c r="V134" s="40" t="s">
        <v>905</v>
      </c>
    </row>
    <row r="135" spans="1:22">
      <c r="A135" s="37" t="s">
        <v>906</v>
      </c>
      <c r="B135" s="38" t="s">
        <v>907</v>
      </c>
      <c r="C135" s="38">
        <v>46141.926817129628</v>
      </c>
      <c r="D135" s="39">
        <v>46111.269282407397</v>
      </c>
      <c r="E135" s="40" t="s">
        <v>908</v>
      </c>
      <c r="F135" s="40" t="s">
        <v>91</v>
      </c>
      <c r="G135" s="41"/>
      <c r="H135" s="40" t="s">
        <v>909</v>
      </c>
      <c r="I135" s="40" t="s">
        <v>59</v>
      </c>
      <c r="J135" s="40" t="s">
        <v>910</v>
      </c>
      <c r="K135" s="40" t="s">
        <v>154</v>
      </c>
      <c r="L135" s="40" t="s">
        <v>29</v>
      </c>
      <c r="M135" s="40" t="s">
        <v>911</v>
      </c>
      <c r="N135" s="40" t="s">
        <v>31</v>
      </c>
      <c r="O135" s="40" t="s">
        <v>281</v>
      </c>
      <c r="P135" s="40" t="s">
        <v>912</v>
      </c>
      <c r="Q135" s="40"/>
      <c r="R135" s="40"/>
      <c r="S135" s="40" t="s">
        <v>913</v>
      </c>
      <c r="T135" s="40"/>
      <c r="U135" s="40" t="s">
        <v>914</v>
      </c>
      <c r="V135" s="40" t="s">
        <v>915</v>
      </c>
    </row>
    <row r="136" spans="1:22">
      <c r="A136" s="37" t="s">
        <v>916</v>
      </c>
      <c r="B136" s="38" t="s">
        <v>917</v>
      </c>
      <c r="C136" s="38">
        <v>46134.679155092592</v>
      </c>
      <c r="D136" s="39">
        <v>46111.266446759262</v>
      </c>
      <c r="E136" s="40"/>
      <c r="F136" s="40" t="s">
        <v>720</v>
      </c>
      <c r="G136" s="41">
        <v>46112.380324074067</v>
      </c>
      <c r="H136" s="40" t="s">
        <v>918</v>
      </c>
      <c r="I136" s="40" t="s">
        <v>623</v>
      </c>
      <c r="J136" s="40" t="s">
        <v>684</v>
      </c>
      <c r="K136" s="40" t="s">
        <v>685</v>
      </c>
      <c r="L136" s="40" t="s">
        <v>686</v>
      </c>
      <c r="M136" s="40" t="s">
        <v>911</v>
      </c>
      <c r="N136" s="40" t="s">
        <v>31</v>
      </c>
      <c r="O136" s="40" t="s">
        <v>281</v>
      </c>
      <c r="P136" s="40"/>
      <c r="Q136" s="40"/>
      <c r="R136" s="40"/>
      <c r="S136" s="40" t="s">
        <v>919</v>
      </c>
      <c r="T136" s="40"/>
      <c r="U136" s="40" t="s">
        <v>920</v>
      </c>
      <c r="V136" s="40" t="s">
        <v>921</v>
      </c>
    </row>
    <row r="137" spans="1:22">
      <c r="A137" s="37" t="s">
        <v>922</v>
      </c>
      <c r="B137" s="38" t="s">
        <v>923</v>
      </c>
      <c r="C137" s="38">
        <v>46112.645104166673</v>
      </c>
      <c r="D137" s="39">
        <v>46108.402002314811</v>
      </c>
      <c r="E137" s="40"/>
      <c r="F137" s="40" t="s">
        <v>36</v>
      </c>
      <c r="G137" s="41">
        <v>46108.4375</v>
      </c>
      <c r="H137" s="40" t="s">
        <v>924</v>
      </c>
      <c r="I137" s="40" t="s">
        <v>193</v>
      </c>
      <c r="J137" s="40" t="s">
        <v>713</v>
      </c>
      <c r="K137" s="40" t="s">
        <v>314</v>
      </c>
      <c r="L137" s="40" t="s">
        <v>29</v>
      </c>
      <c r="M137" s="40" t="s">
        <v>925</v>
      </c>
      <c r="N137" s="40" t="s">
        <v>42</v>
      </c>
      <c r="O137" s="40"/>
      <c r="P137" s="40"/>
      <c r="Q137" s="40" t="s">
        <v>267</v>
      </c>
      <c r="R137" s="40"/>
      <c r="S137" s="40"/>
      <c r="T137" s="40"/>
      <c r="U137" s="40" t="s">
        <v>926</v>
      </c>
      <c r="V137" s="40" t="s">
        <v>927</v>
      </c>
    </row>
    <row r="138" spans="1:22">
      <c r="A138" s="37" t="s">
        <v>928</v>
      </c>
      <c r="B138" s="38" t="s">
        <v>929</v>
      </c>
      <c r="C138" s="38">
        <v>46126.828819444447</v>
      </c>
      <c r="D138" s="39">
        <v>46102.388796296298</v>
      </c>
      <c r="E138" s="40"/>
      <c r="F138" s="40" t="s">
        <v>36</v>
      </c>
      <c r="G138" s="41">
        <v>46118.131944444453</v>
      </c>
      <c r="H138" s="40" t="s">
        <v>930</v>
      </c>
      <c r="I138" s="40" t="s">
        <v>93</v>
      </c>
      <c r="J138" s="40" t="s">
        <v>633</v>
      </c>
      <c r="K138" s="40" t="s">
        <v>95</v>
      </c>
      <c r="L138" s="40" t="s">
        <v>29</v>
      </c>
      <c r="M138" s="40" t="s">
        <v>931</v>
      </c>
      <c r="N138" s="40" t="s">
        <v>31</v>
      </c>
      <c r="O138" s="40" t="s">
        <v>932</v>
      </c>
      <c r="P138" s="40" t="s">
        <v>933</v>
      </c>
      <c r="Q138" s="40"/>
      <c r="R138" s="40"/>
      <c r="S138" s="40" t="s">
        <v>934</v>
      </c>
      <c r="T138" s="40" t="s">
        <v>362</v>
      </c>
      <c r="U138" s="40" t="s">
        <v>935</v>
      </c>
      <c r="V138" s="40" t="s">
        <v>936</v>
      </c>
    </row>
    <row r="139" spans="1:22">
      <c r="A139" s="37" t="s">
        <v>937</v>
      </c>
      <c r="B139" s="38" t="s">
        <v>938</v>
      </c>
      <c r="C139" s="38">
        <v>46113.752835648149</v>
      </c>
      <c r="D139" s="39">
        <v>46101.453287037039</v>
      </c>
      <c r="E139" s="40"/>
      <c r="F139" s="40" t="s">
        <v>720</v>
      </c>
      <c r="G139" s="41">
        <v>46107.834560185183</v>
      </c>
      <c r="H139" s="40" t="s">
        <v>939</v>
      </c>
      <c r="I139" s="40" t="s">
        <v>532</v>
      </c>
      <c r="J139" s="40" t="s">
        <v>940</v>
      </c>
      <c r="K139" s="40" t="s">
        <v>941</v>
      </c>
      <c r="L139" s="40" t="s">
        <v>942</v>
      </c>
      <c r="M139" s="40" t="s">
        <v>943</v>
      </c>
      <c r="N139" s="40" t="s">
        <v>42</v>
      </c>
      <c r="O139" s="40" t="s">
        <v>944</v>
      </c>
      <c r="P139" s="40"/>
      <c r="Q139" s="40" t="s">
        <v>267</v>
      </c>
      <c r="R139" s="40"/>
      <c r="S139" s="40" t="s">
        <v>945</v>
      </c>
      <c r="T139" s="40"/>
      <c r="U139" s="40" t="s">
        <v>946</v>
      </c>
      <c r="V139" s="40" t="s">
        <v>947</v>
      </c>
    </row>
    <row r="140" spans="1:22">
      <c r="A140" s="37" t="s">
        <v>948</v>
      </c>
      <c r="B140" s="38" t="s">
        <v>949</v>
      </c>
      <c r="C140" s="38">
        <v>46140.711215277777</v>
      </c>
      <c r="D140" s="39">
        <v>46101.44394675926</v>
      </c>
      <c r="E140" s="40"/>
      <c r="F140" s="40" t="s">
        <v>720</v>
      </c>
      <c r="G140" s="41">
        <v>46138.75277777778</v>
      </c>
      <c r="H140" s="40" t="s">
        <v>950</v>
      </c>
      <c r="I140" s="40" t="s">
        <v>623</v>
      </c>
      <c r="J140" s="40" t="s">
        <v>951</v>
      </c>
      <c r="K140" s="40" t="s">
        <v>952</v>
      </c>
      <c r="L140" s="40" t="s">
        <v>953</v>
      </c>
      <c r="M140" s="40" t="s">
        <v>954</v>
      </c>
      <c r="N140" s="40" t="s">
        <v>42</v>
      </c>
      <c r="O140" s="40" t="s">
        <v>944</v>
      </c>
      <c r="P140" s="40"/>
      <c r="Q140" s="40" t="s">
        <v>267</v>
      </c>
      <c r="R140" s="40"/>
      <c r="S140" s="40"/>
      <c r="T140" s="40"/>
      <c r="U140" s="40" t="s">
        <v>955</v>
      </c>
      <c r="V140" s="40" t="s">
        <v>956</v>
      </c>
    </row>
    <row r="141" spans="1:22">
      <c r="A141" s="37" t="s">
        <v>957</v>
      </c>
      <c r="B141" s="38" t="s">
        <v>958</v>
      </c>
      <c r="C141" s="38">
        <v>46108.925347222219</v>
      </c>
      <c r="D141" s="39">
        <v>46100.539363425924</v>
      </c>
      <c r="E141" s="40"/>
      <c r="F141" s="40" t="s">
        <v>720</v>
      </c>
      <c r="G141" s="41">
        <v>46100.689745370371</v>
      </c>
      <c r="H141" s="40" t="s">
        <v>959</v>
      </c>
      <c r="I141" s="40" t="s">
        <v>93</v>
      </c>
      <c r="J141" s="40" t="s">
        <v>960</v>
      </c>
      <c r="K141" s="40" t="s">
        <v>350</v>
      </c>
      <c r="L141" s="40" t="s">
        <v>29</v>
      </c>
      <c r="M141" s="40" t="s">
        <v>802</v>
      </c>
      <c r="N141" s="40" t="s">
        <v>563</v>
      </c>
      <c r="O141" s="40" t="s">
        <v>281</v>
      </c>
      <c r="P141" s="40"/>
      <c r="Q141" s="40"/>
      <c r="R141" s="40"/>
      <c r="S141" s="40"/>
      <c r="T141" s="40"/>
      <c r="U141" s="40" t="s">
        <v>961</v>
      </c>
      <c r="V141" s="40" t="s">
        <v>962</v>
      </c>
    </row>
    <row r="142" spans="1:22">
      <c r="A142" s="37" t="s">
        <v>963</v>
      </c>
      <c r="B142" s="38" t="s">
        <v>964</v>
      </c>
      <c r="C142" s="38">
        <v>46106.85083333333</v>
      </c>
      <c r="D142" s="39">
        <v>46094.393391203703</v>
      </c>
      <c r="E142" s="40"/>
      <c r="F142" s="40" t="s">
        <v>720</v>
      </c>
      <c r="G142" s="41">
        <v>46094.589016203703</v>
      </c>
      <c r="H142" s="40" t="s">
        <v>965</v>
      </c>
      <c r="I142" s="40" t="s">
        <v>59</v>
      </c>
      <c r="J142" s="40" t="s">
        <v>966</v>
      </c>
      <c r="K142" s="40" t="s">
        <v>967</v>
      </c>
      <c r="L142" s="40" t="s">
        <v>69</v>
      </c>
      <c r="M142" s="40" t="s">
        <v>968</v>
      </c>
      <c r="N142" s="40" t="s">
        <v>42</v>
      </c>
      <c r="O142" s="40" t="s">
        <v>508</v>
      </c>
      <c r="P142" s="40"/>
      <c r="Q142" s="40"/>
      <c r="R142" s="40"/>
      <c r="S142" s="40" t="s">
        <v>969</v>
      </c>
      <c r="T142" s="40" t="s">
        <v>481</v>
      </c>
      <c r="U142" s="40" t="s">
        <v>970</v>
      </c>
      <c r="V142" s="40" t="s">
        <v>971</v>
      </c>
    </row>
    <row r="143" spans="1:22">
      <c r="A143" s="37" t="s">
        <v>972</v>
      </c>
      <c r="B143" s="38" t="s">
        <v>973</v>
      </c>
      <c r="C143" s="38">
        <v>46141.755578703713</v>
      </c>
      <c r="D143" s="39">
        <v>46092.557118055563</v>
      </c>
      <c r="E143" s="40"/>
      <c r="F143" s="40" t="s">
        <v>720</v>
      </c>
      <c r="G143" s="41">
        <v>46096.950046296297</v>
      </c>
      <c r="H143" s="40" t="s">
        <v>974</v>
      </c>
      <c r="I143" s="40" t="s">
        <v>210</v>
      </c>
      <c r="J143" s="40" t="s">
        <v>975</v>
      </c>
      <c r="K143" s="40" t="s">
        <v>976</v>
      </c>
      <c r="L143" s="40" t="s">
        <v>196</v>
      </c>
      <c r="M143" s="40" t="s">
        <v>977</v>
      </c>
      <c r="N143" s="40" t="s">
        <v>42</v>
      </c>
      <c r="O143" s="40" t="s">
        <v>32</v>
      </c>
      <c r="P143" s="40"/>
      <c r="Q143" s="40" t="s">
        <v>267</v>
      </c>
      <c r="R143" s="40"/>
      <c r="S143" s="40" t="s">
        <v>978</v>
      </c>
      <c r="T143" s="40"/>
      <c r="U143" s="40" t="s">
        <v>979</v>
      </c>
      <c r="V143" s="40" t="s">
        <v>980</v>
      </c>
    </row>
    <row r="144" spans="1:22">
      <c r="A144" s="37" t="s">
        <v>981</v>
      </c>
      <c r="B144" s="38" t="s">
        <v>982</v>
      </c>
      <c r="C144" s="38">
        <v>46106.844525462962</v>
      </c>
      <c r="D144" s="39">
        <v>46092.344340277778</v>
      </c>
      <c r="E144" s="40"/>
      <c r="F144" s="40" t="s">
        <v>720</v>
      </c>
      <c r="G144" s="41">
        <v>46092.601921296293</v>
      </c>
      <c r="H144" s="40" t="s">
        <v>983</v>
      </c>
      <c r="I144" s="40" t="s">
        <v>59</v>
      </c>
      <c r="J144" s="40" t="s">
        <v>984</v>
      </c>
      <c r="K144" s="40" t="s">
        <v>61</v>
      </c>
      <c r="L144" s="40" t="s">
        <v>62</v>
      </c>
      <c r="M144" s="40" t="s">
        <v>985</v>
      </c>
      <c r="N144" s="40" t="s">
        <v>42</v>
      </c>
      <c r="O144" s="40" t="s">
        <v>508</v>
      </c>
      <c r="P144" s="40"/>
      <c r="Q144" s="40" t="s">
        <v>362</v>
      </c>
      <c r="R144" s="40"/>
      <c r="S144" s="40" t="s">
        <v>986</v>
      </c>
      <c r="T144" s="40" t="s">
        <v>481</v>
      </c>
      <c r="U144" s="40" t="s">
        <v>987</v>
      </c>
      <c r="V144" s="40" t="s">
        <v>988</v>
      </c>
    </row>
    <row r="145" spans="1:22">
      <c r="A145" s="37" t="s">
        <v>989</v>
      </c>
      <c r="B145" s="38" t="s">
        <v>990</v>
      </c>
      <c r="C145" s="38">
        <v>46097.754687499997</v>
      </c>
      <c r="D145" s="39">
        <v>46091.516215277778</v>
      </c>
      <c r="E145" s="40"/>
      <c r="F145" s="40" t="s">
        <v>36</v>
      </c>
      <c r="G145" s="41">
        <v>46092.25</v>
      </c>
      <c r="H145" s="40" t="s">
        <v>991</v>
      </c>
      <c r="I145" s="40" t="s">
        <v>193</v>
      </c>
      <c r="J145" s="40" t="s">
        <v>992</v>
      </c>
      <c r="K145" s="40" t="s">
        <v>993</v>
      </c>
      <c r="L145" s="40" t="s">
        <v>29</v>
      </c>
      <c r="M145" s="40" t="s">
        <v>994</v>
      </c>
      <c r="N145" s="40" t="s">
        <v>42</v>
      </c>
      <c r="O145" s="40"/>
      <c r="P145" s="40"/>
      <c r="Q145" s="40" t="s">
        <v>267</v>
      </c>
      <c r="R145" s="40"/>
      <c r="S145" s="40"/>
      <c r="T145" s="40"/>
      <c r="U145" s="40" t="s">
        <v>995</v>
      </c>
      <c r="V145" s="40" t="s">
        <v>996</v>
      </c>
    </row>
    <row r="146" spans="1:22">
      <c r="A146" s="37" t="s">
        <v>997</v>
      </c>
      <c r="B146" s="38" t="s">
        <v>998</v>
      </c>
      <c r="C146" s="38">
        <v>46135.041851851849</v>
      </c>
      <c r="D146" s="39">
        <v>46083.316631944443</v>
      </c>
      <c r="E146" s="40"/>
      <c r="F146" s="40" t="s">
        <v>36</v>
      </c>
      <c r="G146" s="41">
        <v>46083.354166666657</v>
      </c>
      <c r="H146" s="40" t="s">
        <v>999</v>
      </c>
      <c r="I146" s="40" t="s">
        <v>193</v>
      </c>
      <c r="J146" s="40" t="s">
        <v>992</v>
      </c>
      <c r="K146" s="40" t="s">
        <v>993</v>
      </c>
      <c r="L146" s="40" t="s">
        <v>29</v>
      </c>
      <c r="M146" s="40" t="s">
        <v>1000</v>
      </c>
      <c r="N146" s="40" t="s">
        <v>42</v>
      </c>
      <c r="O146" s="40"/>
      <c r="P146" s="40"/>
      <c r="Q146" s="40" t="s">
        <v>267</v>
      </c>
      <c r="R146" s="40"/>
      <c r="S146" s="40"/>
      <c r="T146" s="40"/>
      <c r="U146" s="40" t="s">
        <v>1001</v>
      </c>
      <c r="V146" s="40" t="s">
        <v>1002</v>
      </c>
    </row>
    <row r="147" spans="1:22">
      <c r="A147" s="37" t="s">
        <v>1003</v>
      </c>
      <c r="B147" s="38" t="s">
        <v>1004</v>
      </c>
      <c r="C147" s="38">
        <v>46118.021331018521</v>
      </c>
      <c r="D147" s="39">
        <v>46082.783576388887</v>
      </c>
      <c r="E147" s="40"/>
      <c r="F147" s="40" t="s">
        <v>36</v>
      </c>
      <c r="G147" s="41">
        <v>46085.625</v>
      </c>
      <c r="H147" s="40" t="s">
        <v>1005</v>
      </c>
      <c r="I147" s="40" t="s">
        <v>193</v>
      </c>
      <c r="J147" s="40" t="s">
        <v>1006</v>
      </c>
      <c r="K147" s="40" t="s">
        <v>1007</v>
      </c>
      <c r="L147" s="40" t="s">
        <v>29</v>
      </c>
      <c r="M147" s="40" t="s">
        <v>1008</v>
      </c>
      <c r="N147" s="40" t="s">
        <v>42</v>
      </c>
      <c r="O147" s="40"/>
      <c r="P147" s="40"/>
      <c r="Q147" s="40" t="s">
        <v>267</v>
      </c>
      <c r="R147" s="40"/>
      <c r="S147" s="40"/>
      <c r="T147" s="40"/>
      <c r="U147" s="40" t="s">
        <v>1009</v>
      </c>
      <c r="V147" s="40" t="s">
        <v>1010</v>
      </c>
    </row>
    <row r="148" spans="1:22">
      <c r="A148" s="37" t="s">
        <v>1011</v>
      </c>
      <c r="B148" s="38" t="s">
        <v>1012</v>
      </c>
      <c r="C148" s="38">
        <v>46092.729733796303</v>
      </c>
      <c r="D148" s="39">
        <v>46082.71974537037</v>
      </c>
      <c r="E148" s="40"/>
      <c r="F148" s="40" t="s">
        <v>720</v>
      </c>
      <c r="G148" s="41">
        <v>46085.438194444447</v>
      </c>
      <c r="H148" s="40" t="s">
        <v>1013</v>
      </c>
      <c r="I148" s="40" t="s">
        <v>532</v>
      </c>
      <c r="J148" s="40" t="s">
        <v>1014</v>
      </c>
      <c r="K148" s="40" t="s">
        <v>1015</v>
      </c>
      <c r="L148" s="40" t="s">
        <v>87</v>
      </c>
      <c r="M148" s="40" t="s">
        <v>1016</v>
      </c>
      <c r="N148" s="40" t="s">
        <v>42</v>
      </c>
      <c r="O148" s="40" t="s">
        <v>495</v>
      </c>
      <c r="P148" s="40"/>
      <c r="Q148" s="40" t="s">
        <v>267</v>
      </c>
      <c r="R148" s="40"/>
      <c r="S148" s="40" t="s">
        <v>1017</v>
      </c>
      <c r="T148" s="40"/>
      <c r="U148" s="40" t="s">
        <v>1018</v>
      </c>
      <c r="V148" s="40" t="s">
        <v>1019</v>
      </c>
    </row>
    <row r="149" spans="1:22">
      <c r="A149" s="42" t="s">
        <v>1020</v>
      </c>
      <c r="B149" s="43" t="s">
        <v>1021</v>
      </c>
      <c r="C149" s="43">
        <v>46108.889722222222</v>
      </c>
      <c r="D149" s="39">
        <v>46082.580381944441</v>
      </c>
      <c r="E149" s="40"/>
      <c r="F149" s="40" t="s">
        <v>36</v>
      </c>
      <c r="G149" s="41">
        <v>46105.401388888888</v>
      </c>
      <c r="H149" s="40" t="s">
        <v>1022</v>
      </c>
      <c r="I149" s="40" t="s">
        <v>1023</v>
      </c>
      <c r="J149" s="40" t="s">
        <v>1024</v>
      </c>
      <c r="K149" s="40" t="s">
        <v>1025</v>
      </c>
      <c r="L149" s="40" t="s">
        <v>1026</v>
      </c>
      <c r="M149" s="40" t="s">
        <v>1027</v>
      </c>
      <c r="N149" s="40" t="s">
        <v>42</v>
      </c>
      <c r="O149" s="40"/>
      <c r="P149" s="40"/>
      <c r="Q149" s="40" t="s">
        <v>267</v>
      </c>
      <c r="R149" s="40"/>
      <c r="S149" s="40"/>
      <c r="T149" s="40"/>
      <c r="U149" s="40" t="s">
        <v>1028</v>
      </c>
      <c r="V149" s="40" t="s">
        <v>1029</v>
      </c>
    </row>
    <row r="150" spans="1:22">
      <c r="D150" s="44">
        <v>46212.902083333334</v>
      </c>
      <c r="E150" s="45" t="s">
        <v>1030</v>
      </c>
      <c r="F150" s="46" t="s">
        <v>48</v>
      </c>
      <c r="G150" s="47"/>
      <c r="H150" s="45" t="s">
        <v>1031</v>
      </c>
      <c r="I150" s="48" t="s">
        <v>107</v>
      </c>
      <c r="J150" s="45" t="s">
        <v>1032</v>
      </c>
      <c r="K150" s="46" t="s">
        <v>1033</v>
      </c>
      <c r="L150" s="49" t="s">
        <v>136</v>
      </c>
      <c r="M150" s="46" t="s">
        <v>1034</v>
      </c>
      <c r="N150" s="46" t="s">
        <v>31</v>
      </c>
      <c r="O150" s="46" t="s">
        <v>32</v>
      </c>
      <c r="P150" s="50"/>
      <c r="Q150" s="49"/>
      <c r="R150" s="49"/>
      <c r="S150" s="46" t="s">
        <v>1035</v>
      </c>
      <c r="T150" s="49"/>
      <c r="U150" s="51" t="s">
        <v>34</v>
      </c>
      <c r="V150" s="52"/>
    </row>
    <row r="151" spans="1:22" ht="13.8">
      <c r="D151" s="44">
        <v>46211.878472222219</v>
      </c>
      <c r="E151" s="45" t="s">
        <v>1036</v>
      </c>
      <c r="F151" s="46" t="s">
        <v>711</v>
      </c>
      <c r="G151" s="47"/>
      <c r="H151" s="45" t="s">
        <v>1037</v>
      </c>
      <c r="I151" s="48" t="s">
        <v>38</v>
      </c>
      <c r="J151" s="45" t="s">
        <v>290</v>
      </c>
      <c r="K151" s="46" t="s">
        <v>291</v>
      </c>
      <c r="L151" s="49" t="s">
        <v>29</v>
      </c>
      <c r="M151" s="46" t="s">
        <v>1038</v>
      </c>
      <c r="N151" s="46" t="s">
        <v>42</v>
      </c>
      <c r="O151" s="46" t="s">
        <v>71</v>
      </c>
      <c r="P151" s="50"/>
      <c r="Q151" s="49"/>
      <c r="R151" s="49"/>
      <c r="S151" s="46" t="s">
        <v>1039</v>
      </c>
      <c r="T151" s="49"/>
      <c r="U151" s="51" t="s">
        <v>1040</v>
      </c>
      <c r="V151" s="53" t="s">
        <v>1041</v>
      </c>
    </row>
    <row r="152" spans="1:22">
      <c r="D152" s="44">
        <v>46211.829861111109</v>
      </c>
      <c r="E152" s="45" t="s">
        <v>1042</v>
      </c>
      <c r="F152" s="46" t="s">
        <v>357</v>
      </c>
      <c r="G152" s="47"/>
      <c r="H152" s="45" t="s">
        <v>1043</v>
      </c>
      <c r="I152" s="48" t="s">
        <v>107</v>
      </c>
      <c r="J152" s="45" t="s">
        <v>108</v>
      </c>
      <c r="K152" s="46" t="s">
        <v>109</v>
      </c>
      <c r="L152" s="49" t="s">
        <v>110</v>
      </c>
      <c r="M152" s="46" t="s">
        <v>30</v>
      </c>
      <c r="N152" s="46" t="s">
        <v>31</v>
      </c>
      <c r="O152" s="46" t="s">
        <v>43</v>
      </c>
      <c r="P152" s="50"/>
      <c r="Q152" s="49"/>
      <c r="R152" s="49"/>
      <c r="S152" s="46" t="s">
        <v>111</v>
      </c>
      <c r="T152" s="49"/>
      <c r="U152" s="51" t="s">
        <v>34</v>
      </c>
      <c r="V152" s="52"/>
    </row>
    <row r="153" spans="1:22" ht="13.8">
      <c r="D153" s="44">
        <v>46211.095833333333</v>
      </c>
      <c r="E153" s="45"/>
      <c r="F153" s="46" t="s">
        <v>36</v>
      </c>
      <c r="G153" s="47">
        <v>46213</v>
      </c>
      <c r="H153" s="45" t="s">
        <v>1044</v>
      </c>
      <c r="I153" s="48" t="s">
        <v>66</v>
      </c>
      <c r="J153" s="45" t="s">
        <v>179</v>
      </c>
      <c r="K153" s="46" t="s">
        <v>180</v>
      </c>
      <c r="L153" s="49" t="s">
        <v>29</v>
      </c>
      <c r="M153" s="46" t="s">
        <v>1045</v>
      </c>
      <c r="N153" s="46" t="s">
        <v>254</v>
      </c>
      <c r="O153" s="46" t="s">
        <v>32</v>
      </c>
      <c r="P153" s="50"/>
      <c r="Q153" s="49"/>
      <c r="R153" s="49"/>
      <c r="S153" s="46" t="s">
        <v>181</v>
      </c>
      <c r="T153" s="49"/>
      <c r="U153" s="51" t="s">
        <v>1046</v>
      </c>
      <c r="V153" s="53" t="s">
        <v>1047</v>
      </c>
    </row>
    <row r="154" spans="1:22">
      <c r="D154" s="44">
        <v>46217.579861111109</v>
      </c>
      <c r="E154" s="45"/>
      <c r="F154" s="46" t="s">
        <v>151</v>
      </c>
      <c r="G154" s="47"/>
      <c r="H154" s="45" t="s">
        <v>1048</v>
      </c>
      <c r="I154" s="48" t="s">
        <v>210</v>
      </c>
      <c r="J154" s="45" t="s">
        <v>588</v>
      </c>
      <c r="K154" s="46" t="s">
        <v>471</v>
      </c>
      <c r="L154" s="49" t="s">
        <v>196</v>
      </c>
      <c r="M154" s="46" t="s">
        <v>1049</v>
      </c>
      <c r="N154" s="46" t="s">
        <v>42</v>
      </c>
      <c r="O154" s="46" t="s">
        <v>1050</v>
      </c>
      <c r="P154" s="50"/>
      <c r="Q154" s="49"/>
      <c r="R154" s="49"/>
      <c r="S154" s="46" t="s">
        <v>1051</v>
      </c>
      <c r="T154" s="49"/>
      <c r="U154" s="51" t="s">
        <v>1052</v>
      </c>
      <c r="V154" s="52"/>
    </row>
    <row r="155" spans="1:22" ht="26.4">
      <c r="D155" s="44">
        <v>46216.707638888889</v>
      </c>
      <c r="E155" s="45"/>
      <c r="F155" s="46" t="s">
        <v>36</v>
      </c>
      <c r="G155" s="47">
        <v>46217</v>
      </c>
      <c r="H155" s="45" t="s">
        <v>1053</v>
      </c>
      <c r="I155" s="48" t="s">
        <v>38</v>
      </c>
      <c r="J155" s="45" t="s">
        <v>1054</v>
      </c>
      <c r="K155" s="46" t="s">
        <v>1055</v>
      </c>
      <c r="L155" s="49" t="s">
        <v>29</v>
      </c>
      <c r="M155" s="46" t="s">
        <v>30</v>
      </c>
      <c r="N155" s="46" t="s">
        <v>31</v>
      </c>
      <c r="O155" s="46" t="s">
        <v>1056</v>
      </c>
      <c r="P155" s="50"/>
      <c r="Q155" s="49"/>
      <c r="R155" s="49"/>
      <c r="S155" s="46" t="s">
        <v>1057</v>
      </c>
      <c r="T155" s="49"/>
      <c r="U155" s="58" t="s">
        <v>1058</v>
      </c>
      <c r="V155" s="59" t="s">
        <v>1059</v>
      </c>
    </row>
    <row r="156" spans="1:22">
      <c r="D156" s="44">
        <v>46216.689583333333</v>
      </c>
      <c r="E156" s="45" t="s">
        <v>1060</v>
      </c>
      <c r="F156" s="46" t="s">
        <v>151</v>
      </c>
      <c r="G156" s="47"/>
      <c r="H156" s="45" t="s">
        <v>1061</v>
      </c>
      <c r="I156" s="48" t="s">
        <v>93</v>
      </c>
      <c r="J156" s="45" t="s">
        <v>1062</v>
      </c>
      <c r="K156" s="46" t="s">
        <v>95</v>
      </c>
      <c r="L156" s="49" t="s">
        <v>29</v>
      </c>
      <c r="M156" s="46" t="s">
        <v>1063</v>
      </c>
      <c r="N156" s="46" t="s">
        <v>42</v>
      </c>
      <c r="O156" s="46" t="s">
        <v>1064</v>
      </c>
      <c r="P156" s="50"/>
      <c r="Q156" s="49"/>
      <c r="R156" s="49"/>
      <c r="S156" s="46" t="s">
        <v>1065</v>
      </c>
      <c r="T156" s="49"/>
      <c r="U156" s="51" t="s">
        <v>1066</v>
      </c>
      <c r="V156" s="51"/>
    </row>
    <row r="157" spans="1:22">
      <c r="D157" s="44">
        <v>46216.555555555555</v>
      </c>
      <c r="E157" s="45"/>
      <c r="F157" s="46" t="s">
        <v>36</v>
      </c>
      <c r="G157" s="47">
        <v>46216</v>
      </c>
      <c r="H157" s="45" t="s">
        <v>1067</v>
      </c>
      <c r="I157" s="48" t="s">
        <v>26</v>
      </c>
      <c r="J157" s="45" t="s">
        <v>1068</v>
      </c>
      <c r="K157" s="46" t="s">
        <v>1069</v>
      </c>
      <c r="L157" s="49" t="s">
        <v>29</v>
      </c>
      <c r="M157" s="46" t="s">
        <v>1070</v>
      </c>
      <c r="N157" s="46" t="s">
        <v>42</v>
      </c>
      <c r="O157" s="46" t="s">
        <v>1071</v>
      </c>
      <c r="P157" s="50"/>
      <c r="Q157" s="49"/>
      <c r="R157" s="49"/>
      <c r="S157" s="46" t="s">
        <v>1072</v>
      </c>
      <c r="T157" s="49"/>
      <c r="U157" s="51" t="s">
        <v>1073</v>
      </c>
      <c r="V157" s="51" t="s">
        <v>1074</v>
      </c>
    </row>
    <row r="158" spans="1:22">
      <c r="D158" s="44">
        <v>46216.463888888888</v>
      </c>
      <c r="E158" s="45" t="s">
        <v>1075</v>
      </c>
      <c r="F158" s="46" t="s">
        <v>48</v>
      </c>
      <c r="G158" s="47"/>
      <c r="H158" s="45" t="s">
        <v>1076</v>
      </c>
      <c r="I158" s="48" t="s">
        <v>532</v>
      </c>
      <c r="J158" s="45" t="s">
        <v>1077</v>
      </c>
      <c r="K158" s="46" t="s">
        <v>1078</v>
      </c>
      <c r="L158" s="49" t="s">
        <v>942</v>
      </c>
      <c r="M158" s="46" t="s">
        <v>1079</v>
      </c>
      <c r="N158" s="46" t="s">
        <v>42</v>
      </c>
      <c r="O158" s="46" t="s">
        <v>32</v>
      </c>
      <c r="P158" s="50"/>
      <c r="Q158" s="49"/>
      <c r="R158" s="49"/>
      <c r="S158" s="46" t="s">
        <v>1080</v>
      </c>
      <c r="T158" s="49"/>
      <c r="U158" s="51" t="s">
        <v>1081</v>
      </c>
      <c r="V158" s="51"/>
    </row>
    <row r="159" spans="1:22">
      <c r="D159" s="44">
        <v>46216.146527777775</v>
      </c>
      <c r="E159" s="45"/>
      <c r="F159" s="46" t="s">
        <v>357</v>
      </c>
      <c r="G159" s="47"/>
      <c r="H159" s="45" t="s">
        <v>1082</v>
      </c>
      <c r="I159" s="48" t="s">
        <v>210</v>
      </c>
      <c r="J159" s="45" t="s">
        <v>1083</v>
      </c>
      <c r="K159" s="46" t="s">
        <v>1084</v>
      </c>
      <c r="L159" s="49" t="s">
        <v>1085</v>
      </c>
      <c r="M159" s="46" t="s">
        <v>30</v>
      </c>
      <c r="N159" s="46" t="s">
        <v>31</v>
      </c>
      <c r="O159" s="46" t="s">
        <v>32</v>
      </c>
      <c r="P159" s="50"/>
      <c r="Q159" s="49"/>
      <c r="R159" s="49"/>
      <c r="S159" s="46" t="s">
        <v>1086</v>
      </c>
      <c r="T159" s="49"/>
      <c r="U159" s="51" t="s">
        <v>34</v>
      </c>
      <c r="V159" s="51"/>
    </row>
    <row r="160" spans="1:22">
      <c r="D160" s="44">
        <v>46215.194444444445</v>
      </c>
      <c r="E160" s="45"/>
      <c r="F160" s="46" t="s">
        <v>36</v>
      </c>
      <c r="G160" s="47">
        <v>46215</v>
      </c>
      <c r="H160" s="45" t="s">
        <v>1087</v>
      </c>
      <c r="I160" s="48" t="s">
        <v>93</v>
      </c>
      <c r="J160" s="45" t="s">
        <v>1088</v>
      </c>
      <c r="K160" s="46" t="s">
        <v>259</v>
      </c>
      <c r="L160" s="49" t="s">
        <v>29</v>
      </c>
      <c r="M160" s="46" t="s">
        <v>30</v>
      </c>
      <c r="N160" s="46" t="s">
        <v>31</v>
      </c>
      <c r="O160" s="46" t="s">
        <v>32</v>
      </c>
      <c r="P160" s="50"/>
      <c r="Q160" s="49"/>
      <c r="R160" s="49"/>
      <c r="S160" s="46" t="s">
        <v>1089</v>
      </c>
      <c r="T160" s="49"/>
      <c r="U160" s="51" t="s">
        <v>34</v>
      </c>
      <c r="V160" s="51" t="s">
        <v>1090</v>
      </c>
    </row>
    <row r="161" spans="4:22">
      <c r="D161" s="44">
        <v>46215.04791666667</v>
      </c>
      <c r="E161" s="45" t="s">
        <v>1091</v>
      </c>
      <c r="F161" s="46" t="s">
        <v>151</v>
      </c>
      <c r="G161" s="47"/>
      <c r="H161" s="45" t="s">
        <v>1092</v>
      </c>
      <c r="I161" s="48"/>
      <c r="J161" s="45" t="s">
        <v>1093</v>
      </c>
      <c r="K161" s="46" t="s">
        <v>1094</v>
      </c>
      <c r="L161" s="49" t="s">
        <v>29</v>
      </c>
      <c r="M161" s="46" t="s">
        <v>30</v>
      </c>
      <c r="N161" s="46" t="s">
        <v>31</v>
      </c>
      <c r="O161" s="46" t="s">
        <v>32</v>
      </c>
      <c r="P161" s="50"/>
      <c r="Q161" s="49"/>
      <c r="R161" s="49"/>
      <c r="S161" s="46" t="s">
        <v>1095</v>
      </c>
      <c r="T161" s="49"/>
      <c r="U161" s="51" t="s">
        <v>34</v>
      </c>
      <c r="V161" s="51"/>
    </row>
    <row r="162" spans="4:22">
      <c r="D162" s="44">
        <v>46214.900694444441</v>
      </c>
      <c r="E162" s="45"/>
      <c r="F162" s="46" t="s">
        <v>36</v>
      </c>
      <c r="G162" s="47">
        <v>46216</v>
      </c>
      <c r="H162" s="45" t="s">
        <v>1096</v>
      </c>
      <c r="I162" s="48" t="s">
        <v>532</v>
      </c>
      <c r="J162" s="45" t="s">
        <v>1097</v>
      </c>
      <c r="K162" s="46" t="s">
        <v>1098</v>
      </c>
      <c r="L162" s="49" t="s">
        <v>942</v>
      </c>
      <c r="M162" s="46" t="s">
        <v>30</v>
      </c>
      <c r="N162" s="46" t="s">
        <v>31</v>
      </c>
      <c r="O162" s="46" t="s">
        <v>32</v>
      </c>
      <c r="P162" s="50"/>
      <c r="Q162" s="49"/>
      <c r="R162" s="49"/>
      <c r="S162" s="46" t="s">
        <v>1099</v>
      </c>
      <c r="T162" s="49"/>
      <c r="U162" s="51" t="s">
        <v>34</v>
      </c>
      <c r="V162" s="51" t="s">
        <v>1100</v>
      </c>
    </row>
    <row r="163" spans="4:22">
      <c r="D163" s="44">
        <v>46214.883333333331</v>
      </c>
      <c r="E163" s="45"/>
      <c r="F163" s="46" t="s">
        <v>36</v>
      </c>
      <c r="G163" s="47">
        <v>46215</v>
      </c>
      <c r="H163" s="45" t="s">
        <v>1101</v>
      </c>
      <c r="I163" s="48" t="s">
        <v>210</v>
      </c>
      <c r="J163" s="45" t="s">
        <v>1083</v>
      </c>
      <c r="K163" s="46" t="s">
        <v>1084</v>
      </c>
      <c r="L163" s="49" t="s">
        <v>1085</v>
      </c>
      <c r="M163" s="46" t="s">
        <v>30</v>
      </c>
      <c r="N163" s="46" t="s">
        <v>31</v>
      </c>
      <c r="O163" s="46" t="s">
        <v>32</v>
      </c>
      <c r="P163" s="50"/>
      <c r="Q163" s="49"/>
      <c r="R163" s="49"/>
      <c r="S163" s="46" t="s">
        <v>1086</v>
      </c>
      <c r="T163" s="49"/>
      <c r="U163" s="51" t="s">
        <v>34</v>
      </c>
      <c r="V163" s="51" t="s">
        <v>1102</v>
      </c>
    </row>
    <row r="164" spans="4:22">
      <c r="D164" s="44">
        <v>46214.801388888889</v>
      </c>
      <c r="E164" s="45"/>
      <c r="F164" s="46" t="s">
        <v>36</v>
      </c>
      <c r="G164" s="47">
        <v>46215</v>
      </c>
      <c r="H164" s="45" t="s">
        <v>1103</v>
      </c>
      <c r="I164" s="48" t="s">
        <v>38</v>
      </c>
      <c r="J164" s="45" t="s">
        <v>1104</v>
      </c>
      <c r="K164" s="46" t="s">
        <v>1105</v>
      </c>
      <c r="L164" s="49" t="s">
        <v>29</v>
      </c>
      <c r="M164" s="46" t="s">
        <v>1106</v>
      </c>
      <c r="N164" s="46" t="s">
        <v>126</v>
      </c>
      <c r="O164" s="46" t="s">
        <v>32</v>
      </c>
      <c r="P164" s="50"/>
      <c r="Q164" s="49"/>
      <c r="R164" s="49"/>
      <c r="S164" s="46"/>
      <c r="T164" s="49"/>
      <c r="U164" s="51" t="s">
        <v>1107</v>
      </c>
      <c r="V164" s="51" t="s">
        <v>1108</v>
      </c>
    </row>
    <row r="165" spans="4:22">
      <c r="D165" s="44">
        <v>46214.6</v>
      </c>
      <c r="E165" s="45"/>
      <c r="F165" s="46" t="s">
        <v>36</v>
      </c>
      <c r="G165" s="47">
        <v>46214</v>
      </c>
      <c r="H165" s="45" t="s">
        <v>1109</v>
      </c>
      <c r="I165" s="48" t="s">
        <v>66</v>
      </c>
      <c r="J165" s="45" t="s">
        <v>174</v>
      </c>
      <c r="K165" s="46" t="s">
        <v>175</v>
      </c>
      <c r="L165" s="49" t="s">
        <v>87</v>
      </c>
      <c r="M165" s="46" t="s">
        <v>30</v>
      </c>
      <c r="N165" s="46" t="s">
        <v>31</v>
      </c>
      <c r="O165" s="46" t="s">
        <v>32</v>
      </c>
      <c r="P165" s="50"/>
      <c r="Q165" s="49"/>
      <c r="R165" s="49"/>
      <c r="S165" s="46" t="s">
        <v>176</v>
      </c>
      <c r="T165" s="49"/>
      <c r="U165" s="51" t="s">
        <v>34</v>
      </c>
      <c r="V165" s="51" t="s">
        <v>1110</v>
      </c>
    </row>
    <row r="166" spans="4:22">
      <c r="D166" s="60">
        <v>46214.366666666669</v>
      </c>
      <c r="E166" s="61" t="s">
        <v>1091</v>
      </c>
      <c r="F166" s="62" t="s">
        <v>151</v>
      </c>
      <c r="G166" s="63"/>
      <c r="H166" s="61" t="s">
        <v>1111</v>
      </c>
      <c r="I166" s="64"/>
      <c r="J166" s="61" t="s">
        <v>1112</v>
      </c>
      <c r="K166" s="62" t="s">
        <v>1113</v>
      </c>
      <c r="L166" s="65" t="s">
        <v>136</v>
      </c>
      <c r="M166" s="62" t="s">
        <v>1114</v>
      </c>
      <c r="N166" s="62" t="s">
        <v>42</v>
      </c>
      <c r="O166" s="62" t="s">
        <v>32</v>
      </c>
      <c r="P166" s="66"/>
      <c r="Q166" s="65"/>
      <c r="R166" s="65"/>
      <c r="S166" s="62" t="s">
        <v>1115</v>
      </c>
      <c r="T166" s="65"/>
      <c r="U166" s="51" t="s">
        <v>1116</v>
      </c>
      <c r="V166" s="51"/>
    </row>
    <row r="167" spans="4:22">
      <c r="D167" s="44">
        <v>46213.665972222225</v>
      </c>
      <c r="E167" s="45"/>
      <c r="F167" s="46" t="s">
        <v>36</v>
      </c>
      <c r="G167" s="47">
        <v>46216</v>
      </c>
      <c r="H167" s="45" t="s">
        <v>1117</v>
      </c>
      <c r="I167" s="48" t="s">
        <v>66</v>
      </c>
      <c r="J167" s="45" t="s">
        <v>174</v>
      </c>
      <c r="K167" s="46" t="s">
        <v>175</v>
      </c>
      <c r="L167" s="49" t="s">
        <v>87</v>
      </c>
      <c r="M167" s="46" t="s">
        <v>1118</v>
      </c>
      <c r="N167" s="46" t="s">
        <v>42</v>
      </c>
      <c r="O167" s="46" t="s">
        <v>1119</v>
      </c>
      <c r="P167" s="50"/>
      <c r="Q167" s="49"/>
      <c r="R167" s="49"/>
      <c r="S167" s="46" t="s">
        <v>176</v>
      </c>
      <c r="T167" s="49"/>
      <c r="U167" s="51" t="s">
        <v>1120</v>
      </c>
      <c r="V167" s="51" t="s">
        <v>1121</v>
      </c>
    </row>
    <row r="168" spans="4:22">
      <c r="D168" s="44">
        <v>46213.586111111108</v>
      </c>
      <c r="E168" s="45"/>
      <c r="F168" s="46" t="s">
        <v>36</v>
      </c>
      <c r="G168" s="47">
        <v>46216</v>
      </c>
      <c r="H168" s="45" t="s">
        <v>1122</v>
      </c>
      <c r="I168" s="48" t="s">
        <v>93</v>
      </c>
      <c r="J168" s="45" t="s">
        <v>1088</v>
      </c>
      <c r="K168" s="46" t="s">
        <v>259</v>
      </c>
      <c r="L168" s="49" t="s">
        <v>29</v>
      </c>
      <c r="M168" s="46" t="s">
        <v>30</v>
      </c>
      <c r="N168" s="46" t="s">
        <v>31</v>
      </c>
      <c r="O168" s="46" t="s">
        <v>32</v>
      </c>
      <c r="P168" s="50"/>
      <c r="Q168" s="49"/>
      <c r="R168" s="49"/>
      <c r="S168" s="46" t="s">
        <v>1123</v>
      </c>
      <c r="T168" s="49"/>
      <c r="U168" s="51" t="s">
        <v>34</v>
      </c>
      <c r="V168" s="86" t="s">
        <v>1124</v>
      </c>
    </row>
    <row r="169" spans="4:22">
      <c r="D169" s="60">
        <v>46213.418055555558</v>
      </c>
      <c r="E169" s="61" t="s">
        <v>1125</v>
      </c>
      <c r="F169" s="62" t="s">
        <v>151</v>
      </c>
      <c r="G169" s="63"/>
      <c r="H169" s="61" t="s">
        <v>1126</v>
      </c>
      <c r="I169" s="67" t="s">
        <v>193</v>
      </c>
      <c r="J169" s="61" t="s">
        <v>1127</v>
      </c>
      <c r="K169" s="62" t="s">
        <v>1128</v>
      </c>
      <c r="L169" s="65" t="s">
        <v>110</v>
      </c>
      <c r="M169" s="62" t="s">
        <v>1129</v>
      </c>
      <c r="N169" s="62" t="s">
        <v>254</v>
      </c>
      <c r="O169" s="62" t="s">
        <v>1071</v>
      </c>
      <c r="P169" s="66"/>
      <c r="Q169" s="65"/>
      <c r="R169" s="65"/>
      <c r="S169" s="62" t="s">
        <v>1130</v>
      </c>
      <c r="T169" s="65"/>
      <c r="U169" s="51" t="s">
        <v>1131</v>
      </c>
      <c r="V169" s="51"/>
    </row>
  </sheetData>
  <dataValidations count="9">
    <dataValidation operator="greaterThanOrEqual" allowBlank="1" showInputMessage="1" showErrorMessage="1" errorTitle="Invalid Date" error="Created On must be in the correct date and time format." promptTitle="Date and time" prompt=" " sqref="E150:E169"/>
    <dataValidation allowBlank="1" showInputMessage="1" showErrorMessage="1" sqref="H150:H169"/>
    <dataValidation type="textLength" operator="lessThanOrEqual" allowBlank="1" showInputMessage="1" showErrorMessage="1" errorTitle="Length Exceeded" error="This value must be less than or equal to 8000 characters long." promptTitle="Text" prompt="Maximum Length: 8000 characters." sqref="U150:U169">
      <formula1>8000</formula1>
    </dataValidation>
    <dataValidation type="textLength" operator="lessThanOrEqual" allowBlank="1" showInputMessage="1" showErrorMessage="1" errorTitle="Length Exceeded" error="This value must be less than or equal to 50 characters long." promptTitle="Text" prompt="Maximum Length: 50 characters." sqref="L150:L169">
      <formula1>50</formula1>
    </dataValidation>
    <dataValidation type="textLength" operator="lessThanOrEqual" allowBlank="1" showInputMessage="1" showErrorMessage="1" errorTitle="Length Exceeded" error="This value must be less than or equal to 80 characters long." promptTitle="Text" prompt="Maximum Length: 80 characters." sqref="K150:K169">
      <formula1>80</formula1>
    </dataValidation>
    <dataValidation showInputMessage="1" showErrorMessage="1" error=" " promptTitle="Lookup (required)" prompt="This Service Account record must already exist in Microsoft Dynamics 365 or in this source file." sqref="J150:J169"/>
    <dataValidation allowBlank="1" showInputMessage="1" showErrorMessage="1" error=" " promptTitle="Lookup" prompt="This Branch (OU) record must already exist in Microsoft Dynamics 365 or in this source file." sqref="I150:I169"/>
    <dataValidation type="date" operator="greaterThanOrEqual" allowBlank="1" showInputMessage="1" showErrorMessage="1" errorTitle="Invalid Date" error="Created On must be in the correct date and time format." promptTitle="Date and time" prompt=" " sqref="D150:D169">
      <formula1>1</formula1>
    </dataValidation>
    <dataValidation type="textLength" operator="lessThanOrEqual" allowBlank="1" showInputMessage="1" showErrorMessage="1" errorTitle="Length Exceeded" error="This value must be less than or equal to 34 characters long." promptTitle="Text" prompt="Maximum Length: 34 characters." sqref="M150:M169 P150:P169">
      <formula1>34</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80"/>
  <sheetViews>
    <sheetView showGridLines="0" topLeftCell="A5" zoomScale="126" workbookViewId="0">
      <selection activeCell="D12" sqref="D12"/>
    </sheetView>
  </sheetViews>
  <sheetFormatPr defaultRowHeight="13.8"/>
  <cols>
    <col min="1" max="2" width="28" customWidth="1"/>
    <col min="3" max="5" width="18" customWidth="1"/>
    <col min="6" max="6" width="22" customWidth="1"/>
    <col min="7" max="7" width="14" customWidth="1"/>
  </cols>
  <sheetData>
    <row r="1" spans="1:9" ht="17.399999999999999">
      <c r="A1" s="1" t="s">
        <v>1256</v>
      </c>
      <c r="B1" s="1"/>
      <c r="C1" s="1"/>
      <c r="D1" s="1"/>
      <c r="E1" s="1"/>
      <c r="F1" s="1"/>
      <c r="G1" s="1"/>
    </row>
    <row r="3" spans="1:9">
      <c r="A3" s="89" t="s">
        <v>1139</v>
      </c>
      <c r="B3" s="90" t="s">
        <v>1257</v>
      </c>
      <c r="C3" s="90" t="s">
        <v>1258</v>
      </c>
      <c r="D3" s="90" t="s">
        <v>1259</v>
      </c>
      <c r="E3" s="90" t="s">
        <v>1260</v>
      </c>
      <c r="F3" s="90" t="s">
        <v>1261</v>
      </c>
      <c r="G3" s="91" t="s">
        <v>1262</v>
      </c>
      <c r="H3" s="92" t="s">
        <v>1517</v>
      </c>
      <c r="I3" s="92" t="s">
        <v>1518</v>
      </c>
    </row>
    <row r="4" spans="1:9">
      <c r="A4" s="3" t="s">
        <v>1148</v>
      </c>
      <c r="B4" s="2" t="s">
        <v>1148</v>
      </c>
      <c r="C4" s="2" t="s">
        <v>1263</v>
      </c>
      <c r="D4" s="2" t="s">
        <v>1264</v>
      </c>
      <c r="E4" s="15">
        <v>46132</v>
      </c>
      <c r="F4" s="2"/>
      <c r="G4" s="4">
        <v>1</v>
      </c>
      <c r="H4" s="93" t="s">
        <v>1519</v>
      </c>
      <c r="I4" s="93" t="s">
        <v>1519</v>
      </c>
    </row>
    <row r="5" spans="1:9">
      <c r="A5" s="3" t="s">
        <v>1144</v>
      </c>
      <c r="B5" s="2" t="s">
        <v>1265</v>
      </c>
      <c r="C5" s="2" t="s">
        <v>1266</v>
      </c>
      <c r="D5" s="2" t="s">
        <v>1264</v>
      </c>
      <c r="E5" s="15">
        <v>46178</v>
      </c>
      <c r="F5" s="2"/>
      <c r="G5" s="4">
        <v>2</v>
      </c>
      <c r="H5" s="94" t="s">
        <v>1520</v>
      </c>
      <c r="I5" s="94" t="s">
        <v>1520</v>
      </c>
    </row>
    <row r="6" spans="1:9">
      <c r="A6" s="3" t="s">
        <v>1187</v>
      </c>
      <c r="B6" s="2" t="s">
        <v>1265</v>
      </c>
      <c r="C6" s="2" t="s">
        <v>1267</v>
      </c>
      <c r="D6" s="2" t="s">
        <v>1264</v>
      </c>
      <c r="E6" s="15">
        <v>46178</v>
      </c>
      <c r="F6" s="2" t="s">
        <v>1170</v>
      </c>
      <c r="G6" s="4">
        <v>3</v>
      </c>
      <c r="H6" s="94" t="s">
        <v>1520</v>
      </c>
      <c r="I6" s="94" t="s">
        <v>1520</v>
      </c>
    </row>
    <row r="7" spans="1:9">
      <c r="A7" s="3" t="s">
        <v>1167</v>
      </c>
      <c r="B7" s="2" t="s">
        <v>1265</v>
      </c>
      <c r="C7" s="2" t="s">
        <v>1268</v>
      </c>
      <c r="D7" s="2" t="s">
        <v>1264</v>
      </c>
      <c r="E7" s="15">
        <v>46178</v>
      </c>
      <c r="F7" s="2" t="s">
        <v>1170</v>
      </c>
      <c r="G7" s="4">
        <v>4</v>
      </c>
      <c r="H7" s="94" t="s">
        <v>1520</v>
      </c>
      <c r="I7" s="94" t="s">
        <v>1520</v>
      </c>
    </row>
    <row r="8" spans="1:9">
      <c r="A8" s="3" t="s">
        <v>1227</v>
      </c>
      <c r="B8" s="2" t="s">
        <v>1265</v>
      </c>
      <c r="C8" s="2" t="s">
        <v>1267</v>
      </c>
      <c r="D8" s="2" t="s">
        <v>1264</v>
      </c>
      <c r="E8" s="15">
        <v>46178</v>
      </c>
      <c r="F8" s="2" t="s">
        <v>1170</v>
      </c>
      <c r="G8" s="4">
        <v>5</v>
      </c>
      <c r="H8" s="94" t="s">
        <v>1520</v>
      </c>
      <c r="I8" s="94" t="s">
        <v>1520</v>
      </c>
    </row>
    <row r="9" spans="1:9">
      <c r="A9" s="3" t="s">
        <v>1175</v>
      </c>
      <c r="B9" s="2" t="s">
        <v>1265</v>
      </c>
      <c r="C9" s="2" t="s">
        <v>1269</v>
      </c>
      <c r="D9" s="2" t="s">
        <v>1264</v>
      </c>
      <c r="E9" s="15">
        <v>46178</v>
      </c>
      <c r="F9" s="2"/>
      <c r="G9" s="4">
        <v>6</v>
      </c>
      <c r="H9" s="94" t="s">
        <v>1520</v>
      </c>
      <c r="I9" s="94" t="s">
        <v>1520</v>
      </c>
    </row>
    <row r="10" spans="1:9">
      <c r="A10" s="3" t="s">
        <v>1160</v>
      </c>
      <c r="B10" s="2" t="s">
        <v>1265</v>
      </c>
      <c r="C10" s="2" t="s">
        <v>1270</v>
      </c>
      <c r="D10" s="2" t="s">
        <v>1264</v>
      </c>
      <c r="E10" s="15">
        <v>46178</v>
      </c>
      <c r="F10" s="2" t="s">
        <v>1170</v>
      </c>
      <c r="G10" s="4">
        <v>7</v>
      </c>
      <c r="H10" s="94" t="s">
        <v>1520</v>
      </c>
      <c r="I10" s="94" t="s">
        <v>1520</v>
      </c>
    </row>
    <row r="11" spans="1:9" ht="15">
      <c r="A11" s="3" t="s">
        <v>1146</v>
      </c>
      <c r="B11" s="2" t="s">
        <v>1146</v>
      </c>
      <c r="C11" s="2" t="s">
        <v>1263</v>
      </c>
      <c r="D11" s="2" t="s">
        <v>1264</v>
      </c>
      <c r="E11" s="15">
        <v>46213</v>
      </c>
      <c r="F11" s="33" t="s">
        <v>1271</v>
      </c>
      <c r="G11" s="4">
        <v>8</v>
      </c>
      <c r="H11" s="95" t="s">
        <v>1521</v>
      </c>
      <c r="I11" s="95" t="s">
        <v>1521</v>
      </c>
    </row>
    <row r="12" spans="1:9">
      <c r="A12" s="3" t="s">
        <v>1154</v>
      </c>
      <c r="B12" s="2" t="s">
        <v>1154</v>
      </c>
      <c r="C12" s="2" t="s">
        <v>1263</v>
      </c>
      <c r="D12" s="2" t="s">
        <v>1264</v>
      </c>
      <c r="E12" s="15">
        <v>46108</v>
      </c>
      <c r="F12" s="2"/>
      <c r="G12" s="4">
        <v>9</v>
      </c>
      <c r="H12" s="96" t="s">
        <v>1522</v>
      </c>
      <c r="I12" s="96" t="s">
        <v>1522</v>
      </c>
    </row>
    <row r="13" spans="1:9">
      <c r="A13" s="3" t="s">
        <v>1150</v>
      </c>
      <c r="B13" s="2" t="s">
        <v>1150</v>
      </c>
      <c r="C13" s="2" t="s">
        <v>1272</v>
      </c>
      <c r="D13" s="2" t="s">
        <v>1273</v>
      </c>
      <c r="E13" s="15">
        <v>46191</v>
      </c>
      <c r="F13" s="2" t="s">
        <v>1170</v>
      </c>
      <c r="G13" s="4">
        <v>10</v>
      </c>
      <c r="H13" s="97" t="s">
        <v>1523</v>
      </c>
      <c r="I13" s="97" t="s">
        <v>1523</v>
      </c>
    </row>
    <row r="14" spans="1:9">
      <c r="A14" s="3" t="s">
        <v>1147</v>
      </c>
      <c r="B14" s="2" t="s">
        <v>1147</v>
      </c>
      <c r="C14" s="2" t="s">
        <v>1274</v>
      </c>
      <c r="D14" s="2" t="s">
        <v>1264</v>
      </c>
      <c r="E14" s="15">
        <v>46171</v>
      </c>
      <c r="F14" s="2" t="s">
        <v>1170</v>
      </c>
      <c r="G14" s="4">
        <v>11</v>
      </c>
      <c r="H14" s="98" t="s">
        <v>1524</v>
      </c>
      <c r="I14" s="98" t="s">
        <v>1524</v>
      </c>
    </row>
    <row r="15" spans="1:9">
      <c r="A15" s="3" t="s">
        <v>1149</v>
      </c>
      <c r="B15" s="2" t="s">
        <v>1149</v>
      </c>
      <c r="C15" s="2" t="s">
        <v>1263</v>
      </c>
      <c r="D15" s="2" t="s">
        <v>1264</v>
      </c>
      <c r="E15" s="15">
        <v>46135</v>
      </c>
      <c r="F15" s="2"/>
      <c r="G15" s="4">
        <v>12</v>
      </c>
      <c r="H15" s="99">
        <v>264478</v>
      </c>
      <c r="I15" s="99">
        <v>264478</v>
      </c>
    </row>
    <row r="16" spans="1:9">
      <c r="A16" s="3" t="s">
        <v>1152</v>
      </c>
      <c r="B16" s="2" t="s">
        <v>1152</v>
      </c>
      <c r="C16" s="2" t="s">
        <v>1263</v>
      </c>
      <c r="D16" s="2" t="s">
        <v>365</v>
      </c>
      <c r="E16" s="15"/>
      <c r="F16" s="2"/>
      <c r="G16" s="4">
        <v>13</v>
      </c>
      <c r="H16" s="100" t="s">
        <v>1525</v>
      </c>
      <c r="I16" s="100" t="s">
        <v>1525</v>
      </c>
    </row>
    <row r="17" spans="1:9">
      <c r="A17" s="3" t="s">
        <v>1156</v>
      </c>
      <c r="B17" s="2" t="s">
        <v>1156</v>
      </c>
      <c r="C17" s="2" t="s">
        <v>1275</v>
      </c>
      <c r="D17" s="2" t="s">
        <v>1264</v>
      </c>
      <c r="E17" s="15">
        <v>46185</v>
      </c>
      <c r="F17" s="2" t="s">
        <v>1170</v>
      </c>
      <c r="G17" s="4">
        <v>14</v>
      </c>
      <c r="H17" s="101">
        <v>636363</v>
      </c>
      <c r="I17" s="101">
        <v>636363</v>
      </c>
    </row>
    <row r="18" spans="1:9">
      <c r="A18" s="3" t="s">
        <v>1155</v>
      </c>
      <c r="B18" s="2" t="s">
        <v>1155</v>
      </c>
      <c r="C18" s="2" t="s">
        <v>1275</v>
      </c>
      <c r="D18" s="2" t="s">
        <v>1264</v>
      </c>
      <c r="E18" s="15">
        <v>46164</v>
      </c>
      <c r="F18" s="2" t="s">
        <v>1170</v>
      </c>
      <c r="G18" s="4">
        <v>15</v>
      </c>
      <c r="H18" s="102">
        <v>997300</v>
      </c>
      <c r="I18" s="102">
        <v>997300</v>
      </c>
    </row>
    <row r="19" spans="1:9">
      <c r="A19" s="3" t="s">
        <v>1173</v>
      </c>
      <c r="B19" s="2" t="s">
        <v>1173</v>
      </c>
      <c r="C19" s="2" t="s">
        <v>1263</v>
      </c>
      <c r="D19" s="2" t="s">
        <v>1264</v>
      </c>
      <c r="E19" s="15">
        <v>46097</v>
      </c>
      <c r="F19" s="2"/>
      <c r="G19" s="4">
        <v>16</v>
      </c>
      <c r="H19" s="103">
        <v>2.5499999999999998E+93</v>
      </c>
      <c r="I19" s="103">
        <v>2.5499999999999998E+93</v>
      </c>
    </row>
    <row r="20" spans="1:9">
      <c r="A20" s="3" t="s">
        <v>1164</v>
      </c>
      <c r="B20" s="2" t="s">
        <v>1164</v>
      </c>
      <c r="C20" s="2" t="s">
        <v>1274</v>
      </c>
      <c r="D20" s="2" t="s">
        <v>1264</v>
      </c>
      <c r="E20" s="15">
        <v>46171</v>
      </c>
      <c r="F20" s="2"/>
      <c r="G20" s="4">
        <v>17</v>
      </c>
      <c r="H20" s="104" t="s">
        <v>1526</v>
      </c>
      <c r="I20" s="104" t="s">
        <v>1526</v>
      </c>
    </row>
    <row r="21" spans="1:9">
      <c r="A21" s="3" t="s">
        <v>1163</v>
      </c>
      <c r="B21" s="2" t="s">
        <v>1163</v>
      </c>
      <c r="C21" s="2" t="s">
        <v>1268</v>
      </c>
      <c r="D21" s="2" t="s">
        <v>1264</v>
      </c>
      <c r="E21" s="15">
        <v>46171</v>
      </c>
      <c r="F21" s="2"/>
      <c r="G21" s="4">
        <v>18</v>
      </c>
      <c r="H21" s="105" t="s">
        <v>1527</v>
      </c>
      <c r="I21" s="105" t="s">
        <v>1527</v>
      </c>
    </row>
    <row r="22" spans="1:9">
      <c r="A22" s="3" t="s">
        <v>1157</v>
      </c>
      <c r="B22" s="2" t="s">
        <v>1157</v>
      </c>
      <c r="C22" s="2" t="s">
        <v>1274</v>
      </c>
      <c r="D22" s="2" t="s">
        <v>1264</v>
      </c>
      <c r="E22" s="15">
        <v>46171</v>
      </c>
      <c r="F22" s="2" t="s">
        <v>1170</v>
      </c>
      <c r="G22" s="4">
        <v>19</v>
      </c>
      <c r="H22" s="106" t="s">
        <v>1528</v>
      </c>
      <c r="I22" s="106" t="s">
        <v>1528</v>
      </c>
    </row>
    <row r="23" spans="1:9">
      <c r="A23" s="3" t="s">
        <v>1165</v>
      </c>
      <c r="B23" s="2" t="s">
        <v>1165</v>
      </c>
      <c r="C23" s="2" t="s">
        <v>1275</v>
      </c>
      <c r="D23" s="2" t="s">
        <v>1273</v>
      </c>
      <c r="E23" s="15">
        <v>46189</v>
      </c>
      <c r="F23" s="2" t="s">
        <v>1170</v>
      </c>
      <c r="G23" s="4">
        <v>20</v>
      </c>
      <c r="H23" s="107" t="s">
        <v>1529</v>
      </c>
      <c r="I23" s="107" t="s">
        <v>1529</v>
      </c>
    </row>
    <row r="24" spans="1:9">
      <c r="A24" s="3" t="s">
        <v>1159</v>
      </c>
      <c r="B24" s="2" t="s">
        <v>1159</v>
      </c>
      <c r="C24" s="2" t="s">
        <v>1170</v>
      </c>
      <c r="D24" s="2" t="s">
        <v>1264</v>
      </c>
      <c r="E24" s="15"/>
      <c r="F24" s="2" t="s">
        <v>1170</v>
      </c>
      <c r="G24" s="4">
        <v>21</v>
      </c>
      <c r="H24" s="108" t="s">
        <v>1530</v>
      </c>
      <c r="I24" s="108" t="s">
        <v>1530</v>
      </c>
    </row>
    <row r="25" spans="1:9">
      <c r="A25" s="3" t="s">
        <v>1166</v>
      </c>
      <c r="B25" s="2" t="s">
        <v>1166</v>
      </c>
      <c r="C25" s="2" t="s">
        <v>1274</v>
      </c>
      <c r="D25" s="2" t="s">
        <v>1264</v>
      </c>
      <c r="E25" s="15">
        <v>46171</v>
      </c>
      <c r="F25" s="2" t="s">
        <v>1170</v>
      </c>
      <c r="G25" s="4">
        <v>22</v>
      </c>
      <c r="H25" s="109" t="s">
        <v>1531</v>
      </c>
      <c r="I25" s="109" t="s">
        <v>1531</v>
      </c>
    </row>
    <row r="26" spans="1:9">
      <c r="A26" s="3" t="s">
        <v>1162</v>
      </c>
      <c r="B26" s="2" t="s">
        <v>1162</v>
      </c>
      <c r="C26" s="2" t="s">
        <v>1272</v>
      </c>
      <c r="D26" s="2" t="s">
        <v>1264</v>
      </c>
      <c r="E26" s="15">
        <v>46171</v>
      </c>
      <c r="F26" s="2" t="s">
        <v>1170</v>
      </c>
      <c r="G26" s="4">
        <v>23</v>
      </c>
      <c r="H26" s="110" t="s">
        <v>1532</v>
      </c>
      <c r="I26" s="110" t="s">
        <v>1532</v>
      </c>
    </row>
    <row r="27" spans="1:9">
      <c r="A27" s="3" t="s">
        <v>1158</v>
      </c>
      <c r="B27" s="2" t="s">
        <v>1158</v>
      </c>
      <c r="C27" s="2" t="s">
        <v>1170</v>
      </c>
      <c r="D27" s="2" t="s">
        <v>1273</v>
      </c>
      <c r="E27" s="15"/>
      <c r="F27" s="2" t="s">
        <v>1170</v>
      </c>
      <c r="G27" s="4">
        <v>24</v>
      </c>
      <c r="H27" s="111" t="s">
        <v>1533</v>
      </c>
      <c r="I27" s="111" t="s">
        <v>1533</v>
      </c>
    </row>
    <row r="28" spans="1:9">
      <c r="A28" s="3" t="s">
        <v>1169</v>
      </c>
      <c r="B28" s="2" t="s">
        <v>1169</v>
      </c>
      <c r="C28" s="2" t="s">
        <v>1275</v>
      </c>
      <c r="D28" s="2" t="s">
        <v>1273</v>
      </c>
      <c r="E28" s="15">
        <v>46171</v>
      </c>
      <c r="F28" s="2" t="s">
        <v>1170</v>
      </c>
      <c r="G28" s="4">
        <v>25</v>
      </c>
      <c r="H28" s="112" t="s">
        <v>1534</v>
      </c>
      <c r="I28" s="112" t="s">
        <v>1534</v>
      </c>
    </row>
    <row r="29" spans="1:9">
      <c r="A29" s="3" t="s">
        <v>1236</v>
      </c>
      <c r="B29" s="2" t="s">
        <v>1236</v>
      </c>
      <c r="C29" s="2" t="s">
        <v>1263</v>
      </c>
      <c r="D29" s="2" t="s">
        <v>1273</v>
      </c>
      <c r="E29" s="15"/>
      <c r="F29" s="2" t="s">
        <v>1170</v>
      </c>
      <c r="G29" s="4">
        <v>26</v>
      </c>
      <c r="H29" s="103">
        <v>2.5499999999999998E+93</v>
      </c>
      <c r="I29" s="103">
        <v>2.5499999999999998E+93</v>
      </c>
    </row>
    <row r="30" spans="1:9">
      <c r="A30" s="3"/>
      <c r="B30" s="2"/>
      <c r="C30" s="2"/>
      <c r="D30" s="2"/>
      <c r="E30" s="15"/>
      <c r="F30" s="2"/>
      <c r="G30" s="4"/>
    </row>
    <row r="31" spans="1:9">
      <c r="A31" s="3"/>
      <c r="B31" s="2"/>
      <c r="C31" s="2"/>
      <c r="D31" s="2"/>
      <c r="E31" s="15"/>
      <c r="F31" s="2"/>
      <c r="G31" s="4"/>
    </row>
    <row r="32" spans="1:9">
      <c r="A32" s="3"/>
      <c r="B32" s="2"/>
      <c r="C32" s="2"/>
      <c r="D32" s="2"/>
      <c r="E32" s="15"/>
      <c r="F32" s="2"/>
      <c r="G32" s="4"/>
    </row>
    <row r="33" spans="1:7">
      <c r="A33" s="3"/>
      <c r="B33" s="2"/>
      <c r="C33" s="2"/>
      <c r="D33" s="2"/>
      <c r="E33" s="15"/>
      <c r="F33" s="2"/>
      <c r="G33" s="4"/>
    </row>
    <row r="34" spans="1:7">
      <c r="A34" s="3"/>
      <c r="B34" s="2"/>
      <c r="C34" s="2"/>
      <c r="D34" s="2"/>
      <c r="E34" s="15"/>
      <c r="F34" s="2"/>
      <c r="G34" s="4"/>
    </row>
    <row r="35" spans="1:7">
      <c r="A35" s="3"/>
      <c r="B35" s="2"/>
      <c r="C35" s="2"/>
      <c r="D35" s="2"/>
      <c r="E35" s="15"/>
      <c r="F35" s="2"/>
      <c r="G35" s="4"/>
    </row>
    <row r="36" spans="1:7">
      <c r="A36" s="3"/>
      <c r="B36" s="2"/>
      <c r="C36" s="2"/>
      <c r="D36" s="2"/>
      <c r="E36" s="15"/>
      <c r="F36" s="2"/>
      <c r="G36" s="4"/>
    </row>
    <row r="37" spans="1:7">
      <c r="A37" s="3"/>
      <c r="B37" s="2"/>
      <c r="C37" s="2"/>
      <c r="D37" s="2"/>
      <c r="E37" s="15"/>
      <c r="F37" s="2"/>
      <c r="G37" s="4"/>
    </row>
    <row r="38" spans="1:7">
      <c r="A38" s="3"/>
      <c r="B38" s="2"/>
      <c r="C38" s="2"/>
      <c r="D38" s="2"/>
      <c r="E38" s="15"/>
      <c r="F38" s="2"/>
      <c r="G38" s="4"/>
    </row>
    <row r="39" spans="1:7">
      <c r="A39" s="3"/>
      <c r="B39" s="2"/>
      <c r="C39" s="2"/>
      <c r="D39" s="2"/>
      <c r="E39" s="15"/>
      <c r="F39" s="2"/>
      <c r="G39" s="4"/>
    </row>
    <row r="40" spans="1:7">
      <c r="A40" s="3"/>
      <c r="B40" s="2"/>
      <c r="C40" s="2"/>
      <c r="D40" s="2"/>
      <c r="E40" s="15"/>
      <c r="F40" s="2"/>
      <c r="G40" s="4"/>
    </row>
    <row r="41" spans="1:7">
      <c r="A41" s="3"/>
      <c r="B41" s="2"/>
      <c r="C41" s="2"/>
      <c r="D41" s="2"/>
      <c r="E41" s="15"/>
      <c r="F41" s="2"/>
      <c r="G41" s="4"/>
    </row>
    <row r="42" spans="1:7">
      <c r="A42" s="3"/>
      <c r="B42" s="2"/>
      <c r="C42" s="2"/>
      <c r="D42" s="2"/>
      <c r="E42" s="15"/>
      <c r="F42" s="2"/>
      <c r="G42" s="4"/>
    </row>
    <row r="43" spans="1:7">
      <c r="A43" s="3"/>
      <c r="B43" s="2"/>
      <c r="C43" s="2"/>
      <c r="D43" s="2"/>
      <c r="E43" s="15"/>
      <c r="F43" s="2"/>
      <c r="G43" s="4"/>
    </row>
    <row r="44" spans="1:7">
      <c r="A44" s="3"/>
      <c r="B44" s="2"/>
      <c r="C44" s="2"/>
      <c r="D44" s="2"/>
      <c r="E44" s="15"/>
      <c r="F44" s="2"/>
      <c r="G44" s="4"/>
    </row>
    <row r="45" spans="1:7">
      <c r="A45" s="3"/>
      <c r="B45" s="2"/>
      <c r="C45" s="2"/>
      <c r="D45" s="2"/>
      <c r="E45" s="15"/>
      <c r="F45" s="2"/>
      <c r="G45" s="4"/>
    </row>
    <row r="46" spans="1:7">
      <c r="A46" s="3"/>
      <c r="B46" s="2"/>
      <c r="C46" s="2"/>
      <c r="D46" s="2"/>
      <c r="E46" s="15"/>
      <c r="F46" s="2"/>
      <c r="G46" s="4"/>
    </row>
    <row r="47" spans="1:7">
      <c r="A47" s="3"/>
      <c r="B47" s="2"/>
      <c r="C47" s="2"/>
      <c r="D47" s="2"/>
      <c r="E47" s="15"/>
      <c r="F47" s="2"/>
      <c r="G47" s="4"/>
    </row>
    <row r="48" spans="1:7">
      <c r="A48" s="3"/>
      <c r="B48" s="2"/>
      <c r="C48" s="2"/>
      <c r="D48" s="2"/>
      <c r="E48" s="15"/>
      <c r="F48" s="2"/>
      <c r="G48" s="4"/>
    </row>
    <row r="49" spans="1:7">
      <c r="A49" s="3"/>
      <c r="B49" s="2"/>
      <c r="C49" s="2"/>
      <c r="D49" s="2"/>
      <c r="E49" s="15"/>
      <c r="F49" s="2"/>
      <c r="G49" s="4"/>
    </row>
    <row r="50" spans="1:7">
      <c r="A50" s="3"/>
      <c r="B50" s="2"/>
      <c r="C50" s="2"/>
      <c r="D50" s="2"/>
      <c r="E50" s="15"/>
      <c r="F50" s="2"/>
      <c r="G50" s="4"/>
    </row>
    <row r="51" spans="1:7">
      <c r="A51" s="3"/>
      <c r="B51" s="2"/>
      <c r="C51" s="2"/>
      <c r="D51" s="2"/>
      <c r="E51" s="15"/>
      <c r="F51" s="2"/>
      <c r="G51" s="4"/>
    </row>
    <row r="52" spans="1:7">
      <c r="A52" s="3"/>
      <c r="B52" s="2"/>
      <c r="C52" s="2"/>
      <c r="D52" s="2"/>
      <c r="E52" s="15"/>
      <c r="F52" s="2"/>
      <c r="G52" s="4"/>
    </row>
    <row r="53" spans="1:7">
      <c r="A53" s="3"/>
      <c r="B53" s="2"/>
      <c r="C53" s="2"/>
      <c r="D53" s="2"/>
      <c r="E53" s="15"/>
      <c r="F53" s="2"/>
      <c r="G53" s="4"/>
    </row>
    <row r="54" spans="1:7">
      <c r="A54" s="3"/>
      <c r="B54" s="2"/>
      <c r="C54" s="2"/>
      <c r="D54" s="2"/>
      <c r="E54" s="15"/>
      <c r="F54" s="2"/>
      <c r="G54" s="4"/>
    </row>
    <row r="55" spans="1:7">
      <c r="A55" s="3"/>
      <c r="B55" s="2"/>
      <c r="C55" s="2"/>
      <c r="D55" s="2"/>
      <c r="E55" s="15"/>
      <c r="F55" s="2"/>
      <c r="G55" s="4"/>
    </row>
    <row r="56" spans="1:7">
      <c r="A56" s="3"/>
      <c r="B56" s="2"/>
      <c r="C56" s="2"/>
      <c r="D56" s="2"/>
      <c r="E56" s="15"/>
      <c r="F56" s="2"/>
      <c r="G56" s="4"/>
    </row>
    <row r="57" spans="1:7">
      <c r="A57" s="3"/>
      <c r="B57" s="2"/>
      <c r="C57" s="2"/>
      <c r="D57" s="2"/>
      <c r="E57" s="15"/>
      <c r="F57" s="2"/>
      <c r="G57" s="4"/>
    </row>
    <row r="58" spans="1:7">
      <c r="A58" s="3"/>
      <c r="B58" s="2"/>
      <c r="C58" s="2"/>
      <c r="D58" s="2"/>
      <c r="E58" s="15"/>
      <c r="F58" s="2"/>
      <c r="G58" s="4"/>
    </row>
    <row r="59" spans="1:7">
      <c r="A59" s="5"/>
      <c r="B59" s="7"/>
      <c r="C59" s="7"/>
      <c r="D59" s="7"/>
      <c r="E59" s="16"/>
      <c r="F59" s="7"/>
      <c r="G59" s="6"/>
    </row>
    <row r="63" spans="1:7">
      <c r="A63" s="88" t="s">
        <v>1535</v>
      </c>
    </row>
    <row r="64" spans="1:7">
      <c r="A64" s="92" t="s">
        <v>1536</v>
      </c>
      <c r="B64" s="92" t="s">
        <v>1537</v>
      </c>
      <c r="C64" s="92" t="s">
        <v>1538</v>
      </c>
    </row>
    <row r="65" spans="1:3">
      <c r="A65" t="s">
        <v>1539</v>
      </c>
      <c r="B65">
        <v>240</v>
      </c>
      <c r="C65" t="s">
        <v>1540</v>
      </c>
    </row>
    <row r="66" spans="1:3">
      <c r="A66" t="s">
        <v>1541</v>
      </c>
      <c r="B66">
        <v>400</v>
      </c>
      <c r="C66" t="s">
        <v>1542</v>
      </c>
    </row>
    <row r="67" spans="1:3">
      <c r="A67" t="s">
        <v>1543</v>
      </c>
      <c r="B67">
        <v>80</v>
      </c>
      <c r="C67" t="s">
        <v>1544</v>
      </c>
    </row>
    <row r="68" spans="1:3">
      <c r="A68" t="s">
        <v>1545</v>
      </c>
      <c r="B68">
        <v>20</v>
      </c>
      <c r="C68" t="s">
        <v>1546</v>
      </c>
    </row>
    <row r="69" spans="1:3">
      <c r="A69" t="s">
        <v>1547</v>
      </c>
      <c r="B69">
        <v>100000</v>
      </c>
      <c r="C69" t="s">
        <v>1548</v>
      </c>
    </row>
    <row r="73" spans="1:3">
      <c r="A73" s="88" t="s">
        <v>1549</v>
      </c>
    </row>
    <row r="74" spans="1:3">
      <c r="A74" s="92" t="s">
        <v>1550</v>
      </c>
    </row>
    <row r="75" spans="1:3">
      <c r="A75" t="s">
        <v>1509</v>
      </c>
    </row>
    <row r="76" spans="1:3">
      <c r="A76" t="s">
        <v>1510</v>
      </c>
    </row>
    <row r="77" spans="1:3">
      <c r="A77" t="s">
        <v>1511</v>
      </c>
    </row>
    <row r="78" spans="1:3">
      <c r="A78" t="s">
        <v>1513</v>
      </c>
    </row>
    <row r="79" spans="1:3">
      <c r="A79" t="s">
        <v>1512</v>
      </c>
    </row>
    <row r="80" spans="1:3">
      <c r="A80" t="s">
        <v>1514</v>
      </c>
    </row>
  </sheetData>
  <dataValidations count="1">
    <dataValidation type="list" allowBlank="1" sqref="D4:D59">
      <formula1>"Open,Closed,TBD"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E173"/>
  <sheetViews>
    <sheetView showGridLines="0" topLeftCell="A3" workbookViewId="0">
      <selection activeCell="I23" sqref="I23"/>
    </sheetView>
  </sheetViews>
  <sheetFormatPr defaultRowHeight="13.8"/>
  <cols>
    <col min="1" max="1" width="24" customWidth="1"/>
    <col min="2" max="2" width="18" customWidth="1"/>
    <col min="3" max="5" width="16" customWidth="1"/>
  </cols>
  <sheetData>
    <row r="1" spans="1:5" ht="17.399999999999999">
      <c r="A1" s="1" t="s">
        <v>1305</v>
      </c>
      <c r="B1" s="1"/>
      <c r="C1" s="1"/>
      <c r="D1" s="1"/>
      <c r="E1" s="1"/>
    </row>
    <row r="3" spans="1:5" ht="27.6">
      <c r="A3" s="80" t="s">
        <v>1306</v>
      </c>
      <c r="B3" s="81" t="s">
        <v>1307</v>
      </c>
      <c r="C3" s="81" t="s">
        <v>1308</v>
      </c>
      <c r="D3" s="81" t="s">
        <v>1309</v>
      </c>
      <c r="E3" s="82" t="s">
        <v>1140</v>
      </c>
    </row>
    <row r="4" spans="1:5">
      <c r="A4" s="3" t="s">
        <v>1310</v>
      </c>
      <c r="B4" s="54">
        <v>46092</v>
      </c>
      <c r="C4" s="2" t="s">
        <v>825</v>
      </c>
      <c r="D4" s="2" t="s">
        <v>69</v>
      </c>
      <c r="E4" s="4"/>
    </row>
    <row r="5" spans="1:5">
      <c r="A5" s="3" t="s">
        <v>1311</v>
      </c>
      <c r="B5" s="54">
        <v>46112</v>
      </c>
      <c r="C5" s="2" t="s">
        <v>666</v>
      </c>
      <c r="D5" s="2" t="s">
        <v>69</v>
      </c>
      <c r="E5" s="4"/>
    </row>
    <row r="6" spans="1:5">
      <c r="A6" s="3" t="s">
        <v>67</v>
      </c>
      <c r="B6" s="54">
        <v>46091</v>
      </c>
      <c r="C6" s="2" t="s">
        <v>68</v>
      </c>
      <c r="D6" s="2" t="s">
        <v>69</v>
      </c>
      <c r="E6" s="4"/>
    </row>
    <row r="7" spans="1:5">
      <c r="A7" s="3" t="s">
        <v>1312</v>
      </c>
      <c r="B7" s="54">
        <v>46090</v>
      </c>
      <c r="C7" s="2" t="s">
        <v>967</v>
      </c>
      <c r="D7" s="2" t="s">
        <v>69</v>
      </c>
      <c r="E7" s="4"/>
    </row>
    <row r="8" spans="1:5">
      <c r="A8" s="3" t="s">
        <v>1313</v>
      </c>
      <c r="B8" s="54">
        <v>46086</v>
      </c>
      <c r="C8" s="2" t="s">
        <v>851</v>
      </c>
      <c r="D8" s="2" t="s">
        <v>69</v>
      </c>
      <c r="E8" s="4"/>
    </row>
    <row r="9" spans="1:5">
      <c r="A9" s="3" t="s">
        <v>1314</v>
      </c>
      <c r="B9" s="54">
        <v>46106</v>
      </c>
      <c r="C9" s="2" t="s">
        <v>867</v>
      </c>
      <c r="D9" s="2" t="s">
        <v>196</v>
      </c>
      <c r="E9" s="4"/>
    </row>
    <row r="10" spans="1:5">
      <c r="A10" s="3" t="s">
        <v>588</v>
      </c>
      <c r="B10" s="54">
        <v>46141</v>
      </c>
      <c r="C10" s="2" t="s">
        <v>471</v>
      </c>
      <c r="D10" s="2" t="s">
        <v>196</v>
      </c>
      <c r="E10" s="4"/>
    </row>
    <row r="11" spans="1:5">
      <c r="A11" s="3" t="s">
        <v>264</v>
      </c>
      <c r="B11" s="54">
        <v>46141</v>
      </c>
      <c r="C11" s="2" t="s">
        <v>265</v>
      </c>
      <c r="D11" s="2" t="s">
        <v>196</v>
      </c>
      <c r="E11" s="4"/>
    </row>
    <row r="12" spans="1:5">
      <c r="A12" s="3" t="s">
        <v>593</v>
      </c>
      <c r="B12" s="54">
        <v>46147</v>
      </c>
      <c r="C12" s="2" t="s">
        <v>594</v>
      </c>
      <c r="D12" s="2" t="s">
        <v>196</v>
      </c>
      <c r="E12" s="4"/>
    </row>
    <row r="13" spans="1:5">
      <c r="A13" s="3" t="s">
        <v>326</v>
      </c>
      <c r="B13" s="54">
        <v>46105</v>
      </c>
      <c r="C13" s="2" t="s">
        <v>212</v>
      </c>
      <c r="D13" s="2" t="s">
        <v>196</v>
      </c>
      <c r="E13" s="4"/>
    </row>
    <row r="14" spans="1:5">
      <c r="A14" s="3" t="s">
        <v>305</v>
      </c>
      <c r="B14" s="54">
        <v>46106</v>
      </c>
      <c r="C14" s="2" t="s">
        <v>306</v>
      </c>
      <c r="D14" s="2" t="s">
        <v>196</v>
      </c>
      <c r="E14" s="4"/>
    </row>
    <row r="15" spans="1:5">
      <c r="A15" s="3" t="s">
        <v>1315</v>
      </c>
      <c r="B15" s="54">
        <v>46142</v>
      </c>
      <c r="C15" s="2" t="s">
        <v>478</v>
      </c>
      <c r="D15" s="2" t="s">
        <v>196</v>
      </c>
      <c r="E15" s="4"/>
    </row>
    <row r="16" spans="1:5">
      <c r="A16" s="3" t="s">
        <v>223</v>
      </c>
      <c r="B16" s="54">
        <v>46099</v>
      </c>
      <c r="C16" s="2" t="s">
        <v>224</v>
      </c>
      <c r="D16" s="2" t="s">
        <v>196</v>
      </c>
      <c r="E16" s="4"/>
    </row>
    <row r="17" spans="1:5">
      <c r="A17" s="3" t="s">
        <v>550</v>
      </c>
      <c r="B17" s="54">
        <v>46099</v>
      </c>
      <c r="C17" s="2" t="s">
        <v>551</v>
      </c>
      <c r="D17" s="2" t="s">
        <v>196</v>
      </c>
      <c r="E17" s="4"/>
    </row>
    <row r="18" spans="1:5">
      <c r="A18" s="3" t="s">
        <v>211</v>
      </c>
      <c r="B18" s="54">
        <v>46105</v>
      </c>
      <c r="C18" s="2" t="s">
        <v>212</v>
      </c>
      <c r="D18" s="2" t="s">
        <v>196</v>
      </c>
      <c r="E18" s="4"/>
    </row>
    <row r="19" spans="1:5">
      <c r="A19" s="3" t="s">
        <v>194</v>
      </c>
      <c r="B19" s="54">
        <v>46189</v>
      </c>
      <c r="C19" s="2" t="s">
        <v>195</v>
      </c>
      <c r="D19" s="2" t="s">
        <v>196</v>
      </c>
      <c r="E19" s="4"/>
    </row>
    <row r="20" spans="1:5">
      <c r="A20" s="3" t="s">
        <v>122</v>
      </c>
      <c r="B20" s="54">
        <v>46204</v>
      </c>
      <c r="C20" s="2" t="s">
        <v>123</v>
      </c>
      <c r="D20" s="2" t="s">
        <v>124</v>
      </c>
      <c r="E20" s="4"/>
    </row>
    <row r="21" spans="1:5">
      <c r="A21" s="3" t="s">
        <v>278</v>
      </c>
      <c r="B21" s="54">
        <v>46161</v>
      </c>
      <c r="C21" s="2" t="s">
        <v>279</v>
      </c>
      <c r="D21" s="2" t="s">
        <v>136</v>
      </c>
      <c r="E21" s="4"/>
    </row>
    <row r="22" spans="1:5">
      <c r="A22" s="3" t="s">
        <v>331</v>
      </c>
      <c r="B22" s="54">
        <v>46132</v>
      </c>
      <c r="C22" s="2" t="s">
        <v>332</v>
      </c>
      <c r="D22" s="2" t="s">
        <v>136</v>
      </c>
      <c r="E22" s="4"/>
    </row>
    <row r="23" spans="1:5">
      <c r="A23" s="3" t="s">
        <v>453</v>
      </c>
      <c r="B23" s="54">
        <v>46134</v>
      </c>
      <c r="C23" s="2" t="s">
        <v>332</v>
      </c>
      <c r="D23" s="2" t="s">
        <v>136</v>
      </c>
      <c r="E23" s="4"/>
    </row>
    <row r="24" spans="1:5">
      <c r="A24" s="3" t="s">
        <v>134</v>
      </c>
      <c r="B24" s="54">
        <v>46134</v>
      </c>
      <c r="C24" s="2" t="s">
        <v>135</v>
      </c>
      <c r="D24" s="2" t="s">
        <v>136</v>
      </c>
      <c r="E24" s="4"/>
    </row>
    <row r="25" spans="1:5">
      <c r="A25" s="3" t="s">
        <v>342</v>
      </c>
      <c r="B25" s="54">
        <v>46169</v>
      </c>
      <c r="C25" s="2" t="s">
        <v>343</v>
      </c>
      <c r="D25" s="2" t="s">
        <v>136</v>
      </c>
      <c r="E25" s="4"/>
    </row>
    <row r="26" spans="1:5">
      <c r="A26" s="3" t="s">
        <v>578</v>
      </c>
      <c r="B26" s="54">
        <v>46125</v>
      </c>
      <c r="C26" s="2" t="s">
        <v>109</v>
      </c>
      <c r="D26" s="2" t="s">
        <v>110</v>
      </c>
      <c r="E26" s="4"/>
    </row>
    <row r="27" spans="1:5">
      <c r="A27" s="3" t="s">
        <v>295</v>
      </c>
      <c r="B27" s="54">
        <v>46118</v>
      </c>
      <c r="C27" s="2" t="s">
        <v>296</v>
      </c>
      <c r="D27" s="2" t="s">
        <v>110</v>
      </c>
      <c r="E27" s="4"/>
    </row>
    <row r="28" spans="1:5">
      <c r="A28" s="3" t="s">
        <v>108</v>
      </c>
      <c r="B28" s="54">
        <v>46125</v>
      </c>
      <c r="C28" s="2" t="s">
        <v>109</v>
      </c>
      <c r="D28" s="2" t="s">
        <v>110</v>
      </c>
      <c r="E28" s="4"/>
    </row>
    <row r="29" spans="1:5">
      <c r="A29" s="3" t="s">
        <v>174</v>
      </c>
      <c r="B29" s="54">
        <v>46199</v>
      </c>
      <c r="C29" s="2" t="s">
        <v>175</v>
      </c>
      <c r="D29" s="2" t="s">
        <v>87</v>
      </c>
      <c r="E29" s="4"/>
    </row>
    <row r="30" spans="1:5">
      <c r="A30" s="3" t="s">
        <v>157</v>
      </c>
      <c r="B30" s="54">
        <v>46190</v>
      </c>
      <c r="C30" s="2" t="s">
        <v>158</v>
      </c>
      <c r="D30" s="2" t="s">
        <v>87</v>
      </c>
      <c r="E30" s="4"/>
    </row>
    <row r="31" spans="1:5">
      <c r="A31" s="3" t="s">
        <v>85</v>
      </c>
      <c r="B31" s="54">
        <v>46190</v>
      </c>
      <c r="C31" s="2" t="s">
        <v>86</v>
      </c>
      <c r="D31" s="2" t="s">
        <v>87</v>
      </c>
      <c r="E31" s="4"/>
    </row>
    <row r="32" spans="1:5">
      <c r="A32" s="3" t="s">
        <v>433</v>
      </c>
      <c r="B32" s="54">
        <v>46170</v>
      </c>
      <c r="C32" t="s">
        <v>434</v>
      </c>
      <c r="D32" t="s">
        <v>87</v>
      </c>
      <c r="E32" s="28"/>
    </row>
    <row r="33" spans="1:5">
      <c r="A33" s="3" t="s">
        <v>373</v>
      </c>
      <c r="B33" s="54">
        <v>46174</v>
      </c>
      <c r="C33" s="2" t="s">
        <v>374</v>
      </c>
      <c r="D33" s="2" t="s">
        <v>53</v>
      </c>
      <c r="E33" s="4"/>
    </row>
    <row r="34" spans="1:5">
      <c r="A34" s="3" t="s">
        <v>512</v>
      </c>
      <c r="B34" s="54">
        <v>46154</v>
      </c>
      <c r="C34" s="2" t="s">
        <v>52</v>
      </c>
      <c r="D34" s="2" t="s">
        <v>53</v>
      </c>
      <c r="E34" s="4"/>
    </row>
    <row r="35" spans="1:5">
      <c r="A35" s="3" t="s">
        <v>51</v>
      </c>
      <c r="B35" s="54">
        <v>46155</v>
      </c>
      <c r="C35" s="2" t="s">
        <v>52</v>
      </c>
      <c r="D35" s="2" t="s">
        <v>53</v>
      </c>
      <c r="E35" s="4"/>
    </row>
    <row r="36" spans="1:5">
      <c r="A36" s="3" t="s">
        <v>394</v>
      </c>
      <c r="B36" s="54">
        <v>46169</v>
      </c>
      <c r="C36" s="2" t="s">
        <v>395</v>
      </c>
      <c r="D36" s="2" t="s">
        <v>53</v>
      </c>
      <c r="E36" s="4"/>
    </row>
    <row r="37" spans="1:5">
      <c r="A37" s="3" t="s">
        <v>321</v>
      </c>
      <c r="B37" s="54">
        <v>46127</v>
      </c>
      <c r="C37" s="2" t="s">
        <v>141</v>
      </c>
      <c r="D37" s="2" t="s">
        <v>142</v>
      </c>
      <c r="E37" s="4"/>
    </row>
    <row r="38" spans="1:5">
      <c r="A38" s="3" t="s">
        <v>240</v>
      </c>
      <c r="B38" s="54">
        <v>46126</v>
      </c>
      <c r="C38" s="2" t="s">
        <v>141</v>
      </c>
      <c r="D38" s="2" t="s">
        <v>142</v>
      </c>
      <c r="E38" s="4"/>
    </row>
    <row r="39" spans="1:5">
      <c r="A39" s="3" t="s">
        <v>140</v>
      </c>
      <c r="B39" s="54">
        <v>46127</v>
      </c>
      <c r="C39" s="2" t="s">
        <v>141</v>
      </c>
      <c r="D39" s="2" t="s">
        <v>142</v>
      </c>
      <c r="E39" s="4"/>
    </row>
    <row r="40" spans="1:5">
      <c r="A40" s="3" t="s">
        <v>1316</v>
      </c>
      <c r="B40" s="54">
        <v>46093</v>
      </c>
      <c r="C40" s="2" t="s">
        <v>613</v>
      </c>
      <c r="D40" s="2" t="s">
        <v>142</v>
      </c>
      <c r="E40" s="4"/>
    </row>
    <row r="41" spans="1:5">
      <c r="A41" s="3" t="s">
        <v>440</v>
      </c>
      <c r="B41" s="54">
        <v>46126</v>
      </c>
      <c r="C41" s="2" t="s">
        <v>441</v>
      </c>
      <c r="D41" s="2" t="s">
        <v>142</v>
      </c>
      <c r="E41" s="4"/>
    </row>
    <row r="42" spans="1:5">
      <c r="A42" s="3" t="s">
        <v>1317</v>
      </c>
      <c r="B42" s="54">
        <v>46098</v>
      </c>
      <c r="C42" s="2" t="s">
        <v>685</v>
      </c>
      <c r="D42" s="2" t="s">
        <v>686</v>
      </c>
      <c r="E42" s="4"/>
    </row>
    <row r="43" spans="1:5">
      <c r="A43" s="3" t="s">
        <v>234</v>
      </c>
      <c r="B43" s="54">
        <v>46188</v>
      </c>
      <c r="C43" s="2" t="s">
        <v>235</v>
      </c>
      <c r="D43" s="2" t="s">
        <v>62</v>
      </c>
      <c r="E43" s="4"/>
    </row>
    <row r="44" spans="1:5">
      <c r="A44" s="3" t="s">
        <v>416</v>
      </c>
      <c r="B44" s="54">
        <v>46126</v>
      </c>
      <c r="C44" s="2" t="s">
        <v>417</v>
      </c>
      <c r="D44" s="2" t="s">
        <v>62</v>
      </c>
      <c r="E44" s="4"/>
    </row>
    <row r="45" spans="1:5">
      <c r="A45" s="3" t="s">
        <v>60</v>
      </c>
      <c r="B45" s="54">
        <v>46084</v>
      </c>
      <c r="C45" s="2" t="s">
        <v>61</v>
      </c>
      <c r="D45" s="2" t="s">
        <v>62</v>
      </c>
      <c r="E45" s="4"/>
    </row>
    <row r="46" spans="1:5">
      <c r="A46" s="3" t="s">
        <v>251</v>
      </c>
      <c r="B46" s="54">
        <v>46181</v>
      </c>
      <c r="C46" s="2" t="s">
        <v>252</v>
      </c>
      <c r="D46" s="2" t="s">
        <v>62</v>
      </c>
      <c r="E46" s="4"/>
    </row>
    <row r="47" spans="1:5">
      <c r="A47" s="3" t="s">
        <v>1318</v>
      </c>
      <c r="B47" s="54">
        <v>46125</v>
      </c>
      <c r="C47" s="2" t="s">
        <v>519</v>
      </c>
      <c r="D47" s="2" t="s">
        <v>204</v>
      </c>
      <c r="E47" s="4"/>
    </row>
    <row r="48" spans="1:5">
      <c r="A48" s="3" t="s">
        <v>202</v>
      </c>
      <c r="B48" s="54">
        <v>46122</v>
      </c>
      <c r="C48" s="2" t="s">
        <v>203</v>
      </c>
      <c r="D48" s="2" t="s">
        <v>204</v>
      </c>
      <c r="E48" s="4"/>
    </row>
    <row r="49" spans="1:5">
      <c r="A49" s="3" t="s">
        <v>1319</v>
      </c>
      <c r="B49" s="54">
        <v>46098</v>
      </c>
      <c r="C49" s="2" t="s">
        <v>350</v>
      </c>
      <c r="D49" s="2" t="s">
        <v>29</v>
      </c>
      <c r="E49" s="4"/>
    </row>
    <row r="50" spans="1:5">
      <c r="A50" s="3" t="s">
        <v>1320</v>
      </c>
      <c r="B50" s="54">
        <v>46106</v>
      </c>
      <c r="C50" s="2" t="s">
        <v>877</v>
      </c>
      <c r="D50" s="2" t="s">
        <v>29</v>
      </c>
      <c r="E50" s="4"/>
    </row>
    <row r="51" spans="1:5">
      <c r="A51" s="3" t="s">
        <v>179</v>
      </c>
      <c r="B51" s="54">
        <v>46169</v>
      </c>
      <c r="C51" s="2" t="s">
        <v>180</v>
      </c>
      <c r="D51" s="2" t="s">
        <v>29</v>
      </c>
      <c r="E51" s="4"/>
    </row>
    <row r="52" spans="1:5">
      <c r="A52" s="3" t="s">
        <v>94</v>
      </c>
      <c r="B52" s="54">
        <v>46097</v>
      </c>
      <c r="C52" s="2" t="s">
        <v>95</v>
      </c>
      <c r="D52" s="2" t="s">
        <v>29</v>
      </c>
      <c r="E52" s="4"/>
    </row>
    <row r="53" spans="1:5">
      <c r="A53" s="3" t="s">
        <v>258</v>
      </c>
      <c r="B53" s="54">
        <v>46148</v>
      </c>
      <c r="C53" s="2" t="s">
        <v>259</v>
      </c>
      <c r="D53" s="2" t="s">
        <v>29</v>
      </c>
      <c r="E53" s="4"/>
    </row>
    <row r="54" spans="1:5">
      <c r="A54" s="3" t="s">
        <v>1321</v>
      </c>
      <c r="B54" s="54">
        <v>46119</v>
      </c>
      <c r="C54" s="2" t="s">
        <v>817</v>
      </c>
      <c r="D54" s="2" t="s">
        <v>29</v>
      </c>
      <c r="E54" s="4"/>
    </row>
    <row r="55" spans="1:5">
      <c r="A55" s="3" t="s">
        <v>146</v>
      </c>
      <c r="B55" s="54">
        <v>46161</v>
      </c>
      <c r="C55" s="2" t="s">
        <v>147</v>
      </c>
      <c r="D55" s="2" t="s">
        <v>29</v>
      </c>
      <c r="E55" s="4"/>
    </row>
    <row r="56" spans="1:5">
      <c r="A56" s="3" t="s">
        <v>447</v>
      </c>
      <c r="B56" s="54">
        <v>46098</v>
      </c>
      <c r="C56" s="2" t="s">
        <v>95</v>
      </c>
      <c r="D56" s="2" t="s">
        <v>29</v>
      </c>
      <c r="E56" s="4"/>
    </row>
    <row r="57" spans="1:5">
      <c r="A57" s="3" t="s">
        <v>349</v>
      </c>
      <c r="B57" s="54">
        <v>46106</v>
      </c>
      <c r="C57" s="2" t="s">
        <v>350</v>
      </c>
      <c r="D57" s="2" t="s">
        <v>29</v>
      </c>
      <c r="E57" s="4"/>
    </row>
    <row r="58" spans="1:5">
      <c r="A58" s="3" t="s">
        <v>27</v>
      </c>
      <c r="B58" s="54">
        <v>46106</v>
      </c>
      <c r="C58" s="2" t="s">
        <v>28</v>
      </c>
      <c r="D58" s="2" t="s">
        <v>29</v>
      </c>
      <c r="E58" s="4"/>
    </row>
    <row r="59" spans="1:5">
      <c r="A59" s="3" t="s">
        <v>1322</v>
      </c>
      <c r="B59" s="54">
        <v>46119</v>
      </c>
      <c r="C59" s="2" t="s">
        <v>569</v>
      </c>
      <c r="D59" s="2" t="s">
        <v>29</v>
      </c>
      <c r="E59" s="4"/>
    </row>
    <row r="60" spans="1:5">
      <c r="A60" s="3" t="s">
        <v>313</v>
      </c>
      <c r="B60" s="54">
        <v>46106</v>
      </c>
      <c r="C60" s="2" t="s">
        <v>314</v>
      </c>
      <c r="D60" s="2" t="s">
        <v>29</v>
      </c>
      <c r="E60" s="4"/>
    </row>
    <row r="61" spans="1:5">
      <c r="A61" s="3" t="s">
        <v>492</v>
      </c>
      <c r="B61" s="54">
        <v>46120</v>
      </c>
      <c r="C61" s="2" t="s">
        <v>493</v>
      </c>
      <c r="D61" s="2" t="s">
        <v>29</v>
      </c>
      <c r="E61" s="4"/>
    </row>
    <row r="62" spans="1:5">
      <c r="A62" s="3" t="s">
        <v>162</v>
      </c>
      <c r="B62" s="54">
        <v>46140</v>
      </c>
      <c r="C62" s="2" t="s">
        <v>163</v>
      </c>
      <c r="D62" s="2" t="s">
        <v>29</v>
      </c>
      <c r="E62" s="4"/>
    </row>
    <row r="63" spans="1:5">
      <c r="A63" s="3" t="s">
        <v>114</v>
      </c>
      <c r="B63" s="54">
        <v>46203</v>
      </c>
      <c r="C63" s="2" t="s">
        <v>115</v>
      </c>
      <c r="D63" s="2" t="s">
        <v>29</v>
      </c>
      <c r="E63" s="4"/>
    </row>
    <row r="64" spans="1:5">
      <c r="A64" s="3" t="s">
        <v>290</v>
      </c>
      <c r="B64" s="54">
        <v>46148</v>
      </c>
      <c r="C64" s="2" t="s">
        <v>291</v>
      </c>
      <c r="D64" s="2" t="s">
        <v>29</v>
      </c>
      <c r="E64" s="4"/>
    </row>
    <row r="65" spans="1:5">
      <c r="A65" s="3" t="s">
        <v>153</v>
      </c>
      <c r="B65" s="54">
        <v>46092</v>
      </c>
      <c r="C65" s="2" t="s">
        <v>154</v>
      </c>
      <c r="D65" s="2" t="s">
        <v>29</v>
      </c>
      <c r="E65" s="4"/>
    </row>
    <row r="66" spans="1:5">
      <c r="A66" s="3" t="s">
        <v>101</v>
      </c>
      <c r="B66" s="54">
        <v>46203</v>
      </c>
      <c r="C66" s="2" t="s">
        <v>102</v>
      </c>
      <c r="D66" s="2" t="s">
        <v>29</v>
      </c>
      <c r="E66" s="4"/>
    </row>
    <row r="67" spans="1:5">
      <c r="A67" s="3" t="s">
        <v>336</v>
      </c>
      <c r="B67" s="54">
        <v>46099</v>
      </c>
      <c r="C67" s="2" t="s">
        <v>337</v>
      </c>
      <c r="D67" s="2" t="s">
        <v>29</v>
      </c>
      <c r="E67" s="4"/>
    </row>
    <row r="68" spans="1:5">
      <c r="A68" s="3" t="s">
        <v>77</v>
      </c>
      <c r="B68" s="54">
        <v>46128</v>
      </c>
      <c r="C68" s="2" t="s">
        <v>78</v>
      </c>
      <c r="D68" s="2" t="s">
        <v>29</v>
      </c>
      <c r="E68" s="4"/>
    </row>
    <row r="69" spans="1:5">
      <c r="A69" s="3" t="s">
        <v>285</v>
      </c>
      <c r="B69" s="54">
        <v>46126</v>
      </c>
      <c r="C69" s="2" t="s">
        <v>286</v>
      </c>
      <c r="D69" s="2" t="s">
        <v>29</v>
      </c>
      <c r="E69" s="4"/>
    </row>
    <row r="70" spans="1:5">
      <c r="A70" s="3" t="s">
        <v>568</v>
      </c>
      <c r="B70" s="54">
        <v>46120</v>
      </c>
      <c r="C70" s="2" t="s">
        <v>569</v>
      </c>
      <c r="D70" s="2" t="s">
        <v>29</v>
      </c>
      <c r="E70" s="4"/>
    </row>
    <row r="71" spans="1:5">
      <c r="A71" s="3" t="s">
        <v>39</v>
      </c>
      <c r="B71" s="54">
        <v>46149</v>
      </c>
      <c r="C71" s="2" t="s">
        <v>40</v>
      </c>
      <c r="D71" s="2" t="s">
        <v>29</v>
      </c>
      <c r="E71" s="4"/>
    </row>
    <row r="72" spans="1:5">
      <c r="A72" s="5" t="s">
        <v>1323</v>
      </c>
      <c r="B72" s="55">
        <v>46099</v>
      </c>
      <c r="C72" s="7" t="s">
        <v>337</v>
      </c>
      <c r="D72" s="7" t="s">
        <v>29</v>
      </c>
      <c r="E72" s="6"/>
    </row>
    <row r="73" spans="1:5">
      <c r="A73" s="3" t="s">
        <v>1324</v>
      </c>
      <c r="B73" s="55">
        <v>46085</v>
      </c>
      <c r="C73" s="2"/>
      <c r="D73" s="2"/>
      <c r="E73" s="2"/>
    </row>
    <row r="74" spans="1:5">
      <c r="A74" t="s">
        <v>1325</v>
      </c>
      <c r="B74" s="56">
        <v>46211</v>
      </c>
      <c r="C74" t="s">
        <v>1033</v>
      </c>
      <c r="D74" t="s">
        <v>136</v>
      </c>
    </row>
    <row r="75" spans="1:5">
      <c r="A75" t="s">
        <v>1326</v>
      </c>
      <c r="B75" s="56">
        <v>46213</v>
      </c>
      <c r="C75" t="s">
        <v>1327</v>
      </c>
      <c r="D75" t="s">
        <v>136</v>
      </c>
    </row>
    <row r="76" spans="1:5">
      <c r="A76" t="s">
        <v>1328</v>
      </c>
      <c r="B76" s="56">
        <v>46214</v>
      </c>
      <c r="C76" t="s">
        <v>1105</v>
      </c>
      <c r="D76" t="s">
        <v>29</v>
      </c>
    </row>
    <row r="77" spans="1:5">
      <c r="A77" t="s">
        <v>1054</v>
      </c>
      <c r="B77" s="56">
        <v>46215</v>
      </c>
      <c r="C77" t="s">
        <v>1055</v>
      </c>
      <c r="D77" t="s">
        <v>29</v>
      </c>
    </row>
    <row r="78" spans="1:5">
      <c r="A78" t="s">
        <v>1329</v>
      </c>
      <c r="B78" s="56">
        <v>46212</v>
      </c>
      <c r="C78" t="s">
        <v>1330</v>
      </c>
      <c r="D78" t="s">
        <v>29</v>
      </c>
    </row>
    <row r="79" spans="1:5">
      <c r="A79" t="s">
        <v>1331</v>
      </c>
      <c r="B79" s="56">
        <v>46212</v>
      </c>
      <c r="C79" t="s">
        <v>1332</v>
      </c>
      <c r="D79" t="s">
        <v>29</v>
      </c>
    </row>
    <row r="80" spans="1:5">
      <c r="A80" t="s">
        <v>1333</v>
      </c>
      <c r="B80" s="56">
        <v>46212</v>
      </c>
      <c r="C80" t="s">
        <v>1098</v>
      </c>
      <c r="D80" t="s">
        <v>942</v>
      </c>
    </row>
    <row r="81" spans="1:4">
      <c r="A81" t="s">
        <v>1334</v>
      </c>
      <c r="B81" s="56">
        <v>46210</v>
      </c>
      <c r="C81" t="s">
        <v>1335</v>
      </c>
      <c r="D81" t="s">
        <v>124</v>
      </c>
    </row>
    <row r="82" spans="1:4">
      <c r="A82" t="s">
        <v>1062</v>
      </c>
      <c r="B82" s="56">
        <v>46211</v>
      </c>
      <c r="C82" t="s">
        <v>95</v>
      </c>
      <c r="D82" t="s">
        <v>29</v>
      </c>
    </row>
    <row r="83" spans="1:4">
      <c r="A83" t="s">
        <v>1336</v>
      </c>
      <c r="B83" s="56">
        <v>46211</v>
      </c>
      <c r="C83" t="s">
        <v>1337</v>
      </c>
      <c r="D83" t="s">
        <v>1338</v>
      </c>
    </row>
    <row r="84" spans="1:4">
      <c r="A84" t="s">
        <v>1088</v>
      </c>
      <c r="B84" s="56">
        <v>46211</v>
      </c>
      <c r="C84" t="s">
        <v>259</v>
      </c>
      <c r="D84" t="s">
        <v>29</v>
      </c>
    </row>
    <row r="85" spans="1:4">
      <c r="A85" t="s">
        <v>1127</v>
      </c>
      <c r="B85" s="56">
        <v>46209</v>
      </c>
      <c r="C85" t="s">
        <v>1128</v>
      </c>
      <c r="D85" t="s">
        <v>110</v>
      </c>
    </row>
    <row r="86" spans="1:4">
      <c r="A86" t="s">
        <v>1339</v>
      </c>
      <c r="B86" s="57">
        <v>46205</v>
      </c>
      <c r="C86" t="s">
        <v>1340</v>
      </c>
      <c r="D86" t="s">
        <v>124</v>
      </c>
    </row>
    <row r="87" spans="1:4">
      <c r="A87" t="s">
        <v>1341</v>
      </c>
      <c r="B87" s="56">
        <v>46203</v>
      </c>
      <c r="C87" t="s">
        <v>1342</v>
      </c>
      <c r="D87" t="s">
        <v>29</v>
      </c>
    </row>
    <row r="88" spans="1:4">
      <c r="A88" t="s">
        <v>1343</v>
      </c>
      <c r="B88" s="56">
        <v>46204</v>
      </c>
      <c r="C88" t="s">
        <v>1344</v>
      </c>
      <c r="D88" t="s">
        <v>29</v>
      </c>
    </row>
    <row r="89" spans="1:4">
      <c r="A89" t="s">
        <v>1345</v>
      </c>
      <c r="B89" s="56">
        <v>46204</v>
      </c>
      <c r="C89" t="s">
        <v>1346</v>
      </c>
      <c r="D89" t="s">
        <v>124</v>
      </c>
    </row>
    <row r="90" spans="1:4">
      <c r="A90" t="s">
        <v>101</v>
      </c>
      <c r="B90" s="56">
        <v>46203</v>
      </c>
      <c r="C90" t="s">
        <v>130</v>
      </c>
      <c r="D90" t="s">
        <v>29</v>
      </c>
    </row>
    <row r="91" spans="1:4">
      <c r="A91" t="s">
        <v>1347</v>
      </c>
      <c r="B91" s="56">
        <v>46203</v>
      </c>
      <c r="C91" t="s">
        <v>1348</v>
      </c>
      <c r="D91" t="s">
        <v>29</v>
      </c>
    </row>
    <row r="92" spans="1:4">
      <c r="A92" t="s">
        <v>1112</v>
      </c>
      <c r="B92" s="56">
        <v>46195</v>
      </c>
      <c r="C92" t="s">
        <v>1113</v>
      </c>
      <c r="D92" t="s">
        <v>136</v>
      </c>
    </row>
    <row r="93" spans="1:4">
      <c r="A93" t="s">
        <v>1349</v>
      </c>
      <c r="B93" s="56">
        <v>46190</v>
      </c>
      <c r="C93" t="s">
        <v>1069</v>
      </c>
      <c r="D93" t="s">
        <v>29</v>
      </c>
    </row>
    <row r="94" spans="1:4">
      <c r="A94" t="s">
        <v>1350</v>
      </c>
      <c r="B94" s="56">
        <v>46189</v>
      </c>
      <c r="C94" t="s">
        <v>1351</v>
      </c>
      <c r="D94" t="s">
        <v>87</v>
      </c>
    </row>
    <row r="95" spans="1:4">
      <c r="A95" t="s">
        <v>1352</v>
      </c>
      <c r="B95" s="56">
        <v>46190</v>
      </c>
      <c r="C95" t="s">
        <v>1353</v>
      </c>
      <c r="D95" t="s">
        <v>196</v>
      </c>
    </row>
    <row r="96" spans="1:4">
      <c r="A96" t="s">
        <v>1354</v>
      </c>
      <c r="B96" s="56">
        <v>46112</v>
      </c>
      <c r="C96" t="s">
        <v>1355</v>
      </c>
      <c r="D96" t="s">
        <v>62</v>
      </c>
    </row>
    <row r="97" spans="1:4">
      <c r="A97" t="s">
        <v>1356</v>
      </c>
      <c r="B97" s="56">
        <v>46085</v>
      </c>
      <c r="C97" t="s">
        <v>1357</v>
      </c>
      <c r="D97" t="s">
        <v>62</v>
      </c>
    </row>
    <row r="98" spans="1:4">
      <c r="A98" t="s">
        <v>1358</v>
      </c>
      <c r="B98" s="56">
        <v>46086</v>
      </c>
      <c r="C98" t="s">
        <v>851</v>
      </c>
      <c r="D98" t="s">
        <v>69</v>
      </c>
    </row>
    <row r="99" spans="1:4">
      <c r="A99" t="s">
        <v>1359</v>
      </c>
      <c r="B99" s="56">
        <v>46100</v>
      </c>
      <c r="C99" t="s">
        <v>1094</v>
      </c>
      <c r="D99" t="s">
        <v>29</v>
      </c>
    </row>
    <row r="100" spans="1:4">
      <c r="A100" t="s">
        <v>1360</v>
      </c>
      <c r="B100" s="56">
        <v>46105</v>
      </c>
      <c r="C100" t="s">
        <v>1361</v>
      </c>
      <c r="D100" t="s">
        <v>29</v>
      </c>
    </row>
    <row r="101" spans="1:4">
      <c r="A101" t="s">
        <v>1362</v>
      </c>
      <c r="B101" s="57">
        <v>46106</v>
      </c>
      <c r="C101" t="s">
        <v>1363</v>
      </c>
      <c r="D101" t="s">
        <v>62</v>
      </c>
    </row>
    <row r="102" spans="1:4">
      <c r="A102" t="s">
        <v>1364</v>
      </c>
      <c r="B102" s="56">
        <v>46104</v>
      </c>
      <c r="C102" t="s">
        <v>1365</v>
      </c>
      <c r="D102" t="s">
        <v>136</v>
      </c>
    </row>
    <row r="103" spans="1:4">
      <c r="A103" t="s">
        <v>1366</v>
      </c>
      <c r="B103" s="56">
        <v>46105</v>
      </c>
      <c r="C103" t="s">
        <v>1367</v>
      </c>
      <c r="D103" t="s">
        <v>136</v>
      </c>
    </row>
    <row r="104" spans="1:4">
      <c r="A104" t="s">
        <v>1368</v>
      </c>
      <c r="B104" s="56">
        <v>46105</v>
      </c>
      <c r="C104" t="s">
        <v>1369</v>
      </c>
      <c r="D104" t="s">
        <v>136</v>
      </c>
    </row>
    <row r="105" spans="1:4">
      <c r="A105" t="s">
        <v>1370</v>
      </c>
      <c r="B105" s="56">
        <v>46099</v>
      </c>
      <c r="C105" t="s">
        <v>1371</v>
      </c>
      <c r="D105" t="s">
        <v>686</v>
      </c>
    </row>
    <row r="106" spans="1:4">
      <c r="A106" t="s">
        <v>1372</v>
      </c>
      <c r="B106" s="56">
        <v>46098</v>
      </c>
      <c r="C106" t="s">
        <v>685</v>
      </c>
      <c r="D106" t="s">
        <v>686</v>
      </c>
    </row>
    <row r="107" spans="1:4">
      <c r="A107" t="s">
        <v>1373</v>
      </c>
      <c r="B107" s="56">
        <v>46090</v>
      </c>
      <c r="C107" t="s">
        <v>1374</v>
      </c>
      <c r="D107" t="s">
        <v>69</v>
      </c>
    </row>
    <row r="108" spans="1:4">
      <c r="A108" t="s">
        <v>1375</v>
      </c>
      <c r="B108" s="56">
        <v>46085</v>
      </c>
      <c r="C108" t="s">
        <v>1376</v>
      </c>
      <c r="D108" t="s">
        <v>942</v>
      </c>
    </row>
    <row r="109" spans="1:4">
      <c r="A109" t="s">
        <v>1377</v>
      </c>
      <c r="B109" s="56">
        <v>46085</v>
      </c>
      <c r="C109" t="s">
        <v>1378</v>
      </c>
      <c r="D109" t="s">
        <v>69</v>
      </c>
    </row>
    <row r="110" spans="1:4">
      <c r="A110" t="s">
        <v>1379</v>
      </c>
      <c r="B110" s="56">
        <v>46085</v>
      </c>
      <c r="C110" t="s">
        <v>1380</v>
      </c>
      <c r="D110" t="s">
        <v>942</v>
      </c>
    </row>
    <row r="111" spans="1:4">
      <c r="A111" t="s">
        <v>1381</v>
      </c>
      <c r="B111" s="56">
        <v>46030</v>
      </c>
      <c r="C111" t="s">
        <v>1382</v>
      </c>
      <c r="D111" t="s">
        <v>69</v>
      </c>
    </row>
    <row r="112" spans="1:4">
      <c r="A112" t="s">
        <v>1383</v>
      </c>
      <c r="B112" s="56">
        <v>45930</v>
      </c>
      <c r="C112" t="s">
        <v>1384</v>
      </c>
      <c r="D112" t="s">
        <v>1385</v>
      </c>
    </row>
    <row r="113" spans="1:4">
      <c r="A113" t="s">
        <v>1386</v>
      </c>
      <c r="B113" s="56">
        <v>46139</v>
      </c>
      <c r="C113" t="s">
        <v>1387</v>
      </c>
      <c r="D113" t="s">
        <v>1388</v>
      </c>
    </row>
    <row r="114" spans="1:4">
      <c r="A114" t="s">
        <v>1389</v>
      </c>
      <c r="B114" s="56">
        <v>46128</v>
      </c>
      <c r="C114" t="s">
        <v>1390</v>
      </c>
      <c r="D114" t="s">
        <v>29</v>
      </c>
    </row>
    <row r="115" spans="1:4">
      <c r="A115" t="s">
        <v>202</v>
      </c>
      <c r="B115" s="56">
        <v>46126</v>
      </c>
      <c r="C115" t="s">
        <v>203</v>
      </c>
      <c r="D115" t="s">
        <v>204</v>
      </c>
    </row>
    <row r="116" spans="1:4">
      <c r="A116" t="s">
        <v>108</v>
      </c>
      <c r="B116" s="56">
        <v>46125</v>
      </c>
      <c r="C116" t="s">
        <v>109</v>
      </c>
      <c r="D116" t="s">
        <v>110</v>
      </c>
    </row>
    <row r="117" spans="1:4">
      <c r="A117" t="s">
        <v>1391</v>
      </c>
      <c r="B117" s="56">
        <v>46120</v>
      </c>
      <c r="C117" t="s">
        <v>569</v>
      </c>
      <c r="D117" t="s">
        <v>29</v>
      </c>
    </row>
    <row r="118" spans="1:4">
      <c r="A118" t="s">
        <v>1392</v>
      </c>
      <c r="B118" s="56">
        <v>46169</v>
      </c>
      <c r="C118" t="s">
        <v>1393</v>
      </c>
      <c r="D118" t="s">
        <v>29</v>
      </c>
    </row>
    <row r="119" spans="1:4">
      <c r="A119" t="s">
        <v>1394</v>
      </c>
      <c r="B119" s="56">
        <v>46169</v>
      </c>
      <c r="C119" t="s">
        <v>1395</v>
      </c>
      <c r="D119" t="s">
        <v>1396</v>
      </c>
    </row>
    <row r="120" spans="1:4">
      <c r="A120" t="s">
        <v>1397</v>
      </c>
      <c r="B120" s="56">
        <v>46163</v>
      </c>
      <c r="C120" t="s">
        <v>1398</v>
      </c>
      <c r="D120" t="s">
        <v>1085</v>
      </c>
    </row>
    <row r="121" spans="1:4">
      <c r="A121" t="s">
        <v>1399</v>
      </c>
      <c r="B121" s="56">
        <v>46163</v>
      </c>
      <c r="C121" t="s">
        <v>1400</v>
      </c>
      <c r="D121" t="s">
        <v>1085</v>
      </c>
    </row>
    <row r="122" spans="1:4">
      <c r="A122" t="s">
        <v>1401</v>
      </c>
      <c r="B122" s="56">
        <v>46161</v>
      </c>
      <c r="C122" t="s">
        <v>1402</v>
      </c>
      <c r="D122" t="s">
        <v>69</v>
      </c>
    </row>
    <row r="123" spans="1:4">
      <c r="A123" t="s">
        <v>1403</v>
      </c>
      <c r="B123" s="56">
        <v>46160</v>
      </c>
      <c r="C123" t="s">
        <v>1404</v>
      </c>
      <c r="D123" t="s">
        <v>62</v>
      </c>
    </row>
    <row r="124" spans="1:4">
      <c r="A124" t="s">
        <v>1405</v>
      </c>
      <c r="B124" s="56">
        <v>46155</v>
      </c>
      <c r="C124" t="s">
        <v>1406</v>
      </c>
      <c r="D124" t="s">
        <v>942</v>
      </c>
    </row>
    <row r="125" spans="1:4">
      <c r="A125" t="s">
        <v>1407</v>
      </c>
      <c r="B125" s="56">
        <v>46155</v>
      </c>
      <c r="C125" t="s">
        <v>500</v>
      </c>
      <c r="D125" t="s">
        <v>53</v>
      </c>
    </row>
    <row r="126" spans="1:4">
      <c r="A126" t="s">
        <v>1408</v>
      </c>
      <c r="B126" s="56">
        <v>46189</v>
      </c>
      <c r="C126" t="s">
        <v>195</v>
      </c>
      <c r="D126" t="s">
        <v>196</v>
      </c>
    </row>
    <row r="127" spans="1:4">
      <c r="A127" t="s">
        <v>1083</v>
      </c>
      <c r="B127" s="56">
        <v>46189</v>
      </c>
      <c r="C127" t="s">
        <v>1084</v>
      </c>
      <c r="D127" t="s">
        <v>1085</v>
      </c>
    </row>
    <row r="128" spans="1:4">
      <c r="A128" t="s">
        <v>1409</v>
      </c>
      <c r="B128" s="56">
        <v>46183</v>
      </c>
      <c r="C128" t="s">
        <v>235</v>
      </c>
      <c r="D128" t="s">
        <v>62</v>
      </c>
    </row>
    <row r="129" spans="1:4">
      <c r="A129" t="s">
        <v>1410</v>
      </c>
      <c r="B129" s="56">
        <v>46183</v>
      </c>
      <c r="C129" t="s">
        <v>1411</v>
      </c>
      <c r="D129" t="s">
        <v>29</v>
      </c>
    </row>
    <row r="130" spans="1:4">
      <c r="A130" t="s">
        <v>1412</v>
      </c>
      <c r="B130" s="56">
        <v>46184</v>
      </c>
      <c r="C130" t="s">
        <v>1413</v>
      </c>
      <c r="D130" t="s">
        <v>196</v>
      </c>
    </row>
    <row r="131" spans="1:4">
      <c r="A131" t="s">
        <v>1414</v>
      </c>
      <c r="B131" s="56">
        <v>46182</v>
      </c>
      <c r="C131" t="s">
        <v>1415</v>
      </c>
      <c r="D131" t="s">
        <v>1416</v>
      </c>
    </row>
    <row r="132" spans="1:4">
      <c r="A132" t="s">
        <v>1068</v>
      </c>
      <c r="B132" s="56">
        <v>46183</v>
      </c>
      <c r="C132" t="s">
        <v>1069</v>
      </c>
      <c r="D132" t="s">
        <v>29</v>
      </c>
    </row>
    <row r="133" spans="1:4">
      <c r="A133" t="s">
        <v>1417</v>
      </c>
      <c r="B133" s="56">
        <v>46182</v>
      </c>
      <c r="C133" t="s">
        <v>1418</v>
      </c>
      <c r="D133" t="s">
        <v>196</v>
      </c>
    </row>
    <row r="134" spans="1:4">
      <c r="A134" t="s">
        <v>1419</v>
      </c>
      <c r="B134" s="56">
        <v>46149</v>
      </c>
      <c r="C134" t="s">
        <v>1420</v>
      </c>
      <c r="D134" t="s">
        <v>69</v>
      </c>
    </row>
    <row r="135" spans="1:4">
      <c r="A135" t="s">
        <v>1421</v>
      </c>
      <c r="B135" s="56">
        <v>46181</v>
      </c>
      <c r="C135" t="s">
        <v>1422</v>
      </c>
      <c r="D135" t="s">
        <v>1423</v>
      </c>
    </row>
    <row r="136" spans="1:4">
      <c r="A136" t="s">
        <v>1424</v>
      </c>
      <c r="B136" s="56">
        <v>46163</v>
      </c>
      <c r="C136" t="s">
        <v>1425</v>
      </c>
      <c r="D136" t="s">
        <v>29</v>
      </c>
    </row>
    <row r="137" spans="1:4">
      <c r="A137" t="s">
        <v>1426</v>
      </c>
      <c r="B137" s="56">
        <v>46176</v>
      </c>
      <c r="C137" t="s">
        <v>1427</v>
      </c>
      <c r="D137" t="s">
        <v>87</v>
      </c>
    </row>
    <row r="138" spans="1:4">
      <c r="A138" t="s">
        <v>1428</v>
      </c>
      <c r="B138" s="56">
        <v>46162</v>
      </c>
      <c r="C138" t="s">
        <v>382</v>
      </c>
      <c r="D138" t="s">
        <v>686</v>
      </c>
    </row>
    <row r="139" spans="1:4">
      <c r="A139" t="s">
        <v>1429</v>
      </c>
      <c r="B139" s="56">
        <v>46175</v>
      </c>
      <c r="C139" t="s">
        <v>1430</v>
      </c>
      <c r="D139" t="s">
        <v>87</v>
      </c>
    </row>
    <row r="140" spans="1:4">
      <c r="A140" t="s">
        <v>1431</v>
      </c>
      <c r="B140" s="56">
        <v>46174</v>
      </c>
      <c r="C140" t="s">
        <v>1432</v>
      </c>
      <c r="D140" t="s">
        <v>1433</v>
      </c>
    </row>
    <row r="141" spans="1:4">
      <c r="A141" t="s">
        <v>1434</v>
      </c>
      <c r="B141" s="56">
        <v>46148</v>
      </c>
      <c r="C141" t="s">
        <v>259</v>
      </c>
      <c r="D141" t="s">
        <v>29</v>
      </c>
    </row>
    <row r="142" spans="1:4">
      <c r="A142" t="s">
        <v>1435</v>
      </c>
      <c r="B142" s="56">
        <v>46112</v>
      </c>
      <c r="C142" t="s">
        <v>1436</v>
      </c>
      <c r="D142" t="s">
        <v>1437</v>
      </c>
    </row>
    <row r="143" spans="1:4">
      <c r="A143" t="s">
        <v>1438</v>
      </c>
      <c r="B143" s="56">
        <v>46149</v>
      </c>
      <c r="C143" t="s">
        <v>40</v>
      </c>
      <c r="D143" t="s">
        <v>29</v>
      </c>
    </row>
    <row r="144" spans="1:4">
      <c r="A144" t="s">
        <v>1439</v>
      </c>
      <c r="B144" s="56">
        <v>46155</v>
      </c>
      <c r="C144" t="s">
        <v>52</v>
      </c>
      <c r="D144" t="s">
        <v>53</v>
      </c>
    </row>
    <row r="145" spans="1:4">
      <c r="A145" t="s">
        <v>1440</v>
      </c>
      <c r="B145" s="56">
        <v>46107</v>
      </c>
      <c r="C145" t="s">
        <v>1441</v>
      </c>
      <c r="D145" t="s">
        <v>87</v>
      </c>
    </row>
    <row r="146" spans="1:4">
      <c r="A146" t="s">
        <v>1442</v>
      </c>
      <c r="B146" s="56">
        <v>46112</v>
      </c>
      <c r="C146" t="s">
        <v>1443</v>
      </c>
      <c r="D146" t="s">
        <v>136</v>
      </c>
    </row>
    <row r="147" spans="1:4">
      <c r="A147" t="s">
        <v>1444</v>
      </c>
      <c r="B147" s="56">
        <v>46170</v>
      </c>
      <c r="C147" t="s">
        <v>1445</v>
      </c>
      <c r="D147" t="s">
        <v>87</v>
      </c>
    </row>
    <row r="148" spans="1:4">
      <c r="A148" t="s">
        <v>1446</v>
      </c>
      <c r="B148" s="56">
        <v>46169</v>
      </c>
      <c r="C148" t="s">
        <v>1447</v>
      </c>
      <c r="D148" t="s">
        <v>29</v>
      </c>
    </row>
    <row r="149" spans="1:4">
      <c r="A149" t="s">
        <v>1448</v>
      </c>
      <c r="B149" s="56">
        <v>46169</v>
      </c>
      <c r="C149" t="s">
        <v>337</v>
      </c>
      <c r="D149" t="s">
        <v>29</v>
      </c>
    </row>
    <row r="150" spans="1:4">
      <c r="A150" t="s">
        <v>1449</v>
      </c>
      <c r="B150" s="56">
        <v>46147</v>
      </c>
      <c r="C150" t="s">
        <v>1450</v>
      </c>
      <c r="D150" t="s">
        <v>29</v>
      </c>
    </row>
    <row r="151" spans="1:4">
      <c r="A151" t="s">
        <v>1451</v>
      </c>
      <c r="B151" s="56">
        <v>46168</v>
      </c>
      <c r="C151" t="s">
        <v>1452</v>
      </c>
      <c r="D151" t="s">
        <v>29</v>
      </c>
    </row>
    <row r="152" spans="1:4">
      <c r="A152" t="s">
        <v>1453</v>
      </c>
      <c r="B152" s="56">
        <v>46147</v>
      </c>
      <c r="C152" t="s">
        <v>1454</v>
      </c>
      <c r="D152" t="s">
        <v>69</v>
      </c>
    </row>
    <row r="153" spans="1:4">
      <c r="A153" t="s">
        <v>1455</v>
      </c>
      <c r="B153" s="56">
        <v>46169</v>
      </c>
      <c r="C153" t="s">
        <v>343</v>
      </c>
      <c r="D153" t="s">
        <v>136</v>
      </c>
    </row>
    <row r="154" spans="1:4">
      <c r="A154" t="s">
        <v>1456</v>
      </c>
      <c r="B154" s="56">
        <v>46155</v>
      </c>
      <c r="C154" t="s">
        <v>115</v>
      </c>
      <c r="D154" t="s">
        <v>942</v>
      </c>
    </row>
    <row r="155" spans="1:4">
      <c r="A155" t="s">
        <v>1457</v>
      </c>
      <c r="B155" s="56"/>
      <c r="C155" t="s">
        <v>1458</v>
      </c>
      <c r="D155" t="s">
        <v>62</v>
      </c>
    </row>
    <row r="156" spans="1:4">
      <c r="A156" t="s">
        <v>1459</v>
      </c>
      <c r="B156" s="56"/>
      <c r="C156" t="s">
        <v>1460</v>
      </c>
      <c r="D156" t="s">
        <v>942</v>
      </c>
    </row>
    <row r="157" spans="1:4">
      <c r="A157" t="s">
        <v>1461</v>
      </c>
      <c r="B157" s="56"/>
      <c r="C157" t="s">
        <v>1462</v>
      </c>
      <c r="D157" t="s">
        <v>942</v>
      </c>
    </row>
    <row r="158" spans="1:4">
      <c r="A158" t="s">
        <v>1463</v>
      </c>
      <c r="B158" s="56">
        <v>46147</v>
      </c>
      <c r="C158" t="s">
        <v>1464</v>
      </c>
      <c r="D158" t="s">
        <v>29</v>
      </c>
    </row>
    <row r="159" spans="1:4">
      <c r="A159" t="s">
        <v>1465</v>
      </c>
      <c r="B159" s="56"/>
      <c r="C159" t="s">
        <v>1466</v>
      </c>
      <c r="D159" t="s">
        <v>53</v>
      </c>
    </row>
    <row r="160" spans="1:4">
      <c r="A160" t="s">
        <v>1467</v>
      </c>
      <c r="B160" s="56"/>
      <c r="C160" t="s">
        <v>1468</v>
      </c>
      <c r="D160" t="s">
        <v>53</v>
      </c>
    </row>
    <row r="161" spans="1:4">
      <c r="A161" t="s">
        <v>1469</v>
      </c>
      <c r="B161" s="56"/>
      <c r="C161" t="s">
        <v>1470</v>
      </c>
      <c r="D161" t="s">
        <v>53</v>
      </c>
    </row>
    <row r="162" spans="1:4">
      <c r="A162" t="s">
        <v>1471</v>
      </c>
      <c r="B162" s="56"/>
      <c r="C162" t="s">
        <v>1472</v>
      </c>
      <c r="D162" t="s">
        <v>1473</v>
      </c>
    </row>
    <row r="163" spans="1:4">
      <c r="A163" t="s">
        <v>1474</v>
      </c>
      <c r="B163" s="56"/>
      <c r="C163" t="s">
        <v>1475</v>
      </c>
      <c r="D163" t="s">
        <v>69</v>
      </c>
    </row>
    <row r="164" spans="1:4">
      <c r="A164" t="s">
        <v>1476</v>
      </c>
      <c r="B164" s="56">
        <v>46160</v>
      </c>
      <c r="C164" t="s">
        <v>1477</v>
      </c>
      <c r="D164" t="s">
        <v>1473</v>
      </c>
    </row>
    <row r="165" spans="1:4">
      <c r="A165" t="s">
        <v>1478</v>
      </c>
      <c r="B165" s="56">
        <v>45553</v>
      </c>
      <c r="C165" t="s">
        <v>1479</v>
      </c>
      <c r="D165" t="s">
        <v>1437</v>
      </c>
    </row>
    <row r="166" spans="1:4">
      <c r="A166" t="s">
        <v>1480</v>
      </c>
      <c r="B166" s="56"/>
      <c r="C166" t="s">
        <v>382</v>
      </c>
      <c r="D166" t="s">
        <v>686</v>
      </c>
    </row>
    <row r="167" spans="1:4">
      <c r="A167" t="s">
        <v>1481</v>
      </c>
      <c r="B167" s="56"/>
      <c r="C167" t="s">
        <v>1482</v>
      </c>
      <c r="D167" t="s">
        <v>87</v>
      </c>
    </row>
    <row r="168" spans="1:4">
      <c r="A168" t="s">
        <v>1483</v>
      </c>
      <c r="B168" s="56">
        <v>45531</v>
      </c>
      <c r="C168" t="s">
        <v>1484</v>
      </c>
      <c r="D168" t="s">
        <v>942</v>
      </c>
    </row>
    <row r="169" spans="1:4">
      <c r="A169" t="s">
        <v>1485</v>
      </c>
      <c r="B169" s="56">
        <v>45524</v>
      </c>
      <c r="C169" t="s">
        <v>1486</v>
      </c>
      <c r="D169" t="s">
        <v>942</v>
      </c>
    </row>
    <row r="170" spans="1:4">
      <c r="A170" t="s">
        <v>1487</v>
      </c>
      <c r="B170" s="56">
        <v>45502</v>
      </c>
      <c r="C170" t="s">
        <v>1488</v>
      </c>
      <c r="D170" t="s">
        <v>686</v>
      </c>
    </row>
    <row r="171" spans="1:4">
      <c r="A171" t="s">
        <v>1489</v>
      </c>
      <c r="B171" s="56">
        <v>45531</v>
      </c>
      <c r="C171" t="s">
        <v>1490</v>
      </c>
      <c r="D171" t="s">
        <v>942</v>
      </c>
    </row>
    <row r="172" spans="1:4">
      <c r="A172" t="s">
        <v>1491</v>
      </c>
      <c r="B172" s="56"/>
      <c r="C172" t="s">
        <v>1492</v>
      </c>
      <c r="D172" t="s">
        <v>53</v>
      </c>
    </row>
    <row r="173" spans="1:4">
      <c r="A173" t="s">
        <v>1493</v>
      </c>
      <c r="B173" s="56"/>
      <c r="C173" t="s">
        <v>1494</v>
      </c>
      <c r="D173" t="s">
        <v>53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BF200"/>
  <sheetViews>
    <sheetView showGridLines="0" workbookViewId="0">
      <selection activeCell="A4" sqref="A1:XFD4"/>
    </sheetView>
  </sheetViews>
  <sheetFormatPr defaultRowHeight="13.8"/>
  <cols>
    <col min="1" max="1" width="14" customWidth="1"/>
    <col min="2" max="2" width="12" customWidth="1"/>
    <col min="3" max="58" width="14" customWidth="1"/>
  </cols>
  <sheetData>
    <row r="1" spans="1:58" ht="17.399999999999999">
      <c r="A1" s="123" t="s">
        <v>1600</v>
      </c>
      <c r="B1" s="123"/>
      <c r="C1" s="123"/>
      <c r="D1" s="123"/>
      <c r="E1" s="123"/>
      <c r="F1" s="123"/>
      <c r="G1" s="123"/>
      <c r="H1" s="123"/>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2" spans="1:58" ht="14.4">
      <c r="A2" s="124" t="s">
        <v>1601</v>
      </c>
      <c r="B2" s="124"/>
      <c r="C2" s="124"/>
      <c r="D2" s="124"/>
      <c r="E2" s="124"/>
      <c r="F2" s="124"/>
      <c r="G2" s="124"/>
      <c r="H2" s="124"/>
    </row>
    <row r="3" spans="1:58" ht="41.4">
      <c r="A3" s="8" t="s">
        <v>1279</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row>
    <row r="4" spans="1:58" ht="41.4">
      <c r="A4" s="9"/>
      <c r="B4" s="10" t="s">
        <v>1257</v>
      </c>
      <c r="C4" s="10" t="str">
        <f>Settings!B4</f>
        <v>Ref. leak/ Low charge</v>
      </c>
      <c r="D4" s="10" t="str">
        <f>Settings!B5</f>
        <v>Doors</v>
      </c>
      <c r="E4" s="10" t="str">
        <f>Settings!B6</f>
        <v>Doors</v>
      </c>
      <c r="F4" s="10" t="str">
        <f>Settings!B7</f>
        <v>Doors</v>
      </c>
      <c r="G4" s="10" t="str">
        <f>Settings!B8</f>
        <v>Doors</v>
      </c>
      <c r="H4" s="10" t="str">
        <f>Settings!B9</f>
        <v>Doors</v>
      </c>
      <c r="I4" s="10" t="str">
        <f>Settings!B10</f>
        <v>Doors</v>
      </c>
      <c r="J4" s="10" t="str">
        <f>Settings!B11</f>
        <v>Drain tube blocked</v>
      </c>
      <c r="K4" s="10" t="str">
        <f>Settings!B12</f>
        <v>Wrong / Loose wiring</v>
      </c>
      <c r="L4" s="10" t="str">
        <f>Settings!B13</f>
        <v>Communication problem</v>
      </c>
      <c r="M4" s="10" t="str">
        <f>Settings!B14</f>
        <v>High Store RH</v>
      </c>
      <c r="N4" s="10" t="str">
        <f>Settings!B15</f>
        <v>Enclosure Seal</v>
      </c>
      <c r="O4" s="10" t="str">
        <f>Settings!B16</f>
        <v>Component Failure</v>
      </c>
      <c r="P4" s="10" t="str">
        <f>Settings!B17</f>
        <v>Defrost Sync</v>
      </c>
      <c r="Q4" s="10" t="str">
        <f>Settings!B18</f>
        <v>False Alarm</v>
      </c>
      <c r="R4" s="10" t="str">
        <f>Settings!B19</f>
        <v>Setpoint change</v>
      </c>
      <c r="S4" s="10" t="str">
        <f>Settings!B20</f>
        <v>Overstocking</v>
      </c>
      <c r="T4" s="10" t="str">
        <f>Settings!B21</f>
        <v>Case End Seal</v>
      </c>
      <c r="U4" s="10" t="str">
        <f>Settings!B22</f>
        <v>Return Air blocked</v>
      </c>
      <c r="V4" s="10" t="str">
        <f>Settings!B23</f>
        <v>Unidentified air leak</v>
      </c>
      <c r="W4" s="10" t="str">
        <f>Settings!B24</f>
        <v>Freedom</v>
      </c>
      <c r="X4" s="10" t="str">
        <f>Settings!B25</f>
        <v>Heavy case load</v>
      </c>
      <c r="Y4" s="10" t="str">
        <f>Settings!B26</f>
        <v>DG Installation issue</v>
      </c>
      <c r="Z4" s="10" t="str">
        <f>Settings!B27</f>
        <v>Unknown</v>
      </c>
      <c r="AA4" s="10" t="str">
        <f>Settings!B28</f>
        <v>Program change - Hussmann</v>
      </c>
      <c r="AB4" s="10" t="str">
        <f>Settings!B29</f>
        <v>Wrong program</v>
      </c>
      <c r="AC4" s="10">
        <f>Settings!B30</f>
        <v>0</v>
      </c>
      <c r="AD4" s="10">
        <f>Settings!B31</f>
        <v>0</v>
      </c>
      <c r="AE4" s="10">
        <f>Settings!B32</f>
        <v>0</v>
      </c>
      <c r="AF4" s="10">
        <f>Settings!B33</f>
        <v>0</v>
      </c>
      <c r="AG4" s="10">
        <f>Settings!B34</f>
        <v>0</v>
      </c>
      <c r="AH4" s="10">
        <f>Settings!B35</f>
        <v>0</v>
      </c>
      <c r="AI4" s="10">
        <f>Settings!B36</f>
        <v>0</v>
      </c>
      <c r="AJ4" s="10">
        <f>Settings!B37</f>
        <v>0</v>
      </c>
      <c r="AK4" s="10">
        <f>Settings!B38</f>
        <v>0</v>
      </c>
      <c r="AL4" s="10">
        <f>Settings!B39</f>
        <v>0</v>
      </c>
      <c r="AM4" s="10">
        <f>Settings!B40</f>
        <v>0</v>
      </c>
      <c r="AN4" s="10">
        <f>Settings!B41</f>
        <v>0</v>
      </c>
      <c r="AO4" s="10">
        <f>Settings!B42</f>
        <v>0</v>
      </c>
      <c r="AP4" s="10">
        <f>Settings!B43</f>
        <v>0</v>
      </c>
      <c r="AQ4" s="10">
        <f>Settings!B44</f>
        <v>0</v>
      </c>
      <c r="AR4" s="10">
        <f>Settings!B45</f>
        <v>0</v>
      </c>
      <c r="AS4" s="10">
        <f>Settings!B46</f>
        <v>0</v>
      </c>
      <c r="AT4" s="10">
        <f>Settings!B47</f>
        <v>0</v>
      </c>
      <c r="AU4" s="10">
        <f>Settings!B48</f>
        <v>0</v>
      </c>
      <c r="AV4" s="10">
        <f>Settings!B49</f>
        <v>0</v>
      </c>
      <c r="AW4" s="10">
        <f>Settings!B50</f>
        <v>0</v>
      </c>
      <c r="AX4" s="10">
        <f>Settings!B51</f>
        <v>0</v>
      </c>
      <c r="AY4" s="10">
        <f>Settings!B52</f>
        <v>0</v>
      </c>
      <c r="AZ4" s="10">
        <f>Settings!B53</f>
        <v>0</v>
      </c>
      <c r="BA4" s="10">
        <f>Settings!B54</f>
        <v>0</v>
      </c>
      <c r="BB4" s="10">
        <f>Settings!B55</f>
        <v>0</v>
      </c>
      <c r="BC4" s="10">
        <f>Settings!B56</f>
        <v>0</v>
      </c>
      <c r="BD4" s="10">
        <f>Settings!B57</f>
        <v>0</v>
      </c>
      <c r="BE4" s="10">
        <f>Settings!B58</f>
        <v>0</v>
      </c>
      <c r="BF4" s="11">
        <f>Settings!B59</f>
        <v>0</v>
      </c>
    </row>
    <row r="5" spans="1:58" ht="41.4">
      <c r="A5" s="83" t="s">
        <v>1280</v>
      </c>
      <c r="B5" s="84" t="s">
        <v>1139</v>
      </c>
      <c r="C5" s="84" t="str">
        <f>Settings!A4</f>
        <v>Ref. leak/ Low charge</v>
      </c>
      <c r="D5" s="84" t="str">
        <f>Settings!A5</f>
        <v>Door Torque</v>
      </c>
      <c r="E5" s="84" t="str">
        <f>Settings!A6</f>
        <v>Door Gasket</v>
      </c>
      <c r="F5" s="84" t="str">
        <f>Settings!A7</f>
        <v>Door frame heater</v>
      </c>
      <c r="G5" s="84" t="str">
        <f>Settings!A8</f>
        <v>Door Torsion rod</v>
      </c>
      <c r="H5" s="84" t="str">
        <f>Settings!A9</f>
        <v>Door not closed (Overnight)</v>
      </c>
      <c r="I5" s="84" t="str">
        <f>Settings!A10</f>
        <v>Door - general</v>
      </c>
      <c r="J5" s="84" t="str">
        <f>Settings!A11</f>
        <v>Drain tube blocked</v>
      </c>
      <c r="K5" s="84" t="str">
        <f>Settings!A12</f>
        <v>Wrong / Loose wiring</v>
      </c>
      <c r="L5" s="84" t="str">
        <f>Settings!A13</f>
        <v>Communication problem</v>
      </c>
      <c r="M5" s="84" t="str">
        <f>Settings!A14</f>
        <v>High Store RH</v>
      </c>
      <c r="N5" s="84" t="str">
        <f>Settings!A15</f>
        <v>Enclosure Seal</v>
      </c>
      <c r="O5" s="84" t="str">
        <f>Settings!A16</f>
        <v>Component Failure</v>
      </c>
      <c r="P5" s="84" t="str">
        <f>Settings!A17</f>
        <v>Defrost Sync</v>
      </c>
      <c r="Q5" s="84" t="str">
        <f>Settings!A18</f>
        <v>False Alarm</v>
      </c>
      <c r="R5" s="84" t="str">
        <f>Settings!A19</f>
        <v>Setpoint change</v>
      </c>
      <c r="S5" s="84" t="str">
        <f>Settings!A20</f>
        <v>Overstocking</v>
      </c>
      <c r="T5" s="84" t="str">
        <f>Settings!A21</f>
        <v>Case End Seal</v>
      </c>
      <c r="U5" s="84" t="str">
        <f>Settings!A22</f>
        <v>Return Air blocked</v>
      </c>
      <c r="V5" s="84" t="str">
        <f>Settings!A23</f>
        <v>Unidentified air leak</v>
      </c>
      <c r="W5" s="84" t="str">
        <f>Settings!A24</f>
        <v>Freedom</v>
      </c>
      <c r="X5" s="84" t="str">
        <f>Settings!A25</f>
        <v>Heavy case load</v>
      </c>
      <c r="Y5" s="84" t="str">
        <f>Settings!A26</f>
        <v>DG Installation issue</v>
      </c>
      <c r="Z5" s="84" t="str">
        <f>Settings!A27</f>
        <v>Unknown</v>
      </c>
      <c r="AA5" s="84" t="str">
        <f>Settings!A28</f>
        <v>Program change - Hussmann</v>
      </c>
      <c r="AB5" s="84" t="str">
        <f>Settings!A29</f>
        <v>Wrong program</v>
      </c>
      <c r="AC5" s="84">
        <f>Settings!A30</f>
        <v>0</v>
      </c>
      <c r="AD5" s="84">
        <f>Settings!A31</f>
        <v>0</v>
      </c>
      <c r="AE5" s="84">
        <f>Settings!A32</f>
        <v>0</v>
      </c>
      <c r="AF5" s="84">
        <f>Settings!A33</f>
        <v>0</v>
      </c>
      <c r="AG5" s="84">
        <f>Settings!A34</f>
        <v>0</v>
      </c>
      <c r="AH5" s="84">
        <f>Settings!A35</f>
        <v>0</v>
      </c>
      <c r="AI5" s="84">
        <f>Settings!A36</f>
        <v>0</v>
      </c>
      <c r="AJ5" s="84">
        <f>Settings!A37</f>
        <v>0</v>
      </c>
      <c r="AK5" s="84">
        <f>Settings!A38</f>
        <v>0</v>
      </c>
      <c r="AL5" s="84">
        <f>Settings!A39</f>
        <v>0</v>
      </c>
      <c r="AM5" s="84">
        <f>Settings!A40</f>
        <v>0</v>
      </c>
      <c r="AN5" s="84">
        <f>Settings!A41</f>
        <v>0</v>
      </c>
      <c r="AO5" s="84">
        <f>Settings!A42</f>
        <v>0</v>
      </c>
      <c r="AP5" s="84">
        <f>Settings!A43</f>
        <v>0</v>
      </c>
      <c r="AQ5" s="84">
        <f>Settings!A44</f>
        <v>0</v>
      </c>
      <c r="AR5" s="84">
        <f>Settings!A45</f>
        <v>0</v>
      </c>
      <c r="AS5" s="84">
        <f>Settings!A46</f>
        <v>0</v>
      </c>
      <c r="AT5" s="84">
        <f>Settings!A47</f>
        <v>0</v>
      </c>
      <c r="AU5" s="84">
        <f>Settings!A48</f>
        <v>0</v>
      </c>
      <c r="AV5" s="84">
        <f>Settings!A49</f>
        <v>0</v>
      </c>
      <c r="AW5" s="84">
        <f>Settings!A50</f>
        <v>0</v>
      </c>
      <c r="AX5" s="84">
        <f>Settings!A51</f>
        <v>0</v>
      </c>
      <c r="AY5" s="84">
        <f>Settings!A52</f>
        <v>0</v>
      </c>
      <c r="AZ5" s="84">
        <f>Settings!A53</f>
        <v>0</v>
      </c>
      <c r="BA5" s="84">
        <f>Settings!A54</f>
        <v>0</v>
      </c>
      <c r="BB5" s="84">
        <f>Settings!A55</f>
        <v>0</v>
      </c>
      <c r="BC5" s="84">
        <f>Settings!A56</f>
        <v>0</v>
      </c>
      <c r="BD5" s="84">
        <f>Settings!A57</f>
        <v>0</v>
      </c>
      <c r="BE5" s="84">
        <f>Settings!A58</f>
        <v>0</v>
      </c>
      <c r="BF5" s="85">
        <f>Settings!A59</f>
        <v>0</v>
      </c>
    </row>
    <row r="6" spans="1:58">
      <c r="A6" s="70">
        <f>MIN(Summary!$D$5:$D$241)-WEEKDAY(MIN(Summary!$D$5:$D$241),2)+1</f>
        <v>46083</v>
      </c>
      <c r="B6" s="2" t="str">
        <f t="shared" ref="B6:B50" si="0">TEXT(A6,"mmm d")</f>
        <v>Mar 2</v>
      </c>
      <c r="C6">
        <f>IF(C5="","",COUNTIFS(Summary!$E$5:$E$241,C5,Summary!$D$5:$D$241,"&gt;="&amp;$A6,Summary!$D$5:$D$241,"&lt;"&amp;$A6+7))</f>
        <v>0</v>
      </c>
      <c r="D6">
        <f>IF(D5="","",COUNTIFS(Summary!$E$5:$E$241,D5,Summary!$D$5:$D$241,"&gt;="&amp;$A6,Summary!$D$5:$D$241,"&lt;"&amp;$A6+7))</f>
        <v>0</v>
      </c>
      <c r="E6">
        <f>IF(E5="","",COUNTIFS(Summary!$E$5:$E$241,E5,Summary!$D$5:$D$241,"&gt;="&amp;$A6,Summary!$D$5:$D$241,"&lt;"&amp;$A6+7))</f>
        <v>0</v>
      </c>
      <c r="F6">
        <f>IF(F5="","",COUNTIFS(Summary!$E$5:$E$241,F5,Summary!$D$5:$D$241,"&gt;="&amp;$A6,Summary!$D$5:$D$241,"&lt;"&amp;$A6+7))</f>
        <v>0</v>
      </c>
      <c r="G6">
        <f>IF(G5="","",COUNTIFS(Summary!$E$5:$E$241,G5,Summary!$D$5:$D$241,"&gt;="&amp;$A6,Summary!$D$5:$D$241,"&lt;"&amp;$A6+7))</f>
        <v>0</v>
      </c>
      <c r="H6">
        <f>IF(H5="","",COUNTIFS(Summary!$E$5:$E$241,H5,Summary!$D$5:$D$241,"&gt;="&amp;$A6,Summary!$D$5:$D$241,"&lt;"&amp;$A6+7))</f>
        <v>1</v>
      </c>
      <c r="I6">
        <f>IF(I5="","",COUNTIFS(Summary!$E$5:$E$241,I5,Summary!$D$5:$D$241,"&gt;="&amp;$A6,Summary!$D$5:$D$241,"&lt;"&amp;$A6+7))</f>
        <v>1</v>
      </c>
      <c r="J6">
        <f>IF(J5="","",COUNTIFS(Summary!$E$5:$E$241,J5,Summary!$D$5:$D$241,"&gt;="&amp;$A6,Summary!$D$5:$D$241,"&lt;"&amp;$A6+7))</f>
        <v>1</v>
      </c>
      <c r="K6">
        <f>IF(K5="","",COUNTIFS(Summary!$E$5:$E$241,K5,Summary!$D$5:$D$241,"&gt;="&amp;$A6,Summary!$D$5:$D$241,"&lt;"&amp;$A6+7))</f>
        <v>0</v>
      </c>
      <c r="L6">
        <f>IF(L5="","",COUNTIFS(Summary!$E$5:$E$241,L5,Summary!$D$5:$D$241,"&gt;="&amp;$A6,Summary!$D$5:$D$241,"&lt;"&amp;$A6+7))</f>
        <v>0</v>
      </c>
      <c r="M6">
        <f>IF(M5="","",COUNTIFS(Summary!$E$5:$E$241,M5,Summary!$D$5:$D$241,"&gt;="&amp;$A6,Summary!$D$5:$D$241,"&lt;"&amp;$A6+7))</f>
        <v>1</v>
      </c>
      <c r="N6">
        <f>IF(N5="","",COUNTIFS(Summary!$E$5:$E$241,N5,Summary!$D$5:$D$241,"&gt;="&amp;$A6,Summary!$D$5:$D$241,"&lt;"&amp;$A6+7))</f>
        <v>0</v>
      </c>
      <c r="O6">
        <f>IF(O5="","",COUNTIFS(Summary!$E$5:$E$241,O5,Summary!$D$5:$D$241,"&gt;="&amp;$A6,Summary!$D$5:$D$241,"&lt;"&amp;$A6+7))</f>
        <v>0</v>
      </c>
      <c r="P6">
        <f>IF(P5="","",COUNTIFS(Summary!$E$5:$E$241,P5,Summary!$D$5:$D$241,"&gt;="&amp;$A6,Summary!$D$5:$D$241,"&lt;"&amp;$A6+7))</f>
        <v>1</v>
      </c>
      <c r="Q6">
        <f>IF(Q5="","",COUNTIFS(Summary!$E$5:$E$241,Q5,Summary!$D$5:$D$241,"&gt;="&amp;$A6,Summary!$D$5:$D$241,"&lt;"&amp;$A6+7))</f>
        <v>1</v>
      </c>
      <c r="R6">
        <f>IF(R5="","",COUNTIFS(Summary!$E$5:$E$241,R5,Summary!$D$5:$D$241,"&gt;="&amp;$A6,Summary!$D$5:$D$241,"&lt;"&amp;$A6+7))</f>
        <v>0</v>
      </c>
      <c r="S6">
        <f>IF(S5="","",COUNTIFS(Summary!$E$5:$E$241,S5,Summary!$D$5:$D$241,"&gt;="&amp;$A6,Summary!$D$5:$D$241,"&lt;"&amp;$A6+7))</f>
        <v>0</v>
      </c>
      <c r="T6">
        <f>IF(T5="","",COUNTIFS(Summary!$E$5:$E$241,T5,Summary!$D$5:$D$241,"&gt;="&amp;$A6,Summary!$D$5:$D$241,"&lt;"&amp;$A6+7))</f>
        <v>0</v>
      </c>
      <c r="U6">
        <f>IF(U5="","",COUNTIFS(Summary!$E$5:$E$241,U5,Summary!$D$5:$D$241,"&gt;="&amp;$A6,Summary!$D$5:$D$241,"&lt;"&amp;$A6+7))</f>
        <v>0</v>
      </c>
      <c r="V6">
        <f>IF(V5="","",COUNTIFS(Summary!$E$5:$E$241,V5,Summary!$D$5:$D$241,"&gt;="&amp;$A6,Summary!$D$5:$D$241,"&lt;"&amp;$A6+7))</f>
        <v>0</v>
      </c>
      <c r="W6">
        <f>IF(W5="","",COUNTIFS(Summary!$E$5:$E$241,W5,Summary!$D$5:$D$241,"&gt;="&amp;$A6,Summary!$D$5:$D$241,"&lt;"&amp;$A6+7))</f>
        <v>0</v>
      </c>
      <c r="X6">
        <f>IF(X5="","",COUNTIFS(Summary!$E$5:$E$241,X5,Summary!$D$5:$D$241,"&gt;="&amp;$A6,Summary!$D$5:$D$241,"&lt;"&amp;$A6+7))</f>
        <v>0</v>
      </c>
      <c r="Y6">
        <f>IF(Y5="","",COUNTIFS(Summary!$E$5:$E$241,Y5,Summary!$D$5:$D$241,"&gt;="&amp;$A6,Summary!$D$5:$D$241,"&lt;"&amp;$A6+7))</f>
        <v>0</v>
      </c>
      <c r="Z6">
        <f>IF(Z5="","",COUNTIFS(Summary!$E$5:$E$241,Z5,Summary!$D$5:$D$241,"&gt;="&amp;$A6,Summary!$D$5:$D$241,"&lt;"&amp;$A6+7))</f>
        <v>0</v>
      </c>
      <c r="AA6">
        <f>IF(AA5="","",COUNTIFS(Summary!$E$5:$E$241,AA5,Summary!$D$5:$D$241,"&gt;="&amp;$A6,Summary!$D$5:$D$241,"&lt;"&amp;$A6+7))</f>
        <v>0</v>
      </c>
      <c r="AB6">
        <f>IF(AB5="","",COUNTIFS(Summary!$E$5:$E$241,AB5,Summary!$D$5:$D$241,"&gt;="&amp;$A6,Summary!$D$5:$D$241,"&lt;"&amp;$A6+7))</f>
        <v>0</v>
      </c>
      <c r="AC6">
        <f>IF(AC5="","",COUNTIFS(Summary!$E$5:$E$241,AC5,Summary!$D$5:$D$241,"&gt;="&amp;$A6,Summary!$D$5:$D$241,"&lt;"&amp;$A6+7))</f>
        <v>0</v>
      </c>
      <c r="AD6">
        <f>IF(AD5="","",COUNTIFS(Summary!$E$5:$E$241,AD5,Summary!$D$5:$D$241,"&gt;="&amp;$A6,Summary!$D$5:$D$241,"&lt;"&amp;$A6+7))</f>
        <v>0</v>
      </c>
      <c r="AE6">
        <f>IF(AE5="","",COUNTIFS(Summary!$E$5:$E$241,AE5,Summary!$D$5:$D$241,"&gt;="&amp;$A6,Summary!$D$5:$D$241,"&lt;"&amp;$A6+7))</f>
        <v>0</v>
      </c>
      <c r="AF6">
        <f>IF(AF5="","",COUNTIFS(Summary!$E$5:$E$241,AF5,Summary!$D$5:$D$241,"&gt;="&amp;$A6,Summary!$D$5:$D$241,"&lt;"&amp;$A6+7))</f>
        <v>0</v>
      </c>
      <c r="AG6">
        <f>IF(AG5="","",COUNTIFS(Summary!$E$5:$E$241,AG5,Summary!$D$5:$D$241,"&gt;="&amp;$A6,Summary!$D$5:$D$241,"&lt;"&amp;$A6+7))</f>
        <v>0</v>
      </c>
      <c r="AH6">
        <f>IF(AH5="","",COUNTIFS(Summary!$E$5:$E$241,AH5,Summary!$D$5:$D$241,"&gt;="&amp;$A6,Summary!$D$5:$D$241,"&lt;"&amp;$A6+7))</f>
        <v>0</v>
      </c>
      <c r="AI6">
        <f>IF(AI5="","",COUNTIFS(Summary!$E$5:$E$241,AI5,Summary!$D$5:$D$241,"&gt;="&amp;$A6,Summary!$D$5:$D$241,"&lt;"&amp;$A6+7))</f>
        <v>0</v>
      </c>
      <c r="AJ6">
        <f>IF(AJ5="","",COUNTIFS(Summary!$E$5:$E$241,AJ5,Summary!$D$5:$D$241,"&gt;="&amp;$A6,Summary!$D$5:$D$241,"&lt;"&amp;$A6+7))</f>
        <v>0</v>
      </c>
      <c r="AK6">
        <f>IF(AK5="","",COUNTIFS(Summary!$E$5:$E$241,AK5,Summary!$D$5:$D$241,"&gt;="&amp;$A6,Summary!$D$5:$D$241,"&lt;"&amp;$A6+7))</f>
        <v>0</v>
      </c>
      <c r="AL6">
        <f>IF(AL5="","",COUNTIFS(Summary!$E$5:$E$241,AL5,Summary!$D$5:$D$241,"&gt;="&amp;$A6,Summary!$D$5:$D$241,"&lt;"&amp;$A6+7))</f>
        <v>0</v>
      </c>
      <c r="AM6">
        <f>IF(AM5="","",COUNTIFS(Summary!$E$5:$E$241,AM5,Summary!$D$5:$D$241,"&gt;="&amp;$A6,Summary!$D$5:$D$241,"&lt;"&amp;$A6+7))</f>
        <v>0</v>
      </c>
      <c r="AN6">
        <f>IF(AN5="","",COUNTIFS(Summary!$E$5:$E$241,AN5,Summary!$D$5:$D$241,"&gt;="&amp;$A6,Summary!$D$5:$D$241,"&lt;"&amp;$A6+7))</f>
        <v>0</v>
      </c>
      <c r="AO6">
        <f>IF(AO5="","",COUNTIFS(Summary!$E$5:$E$241,AO5,Summary!$D$5:$D$241,"&gt;="&amp;$A6,Summary!$D$5:$D$241,"&lt;"&amp;$A6+7))</f>
        <v>0</v>
      </c>
      <c r="AP6">
        <f>IF(AP5="","",COUNTIFS(Summary!$E$5:$E$241,AP5,Summary!$D$5:$D$241,"&gt;="&amp;$A6,Summary!$D$5:$D$241,"&lt;"&amp;$A6+7))</f>
        <v>0</v>
      </c>
      <c r="AQ6">
        <f>IF(AQ5="","",COUNTIFS(Summary!$E$5:$E$241,AQ5,Summary!$D$5:$D$241,"&gt;="&amp;$A6,Summary!$D$5:$D$241,"&lt;"&amp;$A6+7))</f>
        <v>0</v>
      </c>
      <c r="AR6">
        <f>IF(AR5="","",COUNTIFS(Summary!$E$5:$E$241,AR5,Summary!$D$5:$D$241,"&gt;="&amp;$A6,Summary!$D$5:$D$241,"&lt;"&amp;$A6+7))</f>
        <v>0</v>
      </c>
      <c r="AS6">
        <f>IF(AS5="","",COUNTIFS(Summary!$E$5:$E$241,AS5,Summary!$D$5:$D$241,"&gt;="&amp;$A6,Summary!$D$5:$D$241,"&lt;"&amp;$A6+7))</f>
        <v>0</v>
      </c>
      <c r="AT6">
        <f>IF(AT5="","",COUNTIFS(Summary!$E$5:$E$241,AT5,Summary!$D$5:$D$241,"&gt;="&amp;$A6,Summary!$D$5:$D$241,"&lt;"&amp;$A6+7))</f>
        <v>0</v>
      </c>
      <c r="AU6">
        <f>IF(AU5="","",COUNTIFS(Summary!$E$5:$E$241,AU5,Summary!$D$5:$D$241,"&gt;="&amp;$A6,Summary!$D$5:$D$241,"&lt;"&amp;$A6+7))</f>
        <v>0</v>
      </c>
      <c r="AV6">
        <f>IF(AV5="","",COUNTIFS(Summary!$E$5:$E$241,AV5,Summary!$D$5:$D$241,"&gt;="&amp;$A6,Summary!$D$5:$D$241,"&lt;"&amp;$A6+7))</f>
        <v>0</v>
      </c>
      <c r="AW6">
        <f>IF(AW5="","",COUNTIFS(Summary!$E$5:$E$241,AW5,Summary!$D$5:$D$241,"&gt;="&amp;$A6,Summary!$D$5:$D$241,"&lt;"&amp;$A6+7))</f>
        <v>0</v>
      </c>
      <c r="AX6">
        <f>IF(AX5="","",COUNTIFS(Summary!$E$5:$E$241,AX5,Summary!$D$5:$D$241,"&gt;="&amp;$A6,Summary!$D$5:$D$241,"&lt;"&amp;$A6+7))</f>
        <v>0</v>
      </c>
      <c r="AY6">
        <f>IF(AY5="","",COUNTIFS(Summary!$E$5:$E$241,AY5,Summary!$D$5:$D$241,"&gt;="&amp;$A6,Summary!$D$5:$D$241,"&lt;"&amp;$A6+7))</f>
        <v>0</v>
      </c>
      <c r="AZ6">
        <f>IF(AZ5="","",COUNTIFS(Summary!$E$5:$E$241,AZ5,Summary!$D$5:$D$241,"&gt;="&amp;$A6,Summary!$D$5:$D$241,"&lt;"&amp;$A6+7))</f>
        <v>0</v>
      </c>
      <c r="BA6">
        <f>IF(BA5="","",COUNTIFS(Summary!$E$5:$E$241,BA5,Summary!$D$5:$D$241,"&gt;="&amp;$A6,Summary!$D$5:$D$241,"&lt;"&amp;$A6+7))</f>
        <v>0</v>
      </c>
      <c r="BB6">
        <f>IF(BB5="","",COUNTIFS(Summary!$E$5:$E$241,BB5,Summary!$D$5:$D$241,"&gt;="&amp;$A6,Summary!$D$5:$D$241,"&lt;"&amp;$A6+7))</f>
        <v>0</v>
      </c>
      <c r="BC6">
        <f>IF(BC5="","",COUNTIFS(Summary!$E$5:$E$241,BC5,Summary!$D$5:$D$241,"&gt;="&amp;$A6,Summary!$D$5:$D$241,"&lt;"&amp;$A6+7))</f>
        <v>0</v>
      </c>
      <c r="BD6">
        <f>IF(BD5="","",COUNTIFS(Summary!$E$5:$E$241,BD5,Summary!$D$5:$D$241,"&gt;="&amp;$A6,Summary!$D$5:$D$241,"&lt;"&amp;$A6+7))</f>
        <v>0</v>
      </c>
      <c r="BE6">
        <f>IF(BE5="","",COUNTIFS(Summary!$E$5:$E$241,BE5,Summary!$D$5:$D$241,"&gt;="&amp;$A6,Summary!$D$5:$D$241,"&lt;"&amp;$A6+7))</f>
        <v>0</v>
      </c>
      <c r="BF6" s="28">
        <f>IF(BF5="","",COUNTIFS(Summary!$E$5:$E$241,BF5,Summary!$D$5:$D$241,"&gt;="&amp;$A6,Summary!$D$5:$D$241,"&lt;"&amp;$A6+7))</f>
        <v>0</v>
      </c>
    </row>
    <row r="7" spans="1:58">
      <c r="A7" s="18">
        <f t="shared" ref="A7:A50" si="1">A6+7</f>
        <v>46090</v>
      </c>
      <c r="B7" s="2" t="str">
        <f t="shared" si="0"/>
        <v>Mar 9</v>
      </c>
      <c r="C7">
        <f>IF(C5="","",COUNTIFS(Summary!$E$5:$E$241,C5,Summary!$D$5:$D$241,"&gt;="&amp;$A7,Summary!$D$5:$D$241,"&lt;"&amp;$A7+7))</f>
        <v>0</v>
      </c>
      <c r="D7">
        <f>IF(D5="","",COUNTIFS(Summary!$E$5:$E$241,D5,Summary!$D$5:$D$241,"&gt;="&amp;$A7,Summary!$D$5:$D$241,"&lt;"&amp;$A7+7))</f>
        <v>1</v>
      </c>
      <c r="E7">
        <f>IF(E5="","",COUNTIFS(Summary!$E$5:$E$241,E5,Summary!$D$5:$D$241,"&gt;="&amp;$A7,Summary!$D$5:$D$241,"&lt;"&amp;$A7+7))</f>
        <v>0</v>
      </c>
      <c r="F7">
        <f>IF(F5="","",COUNTIFS(Summary!$E$5:$E$241,F5,Summary!$D$5:$D$241,"&gt;="&amp;$A7,Summary!$D$5:$D$241,"&lt;"&amp;$A7+7))</f>
        <v>0</v>
      </c>
      <c r="G7">
        <f>IF(G5="","",COUNTIFS(Summary!$E$5:$E$241,G5,Summary!$D$5:$D$241,"&gt;="&amp;$A7,Summary!$D$5:$D$241,"&lt;"&amp;$A7+7))</f>
        <v>0</v>
      </c>
      <c r="H7">
        <f>IF(H5="","",COUNTIFS(Summary!$E$5:$E$241,H5,Summary!$D$5:$D$241,"&gt;="&amp;$A7,Summary!$D$5:$D$241,"&lt;"&amp;$A7+7))</f>
        <v>2</v>
      </c>
      <c r="I7">
        <f>IF(I5="","",COUNTIFS(Summary!$E$5:$E$241,I5,Summary!$D$5:$D$241,"&gt;="&amp;$A7,Summary!$D$5:$D$241,"&lt;"&amp;$A7+7))</f>
        <v>1</v>
      </c>
      <c r="J7">
        <f>IF(J5="","",COUNTIFS(Summary!$E$5:$E$241,J5,Summary!$D$5:$D$241,"&gt;="&amp;$A7,Summary!$D$5:$D$241,"&lt;"&amp;$A7+7))</f>
        <v>1</v>
      </c>
      <c r="K7">
        <f>IF(K5="","",COUNTIFS(Summary!$E$5:$E$241,K5,Summary!$D$5:$D$241,"&gt;="&amp;$A7,Summary!$D$5:$D$241,"&lt;"&amp;$A7+7))</f>
        <v>0</v>
      </c>
      <c r="L7">
        <f>IF(L5="","",COUNTIFS(Summary!$E$5:$E$241,L5,Summary!$D$5:$D$241,"&gt;="&amp;$A7,Summary!$D$5:$D$241,"&lt;"&amp;$A7+7))</f>
        <v>0</v>
      </c>
      <c r="M7">
        <f>IF(M5="","",COUNTIFS(Summary!$E$5:$E$241,M5,Summary!$D$5:$D$241,"&gt;="&amp;$A7,Summary!$D$5:$D$241,"&lt;"&amp;$A7+7))</f>
        <v>0</v>
      </c>
      <c r="N7">
        <f>IF(N5="","",COUNTIFS(Summary!$E$5:$E$241,N5,Summary!$D$5:$D$241,"&gt;="&amp;$A7,Summary!$D$5:$D$241,"&lt;"&amp;$A7+7))</f>
        <v>0</v>
      </c>
      <c r="O7">
        <f>IF(O5="","",COUNTIFS(Summary!$E$5:$E$241,O5,Summary!$D$5:$D$241,"&gt;="&amp;$A7,Summary!$D$5:$D$241,"&lt;"&amp;$A7+7))</f>
        <v>2</v>
      </c>
      <c r="P7">
        <f>IF(P5="","",COUNTIFS(Summary!$E$5:$E$241,P5,Summary!$D$5:$D$241,"&gt;="&amp;$A7,Summary!$D$5:$D$241,"&lt;"&amp;$A7+7))</f>
        <v>0</v>
      </c>
      <c r="Q7">
        <f>IF(Q5="","",COUNTIFS(Summary!$E$5:$E$241,Q5,Summary!$D$5:$D$241,"&gt;="&amp;$A7,Summary!$D$5:$D$241,"&lt;"&amp;$A7+7))</f>
        <v>0</v>
      </c>
      <c r="R7">
        <f>IF(R5="","",COUNTIFS(Summary!$E$5:$E$241,R5,Summary!$D$5:$D$241,"&gt;="&amp;$A7,Summary!$D$5:$D$241,"&lt;"&amp;$A7+7))</f>
        <v>0</v>
      </c>
      <c r="S7">
        <f>IF(S5="","",COUNTIFS(Summary!$E$5:$E$241,S5,Summary!$D$5:$D$241,"&gt;="&amp;$A7,Summary!$D$5:$D$241,"&lt;"&amp;$A7+7))</f>
        <v>0</v>
      </c>
      <c r="T7">
        <f>IF(T5="","",COUNTIFS(Summary!$E$5:$E$241,T5,Summary!$D$5:$D$241,"&gt;="&amp;$A7,Summary!$D$5:$D$241,"&lt;"&amp;$A7+7))</f>
        <v>0</v>
      </c>
      <c r="U7">
        <f>IF(U5="","",COUNTIFS(Summary!$E$5:$E$241,U5,Summary!$D$5:$D$241,"&gt;="&amp;$A7,Summary!$D$5:$D$241,"&lt;"&amp;$A7+7))</f>
        <v>0</v>
      </c>
      <c r="V7">
        <f>IF(V5="","",COUNTIFS(Summary!$E$5:$E$241,V5,Summary!$D$5:$D$241,"&gt;="&amp;$A7,Summary!$D$5:$D$241,"&lt;"&amp;$A7+7))</f>
        <v>0</v>
      </c>
      <c r="W7">
        <f>IF(W5="","",COUNTIFS(Summary!$E$5:$E$241,W5,Summary!$D$5:$D$241,"&gt;="&amp;$A7,Summary!$D$5:$D$241,"&lt;"&amp;$A7+7))</f>
        <v>0</v>
      </c>
      <c r="X7">
        <f>IF(X5="","",COUNTIFS(Summary!$E$5:$E$241,X5,Summary!$D$5:$D$241,"&gt;="&amp;$A7,Summary!$D$5:$D$241,"&lt;"&amp;$A7+7))</f>
        <v>0</v>
      </c>
      <c r="Y7">
        <f>IF(Y5="","",COUNTIFS(Summary!$E$5:$E$241,Y5,Summary!$D$5:$D$241,"&gt;="&amp;$A7,Summary!$D$5:$D$241,"&lt;"&amp;$A7+7))</f>
        <v>0</v>
      </c>
      <c r="Z7">
        <f>IF(Z5="","",COUNTIFS(Summary!$E$5:$E$241,Z5,Summary!$D$5:$D$241,"&gt;="&amp;$A7,Summary!$D$5:$D$241,"&lt;"&amp;$A7+7))</f>
        <v>0</v>
      </c>
      <c r="AA7">
        <f>IF(AA5="","",COUNTIFS(Summary!$E$5:$E$241,AA5,Summary!$D$5:$D$241,"&gt;="&amp;$A7,Summary!$D$5:$D$241,"&lt;"&amp;$A7+7))</f>
        <v>0</v>
      </c>
      <c r="AB7">
        <f>IF(AB5="","",COUNTIFS(Summary!$E$5:$E$241,AB5,Summary!$D$5:$D$241,"&gt;="&amp;$A7,Summary!$D$5:$D$241,"&lt;"&amp;$A7+7))</f>
        <v>1</v>
      </c>
      <c r="AC7">
        <f>IF(AC5="","",COUNTIFS(Summary!$E$5:$E$241,AC5,Summary!$D$5:$D$241,"&gt;="&amp;$A7,Summary!$D$5:$D$241,"&lt;"&amp;$A7+7))</f>
        <v>0</v>
      </c>
      <c r="AD7">
        <f>IF(AD5="","",COUNTIFS(Summary!$E$5:$E$241,AD5,Summary!$D$5:$D$241,"&gt;="&amp;$A7,Summary!$D$5:$D$241,"&lt;"&amp;$A7+7))</f>
        <v>0</v>
      </c>
      <c r="AE7">
        <f>IF(AE5="","",COUNTIFS(Summary!$E$5:$E$241,AE5,Summary!$D$5:$D$241,"&gt;="&amp;$A7,Summary!$D$5:$D$241,"&lt;"&amp;$A7+7))</f>
        <v>0</v>
      </c>
      <c r="AF7">
        <f>IF(AF5="","",COUNTIFS(Summary!$E$5:$E$241,AF5,Summary!$D$5:$D$241,"&gt;="&amp;$A7,Summary!$D$5:$D$241,"&lt;"&amp;$A7+7))</f>
        <v>0</v>
      </c>
      <c r="AG7">
        <f>IF(AG5="","",COUNTIFS(Summary!$E$5:$E$241,AG5,Summary!$D$5:$D$241,"&gt;="&amp;$A7,Summary!$D$5:$D$241,"&lt;"&amp;$A7+7))</f>
        <v>0</v>
      </c>
      <c r="AH7">
        <f>IF(AH5="","",COUNTIFS(Summary!$E$5:$E$241,AH5,Summary!$D$5:$D$241,"&gt;="&amp;$A7,Summary!$D$5:$D$241,"&lt;"&amp;$A7+7))</f>
        <v>0</v>
      </c>
      <c r="AI7">
        <f>IF(AI5="","",COUNTIFS(Summary!$E$5:$E$241,AI5,Summary!$D$5:$D$241,"&gt;="&amp;$A7,Summary!$D$5:$D$241,"&lt;"&amp;$A7+7))</f>
        <v>0</v>
      </c>
      <c r="AJ7">
        <f>IF(AJ5="","",COUNTIFS(Summary!$E$5:$E$241,AJ5,Summary!$D$5:$D$241,"&gt;="&amp;$A7,Summary!$D$5:$D$241,"&lt;"&amp;$A7+7))</f>
        <v>0</v>
      </c>
      <c r="AK7">
        <f>IF(AK5="","",COUNTIFS(Summary!$E$5:$E$241,AK5,Summary!$D$5:$D$241,"&gt;="&amp;$A7,Summary!$D$5:$D$241,"&lt;"&amp;$A7+7))</f>
        <v>0</v>
      </c>
      <c r="AL7">
        <f>IF(AL5="","",COUNTIFS(Summary!$E$5:$E$241,AL5,Summary!$D$5:$D$241,"&gt;="&amp;$A7,Summary!$D$5:$D$241,"&lt;"&amp;$A7+7))</f>
        <v>0</v>
      </c>
      <c r="AM7">
        <f>IF(AM5="","",COUNTIFS(Summary!$E$5:$E$241,AM5,Summary!$D$5:$D$241,"&gt;="&amp;$A7,Summary!$D$5:$D$241,"&lt;"&amp;$A7+7))</f>
        <v>0</v>
      </c>
      <c r="AN7">
        <f>IF(AN5="","",COUNTIFS(Summary!$E$5:$E$241,AN5,Summary!$D$5:$D$241,"&gt;="&amp;$A7,Summary!$D$5:$D$241,"&lt;"&amp;$A7+7))</f>
        <v>0</v>
      </c>
      <c r="AO7">
        <f>IF(AO5="","",COUNTIFS(Summary!$E$5:$E$241,AO5,Summary!$D$5:$D$241,"&gt;="&amp;$A7,Summary!$D$5:$D$241,"&lt;"&amp;$A7+7))</f>
        <v>0</v>
      </c>
      <c r="AP7">
        <f>IF(AP5="","",COUNTIFS(Summary!$E$5:$E$241,AP5,Summary!$D$5:$D$241,"&gt;="&amp;$A7,Summary!$D$5:$D$241,"&lt;"&amp;$A7+7))</f>
        <v>0</v>
      </c>
      <c r="AQ7">
        <f>IF(AQ5="","",COUNTIFS(Summary!$E$5:$E$241,AQ5,Summary!$D$5:$D$241,"&gt;="&amp;$A7,Summary!$D$5:$D$241,"&lt;"&amp;$A7+7))</f>
        <v>0</v>
      </c>
      <c r="AR7">
        <f>IF(AR5="","",COUNTIFS(Summary!$E$5:$E$241,AR5,Summary!$D$5:$D$241,"&gt;="&amp;$A7,Summary!$D$5:$D$241,"&lt;"&amp;$A7+7))</f>
        <v>0</v>
      </c>
      <c r="AS7">
        <f>IF(AS5="","",COUNTIFS(Summary!$E$5:$E$241,AS5,Summary!$D$5:$D$241,"&gt;="&amp;$A7,Summary!$D$5:$D$241,"&lt;"&amp;$A7+7))</f>
        <v>0</v>
      </c>
      <c r="AT7">
        <f>IF(AT5="","",COUNTIFS(Summary!$E$5:$E$241,AT5,Summary!$D$5:$D$241,"&gt;="&amp;$A7,Summary!$D$5:$D$241,"&lt;"&amp;$A7+7))</f>
        <v>0</v>
      </c>
      <c r="AU7">
        <f>IF(AU5="","",COUNTIFS(Summary!$E$5:$E$241,AU5,Summary!$D$5:$D$241,"&gt;="&amp;$A7,Summary!$D$5:$D$241,"&lt;"&amp;$A7+7))</f>
        <v>0</v>
      </c>
      <c r="AV7">
        <f>IF(AV5="","",COUNTIFS(Summary!$E$5:$E$241,AV5,Summary!$D$5:$D$241,"&gt;="&amp;$A7,Summary!$D$5:$D$241,"&lt;"&amp;$A7+7))</f>
        <v>0</v>
      </c>
      <c r="AW7">
        <f>IF(AW5="","",COUNTIFS(Summary!$E$5:$E$241,AW5,Summary!$D$5:$D$241,"&gt;="&amp;$A7,Summary!$D$5:$D$241,"&lt;"&amp;$A7+7))</f>
        <v>0</v>
      </c>
      <c r="AX7">
        <f>IF(AX5="","",COUNTIFS(Summary!$E$5:$E$241,AX5,Summary!$D$5:$D$241,"&gt;="&amp;$A7,Summary!$D$5:$D$241,"&lt;"&amp;$A7+7))</f>
        <v>0</v>
      </c>
      <c r="AY7">
        <f>IF(AY5="","",COUNTIFS(Summary!$E$5:$E$241,AY5,Summary!$D$5:$D$241,"&gt;="&amp;$A7,Summary!$D$5:$D$241,"&lt;"&amp;$A7+7))</f>
        <v>0</v>
      </c>
      <c r="AZ7">
        <f>IF(AZ5="","",COUNTIFS(Summary!$E$5:$E$241,AZ5,Summary!$D$5:$D$241,"&gt;="&amp;$A7,Summary!$D$5:$D$241,"&lt;"&amp;$A7+7))</f>
        <v>0</v>
      </c>
      <c r="BA7">
        <f>IF(BA5="","",COUNTIFS(Summary!$E$5:$E$241,BA5,Summary!$D$5:$D$241,"&gt;="&amp;$A7,Summary!$D$5:$D$241,"&lt;"&amp;$A7+7))</f>
        <v>0</v>
      </c>
      <c r="BB7">
        <f>IF(BB5="","",COUNTIFS(Summary!$E$5:$E$241,BB5,Summary!$D$5:$D$241,"&gt;="&amp;$A7,Summary!$D$5:$D$241,"&lt;"&amp;$A7+7))</f>
        <v>0</v>
      </c>
      <c r="BC7">
        <f>IF(BC5="","",COUNTIFS(Summary!$E$5:$E$241,BC5,Summary!$D$5:$D$241,"&gt;="&amp;$A7,Summary!$D$5:$D$241,"&lt;"&amp;$A7+7))</f>
        <v>0</v>
      </c>
      <c r="BD7">
        <f>IF(BD5="","",COUNTIFS(Summary!$E$5:$E$241,BD5,Summary!$D$5:$D$241,"&gt;="&amp;$A7,Summary!$D$5:$D$241,"&lt;"&amp;$A7+7))</f>
        <v>0</v>
      </c>
      <c r="BE7">
        <f>IF(BE5="","",COUNTIFS(Summary!$E$5:$E$241,BE5,Summary!$D$5:$D$241,"&gt;="&amp;$A7,Summary!$D$5:$D$241,"&lt;"&amp;$A7+7))</f>
        <v>0</v>
      </c>
      <c r="BF7" s="28">
        <f>IF(BF5="","",COUNTIFS(Summary!$E$5:$E$241,BF5,Summary!$D$5:$D$241,"&gt;="&amp;$A7,Summary!$D$5:$D$241,"&lt;"&amp;$A7+7))</f>
        <v>0</v>
      </c>
    </row>
    <row r="8" spans="1:58">
      <c r="A8" s="18">
        <f t="shared" si="1"/>
        <v>46097</v>
      </c>
      <c r="B8" s="2" t="str">
        <f t="shared" si="0"/>
        <v>Mar 16</v>
      </c>
      <c r="C8">
        <f>IF(C5="","",COUNTIFS(Summary!$E$5:$E$241,C5,Summary!$D$5:$D$241,"&gt;="&amp;$A8,Summary!$D$5:$D$241,"&lt;"&amp;$A8+7))</f>
        <v>3</v>
      </c>
      <c r="D8">
        <f>IF(D5="","",COUNTIFS(Summary!$E$5:$E$241,D5,Summary!$D$5:$D$241,"&gt;="&amp;$A8,Summary!$D$5:$D$241,"&lt;"&amp;$A8+7))</f>
        <v>3</v>
      </c>
      <c r="E8">
        <f>IF(E5="","",COUNTIFS(Summary!$E$5:$E$241,E5,Summary!$D$5:$D$241,"&gt;="&amp;$A8,Summary!$D$5:$D$241,"&lt;"&amp;$A8+7))</f>
        <v>0</v>
      </c>
      <c r="F8">
        <f>IF(F5="","",COUNTIFS(Summary!$E$5:$E$241,F5,Summary!$D$5:$D$241,"&gt;="&amp;$A8,Summary!$D$5:$D$241,"&lt;"&amp;$A8+7))</f>
        <v>1</v>
      </c>
      <c r="G8">
        <f>IF(G5="","",COUNTIFS(Summary!$E$5:$E$241,G5,Summary!$D$5:$D$241,"&gt;="&amp;$A8,Summary!$D$5:$D$241,"&lt;"&amp;$A8+7))</f>
        <v>0</v>
      </c>
      <c r="H8">
        <f>IF(H5="","",COUNTIFS(Summary!$E$5:$E$241,H5,Summary!$D$5:$D$241,"&gt;="&amp;$A8,Summary!$D$5:$D$241,"&lt;"&amp;$A8+7))</f>
        <v>1</v>
      </c>
      <c r="I8">
        <f>IF(I5="","",COUNTIFS(Summary!$E$5:$E$241,I5,Summary!$D$5:$D$241,"&gt;="&amp;$A8,Summary!$D$5:$D$241,"&lt;"&amp;$A8+7))</f>
        <v>1</v>
      </c>
      <c r="J8">
        <f>IF(J5="","",COUNTIFS(Summary!$E$5:$E$241,J5,Summary!$D$5:$D$241,"&gt;="&amp;$A8,Summary!$D$5:$D$241,"&lt;"&amp;$A8+7))</f>
        <v>0</v>
      </c>
      <c r="K8">
        <f>IF(K5="","",COUNTIFS(Summary!$E$5:$E$241,K5,Summary!$D$5:$D$241,"&gt;="&amp;$A8,Summary!$D$5:$D$241,"&lt;"&amp;$A8+7))</f>
        <v>2</v>
      </c>
      <c r="L8">
        <f>IF(L5="","",COUNTIFS(Summary!$E$5:$E$241,L5,Summary!$D$5:$D$241,"&gt;="&amp;$A8,Summary!$D$5:$D$241,"&lt;"&amp;$A8+7))</f>
        <v>4</v>
      </c>
      <c r="M8">
        <f>IF(M5="","",COUNTIFS(Summary!$E$5:$E$241,M5,Summary!$D$5:$D$241,"&gt;="&amp;$A8,Summary!$D$5:$D$241,"&lt;"&amp;$A8+7))</f>
        <v>0</v>
      </c>
      <c r="N8">
        <f>IF(N5="","",COUNTIFS(Summary!$E$5:$E$241,N5,Summary!$D$5:$D$241,"&gt;="&amp;$A8,Summary!$D$5:$D$241,"&lt;"&amp;$A8+7))</f>
        <v>2</v>
      </c>
      <c r="O8">
        <f>IF(O5="","",COUNTIFS(Summary!$E$5:$E$241,O5,Summary!$D$5:$D$241,"&gt;="&amp;$A8,Summary!$D$5:$D$241,"&lt;"&amp;$A8+7))</f>
        <v>0</v>
      </c>
      <c r="P8">
        <f>IF(P5="","",COUNTIFS(Summary!$E$5:$E$241,P5,Summary!$D$5:$D$241,"&gt;="&amp;$A8,Summary!$D$5:$D$241,"&lt;"&amp;$A8+7))</f>
        <v>1</v>
      </c>
      <c r="Q8">
        <f>IF(Q5="","",COUNTIFS(Summary!$E$5:$E$241,Q5,Summary!$D$5:$D$241,"&gt;="&amp;$A8,Summary!$D$5:$D$241,"&lt;"&amp;$A8+7))</f>
        <v>2</v>
      </c>
      <c r="R8">
        <f>IF(R5="","",COUNTIFS(Summary!$E$5:$E$241,R5,Summary!$D$5:$D$241,"&gt;="&amp;$A8,Summary!$D$5:$D$241,"&lt;"&amp;$A8+7))</f>
        <v>0</v>
      </c>
      <c r="S8">
        <f>IF(S5="","",COUNTIFS(Summary!$E$5:$E$241,S5,Summary!$D$5:$D$241,"&gt;="&amp;$A8,Summary!$D$5:$D$241,"&lt;"&amp;$A8+7))</f>
        <v>0</v>
      </c>
      <c r="T8">
        <f>IF(T5="","",COUNTIFS(Summary!$E$5:$E$241,T5,Summary!$D$5:$D$241,"&gt;="&amp;$A8,Summary!$D$5:$D$241,"&lt;"&amp;$A8+7))</f>
        <v>1</v>
      </c>
      <c r="U8">
        <f>IF(U5="","",COUNTIFS(Summary!$E$5:$E$241,U5,Summary!$D$5:$D$241,"&gt;="&amp;$A8,Summary!$D$5:$D$241,"&lt;"&amp;$A8+7))</f>
        <v>1</v>
      </c>
      <c r="V8">
        <f>IF(V5="","",COUNTIFS(Summary!$E$5:$E$241,V5,Summary!$D$5:$D$241,"&gt;="&amp;$A8,Summary!$D$5:$D$241,"&lt;"&amp;$A8+7))</f>
        <v>1</v>
      </c>
      <c r="W8">
        <f>IF(W5="","",COUNTIFS(Summary!$E$5:$E$241,W5,Summary!$D$5:$D$241,"&gt;="&amp;$A8,Summary!$D$5:$D$241,"&lt;"&amp;$A8+7))</f>
        <v>0</v>
      </c>
      <c r="X8">
        <f>IF(X5="","",COUNTIFS(Summary!$E$5:$E$241,X5,Summary!$D$5:$D$241,"&gt;="&amp;$A8,Summary!$D$5:$D$241,"&lt;"&amp;$A8+7))</f>
        <v>0</v>
      </c>
      <c r="Y8">
        <f>IF(Y5="","",COUNTIFS(Summary!$E$5:$E$241,Y5,Summary!$D$5:$D$241,"&gt;="&amp;$A8,Summary!$D$5:$D$241,"&lt;"&amp;$A8+7))</f>
        <v>0</v>
      </c>
      <c r="Z8">
        <f>IF(Z5="","",COUNTIFS(Summary!$E$5:$E$241,Z5,Summary!$D$5:$D$241,"&gt;="&amp;$A8,Summary!$D$5:$D$241,"&lt;"&amp;$A8+7))</f>
        <v>1</v>
      </c>
      <c r="AA8">
        <f>IF(AA5="","",COUNTIFS(Summary!$E$5:$E$241,AA5,Summary!$D$5:$D$241,"&gt;="&amp;$A8,Summary!$D$5:$D$241,"&lt;"&amp;$A8+7))</f>
        <v>0</v>
      </c>
      <c r="AB8">
        <f>IF(AB5="","",COUNTIFS(Summary!$E$5:$E$241,AB5,Summary!$D$5:$D$241,"&gt;="&amp;$A8,Summary!$D$5:$D$241,"&lt;"&amp;$A8+7))</f>
        <v>1</v>
      </c>
      <c r="AC8">
        <f>IF(AC5="","",COUNTIFS(Summary!$E$5:$E$241,AC5,Summary!$D$5:$D$241,"&gt;="&amp;$A8,Summary!$D$5:$D$241,"&lt;"&amp;$A8+7))</f>
        <v>0</v>
      </c>
      <c r="AD8">
        <f>IF(AD5="","",COUNTIFS(Summary!$E$5:$E$241,AD5,Summary!$D$5:$D$241,"&gt;="&amp;$A8,Summary!$D$5:$D$241,"&lt;"&amp;$A8+7))</f>
        <v>0</v>
      </c>
      <c r="AE8">
        <f>IF(AE5="","",COUNTIFS(Summary!$E$5:$E$241,AE5,Summary!$D$5:$D$241,"&gt;="&amp;$A8,Summary!$D$5:$D$241,"&lt;"&amp;$A8+7))</f>
        <v>0</v>
      </c>
      <c r="AF8">
        <f>IF(AF5="","",COUNTIFS(Summary!$E$5:$E$241,AF5,Summary!$D$5:$D$241,"&gt;="&amp;$A8,Summary!$D$5:$D$241,"&lt;"&amp;$A8+7))</f>
        <v>0</v>
      </c>
      <c r="AG8">
        <f>IF(AG5="","",COUNTIFS(Summary!$E$5:$E$241,AG5,Summary!$D$5:$D$241,"&gt;="&amp;$A8,Summary!$D$5:$D$241,"&lt;"&amp;$A8+7))</f>
        <v>0</v>
      </c>
      <c r="AH8">
        <f>IF(AH5="","",COUNTIFS(Summary!$E$5:$E$241,AH5,Summary!$D$5:$D$241,"&gt;="&amp;$A8,Summary!$D$5:$D$241,"&lt;"&amp;$A8+7))</f>
        <v>0</v>
      </c>
      <c r="AI8">
        <f>IF(AI5="","",COUNTIFS(Summary!$E$5:$E$241,AI5,Summary!$D$5:$D$241,"&gt;="&amp;$A8,Summary!$D$5:$D$241,"&lt;"&amp;$A8+7))</f>
        <v>0</v>
      </c>
      <c r="AJ8">
        <f>IF(AJ5="","",COUNTIFS(Summary!$E$5:$E$241,AJ5,Summary!$D$5:$D$241,"&gt;="&amp;$A8,Summary!$D$5:$D$241,"&lt;"&amp;$A8+7))</f>
        <v>0</v>
      </c>
      <c r="AK8">
        <f>IF(AK5="","",COUNTIFS(Summary!$E$5:$E$241,AK5,Summary!$D$5:$D$241,"&gt;="&amp;$A8,Summary!$D$5:$D$241,"&lt;"&amp;$A8+7))</f>
        <v>0</v>
      </c>
      <c r="AL8">
        <f>IF(AL5="","",COUNTIFS(Summary!$E$5:$E$241,AL5,Summary!$D$5:$D$241,"&gt;="&amp;$A8,Summary!$D$5:$D$241,"&lt;"&amp;$A8+7))</f>
        <v>0</v>
      </c>
      <c r="AM8">
        <f>IF(AM5="","",COUNTIFS(Summary!$E$5:$E$241,AM5,Summary!$D$5:$D$241,"&gt;="&amp;$A8,Summary!$D$5:$D$241,"&lt;"&amp;$A8+7))</f>
        <v>0</v>
      </c>
      <c r="AN8">
        <f>IF(AN5="","",COUNTIFS(Summary!$E$5:$E$241,AN5,Summary!$D$5:$D$241,"&gt;="&amp;$A8,Summary!$D$5:$D$241,"&lt;"&amp;$A8+7))</f>
        <v>0</v>
      </c>
      <c r="AO8">
        <f>IF(AO5="","",COUNTIFS(Summary!$E$5:$E$241,AO5,Summary!$D$5:$D$241,"&gt;="&amp;$A8,Summary!$D$5:$D$241,"&lt;"&amp;$A8+7))</f>
        <v>0</v>
      </c>
      <c r="AP8">
        <f>IF(AP5="","",COUNTIFS(Summary!$E$5:$E$241,AP5,Summary!$D$5:$D$241,"&gt;="&amp;$A8,Summary!$D$5:$D$241,"&lt;"&amp;$A8+7))</f>
        <v>0</v>
      </c>
      <c r="AQ8">
        <f>IF(AQ5="","",COUNTIFS(Summary!$E$5:$E$241,AQ5,Summary!$D$5:$D$241,"&gt;="&amp;$A8,Summary!$D$5:$D$241,"&lt;"&amp;$A8+7))</f>
        <v>0</v>
      </c>
      <c r="AR8">
        <f>IF(AR5="","",COUNTIFS(Summary!$E$5:$E$241,AR5,Summary!$D$5:$D$241,"&gt;="&amp;$A8,Summary!$D$5:$D$241,"&lt;"&amp;$A8+7))</f>
        <v>0</v>
      </c>
      <c r="AS8">
        <f>IF(AS5="","",COUNTIFS(Summary!$E$5:$E$241,AS5,Summary!$D$5:$D$241,"&gt;="&amp;$A8,Summary!$D$5:$D$241,"&lt;"&amp;$A8+7))</f>
        <v>0</v>
      </c>
      <c r="AT8">
        <f>IF(AT5="","",COUNTIFS(Summary!$E$5:$E$241,AT5,Summary!$D$5:$D$241,"&gt;="&amp;$A8,Summary!$D$5:$D$241,"&lt;"&amp;$A8+7))</f>
        <v>0</v>
      </c>
      <c r="AU8">
        <f>IF(AU5="","",COUNTIFS(Summary!$E$5:$E$241,AU5,Summary!$D$5:$D$241,"&gt;="&amp;$A8,Summary!$D$5:$D$241,"&lt;"&amp;$A8+7))</f>
        <v>0</v>
      </c>
      <c r="AV8">
        <f>IF(AV5="","",COUNTIFS(Summary!$E$5:$E$241,AV5,Summary!$D$5:$D$241,"&gt;="&amp;$A8,Summary!$D$5:$D$241,"&lt;"&amp;$A8+7))</f>
        <v>0</v>
      </c>
      <c r="AW8">
        <f>IF(AW5="","",COUNTIFS(Summary!$E$5:$E$241,AW5,Summary!$D$5:$D$241,"&gt;="&amp;$A8,Summary!$D$5:$D$241,"&lt;"&amp;$A8+7))</f>
        <v>0</v>
      </c>
      <c r="AX8">
        <f>IF(AX5="","",COUNTIFS(Summary!$E$5:$E$241,AX5,Summary!$D$5:$D$241,"&gt;="&amp;$A8,Summary!$D$5:$D$241,"&lt;"&amp;$A8+7))</f>
        <v>0</v>
      </c>
      <c r="AY8">
        <f>IF(AY5="","",COUNTIFS(Summary!$E$5:$E$241,AY5,Summary!$D$5:$D$241,"&gt;="&amp;$A8,Summary!$D$5:$D$241,"&lt;"&amp;$A8+7))</f>
        <v>0</v>
      </c>
      <c r="AZ8">
        <f>IF(AZ5="","",COUNTIFS(Summary!$E$5:$E$241,AZ5,Summary!$D$5:$D$241,"&gt;="&amp;$A8,Summary!$D$5:$D$241,"&lt;"&amp;$A8+7))</f>
        <v>0</v>
      </c>
      <c r="BA8">
        <f>IF(BA5="","",COUNTIFS(Summary!$E$5:$E$241,BA5,Summary!$D$5:$D$241,"&gt;="&amp;$A8,Summary!$D$5:$D$241,"&lt;"&amp;$A8+7))</f>
        <v>0</v>
      </c>
      <c r="BB8">
        <f>IF(BB5="","",COUNTIFS(Summary!$E$5:$E$241,BB5,Summary!$D$5:$D$241,"&gt;="&amp;$A8,Summary!$D$5:$D$241,"&lt;"&amp;$A8+7))</f>
        <v>0</v>
      </c>
      <c r="BC8">
        <f>IF(BC5="","",COUNTIFS(Summary!$E$5:$E$241,BC5,Summary!$D$5:$D$241,"&gt;="&amp;$A8,Summary!$D$5:$D$241,"&lt;"&amp;$A8+7))</f>
        <v>0</v>
      </c>
      <c r="BD8">
        <f>IF(BD5="","",COUNTIFS(Summary!$E$5:$E$241,BD5,Summary!$D$5:$D$241,"&gt;="&amp;$A8,Summary!$D$5:$D$241,"&lt;"&amp;$A8+7))</f>
        <v>0</v>
      </c>
      <c r="BE8">
        <f>IF(BE5="","",COUNTIFS(Summary!$E$5:$E$241,BE5,Summary!$D$5:$D$241,"&gt;="&amp;$A8,Summary!$D$5:$D$241,"&lt;"&amp;$A8+7))</f>
        <v>0</v>
      </c>
      <c r="BF8" s="28">
        <f>IF(BF5="","",COUNTIFS(Summary!$E$5:$E$241,BF5,Summary!$D$5:$D$241,"&gt;="&amp;$A8,Summary!$D$5:$D$241,"&lt;"&amp;$A8+7))</f>
        <v>0</v>
      </c>
    </row>
    <row r="9" spans="1:58">
      <c r="A9" s="18">
        <f t="shared" si="1"/>
        <v>46104</v>
      </c>
      <c r="B9" s="2" t="str">
        <f t="shared" si="0"/>
        <v>Mar 23</v>
      </c>
      <c r="C9">
        <f>IF(C5="","",COUNTIFS(Summary!$E$5:$E$241,C5,Summary!$D$5:$D$241,"&gt;="&amp;$A9,Summary!$D$5:$D$241,"&lt;"&amp;$A9+7))</f>
        <v>0</v>
      </c>
      <c r="D9">
        <f>IF(D5="","",COUNTIFS(Summary!$E$5:$E$241,D5,Summary!$D$5:$D$241,"&gt;="&amp;$A9,Summary!$D$5:$D$241,"&lt;"&amp;$A9+7))</f>
        <v>3</v>
      </c>
      <c r="E9">
        <f>IF(E5="","",COUNTIFS(Summary!$E$5:$E$241,E5,Summary!$D$5:$D$241,"&gt;="&amp;$A9,Summary!$D$5:$D$241,"&lt;"&amp;$A9+7))</f>
        <v>2</v>
      </c>
      <c r="F9">
        <f>IF(F5="","",COUNTIFS(Summary!$E$5:$E$241,F5,Summary!$D$5:$D$241,"&gt;="&amp;$A9,Summary!$D$5:$D$241,"&lt;"&amp;$A9+7))</f>
        <v>0</v>
      </c>
      <c r="G9">
        <f>IF(G5="","",COUNTIFS(Summary!$E$5:$E$241,G5,Summary!$D$5:$D$241,"&gt;="&amp;$A9,Summary!$D$5:$D$241,"&lt;"&amp;$A9+7))</f>
        <v>0</v>
      </c>
      <c r="H9">
        <f>IF(H5="","",COUNTIFS(Summary!$E$5:$E$241,H5,Summary!$D$5:$D$241,"&gt;="&amp;$A9,Summary!$D$5:$D$241,"&lt;"&amp;$A9+7))</f>
        <v>1</v>
      </c>
      <c r="I9">
        <f>IF(I5="","",COUNTIFS(Summary!$E$5:$E$241,I5,Summary!$D$5:$D$241,"&gt;="&amp;$A9,Summary!$D$5:$D$241,"&lt;"&amp;$A9+7))</f>
        <v>0</v>
      </c>
      <c r="J9">
        <f>IF(J5="","",COUNTIFS(Summary!$E$5:$E$241,J5,Summary!$D$5:$D$241,"&gt;="&amp;$A9,Summary!$D$5:$D$241,"&lt;"&amp;$A9+7))</f>
        <v>1</v>
      </c>
      <c r="K9">
        <f>IF(K5="","",COUNTIFS(Summary!$E$5:$E$241,K5,Summary!$D$5:$D$241,"&gt;="&amp;$A9,Summary!$D$5:$D$241,"&lt;"&amp;$A9+7))</f>
        <v>3</v>
      </c>
      <c r="L9">
        <f>IF(L5="","",COUNTIFS(Summary!$E$5:$E$241,L5,Summary!$D$5:$D$241,"&gt;="&amp;$A9,Summary!$D$5:$D$241,"&lt;"&amp;$A9+7))</f>
        <v>0</v>
      </c>
      <c r="M9">
        <f>IF(M5="","",COUNTIFS(Summary!$E$5:$E$241,M5,Summary!$D$5:$D$241,"&gt;="&amp;$A9,Summary!$D$5:$D$241,"&lt;"&amp;$A9+7))</f>
        <v>0</v>
      </c>
      <c r="N9">
        <f>IF(N5="","",COUNTIFS(Summary!$E$5:$E$241,N5,Summary!$D$5:$D$241,"&gt;="&amp;$A9,Summary!$D$5:$D$241,"&lt;"&amp;$A9+7))</f>
        <v>0</v>
      </c>
      <c r="O9">
        <f>IF(O5="","",COUNTIFS(Summary!$E$5:$E$241,O5,Summary!$D$5:$D$241,"&gt;="&amp;$A9,Summary!$D$5:$D$241,"&lt;"&amp;$A9+7))</f>
        <v>0</v>
      </c>
      <c r="P9">
        <f>IF(P5="","",COUNTIFS(Summary!$E$5:$E$241,P5,Summary!$D$5:$D$241,"&gt;="&amp;$A9,Summary!$D$5:$D$241,"&lt;"&amp;$A9+7))</f>
        <v>0</v>
      </c>
      <c r="Q9">
        <f>IF(Q5="","",COUNTIFS(Summary!$E$5:$E$241,Q5,Summary!$D$5:$D$241,"&gt;="&amp;$A9,Summary!$D$5:$D$241,"&lt;"&amp;$A9+7))</f>
        <v>2</v>
      </c>
      <c r="R9">
        <f>IF(R5="","",COUNTIFS(Summary!$E$5:$E$241,R5,Summary!$D$5:$D$241,"&gt;="&amp;$A9,Summary!$D$5:$D$241,"&lt;"&amp;$A9+7))</f>
        <v>0</v>
      </c>
      <c r="S9">
        <f>IF(S5="","",COUNTIFS(Summary!$E$5:$E$241,S5,Summary!$D$5:$D$241,"&gt;="&amp;$A9,Summary!$D$5:$D$241,"&lt;"&amp;$A9+7))</f>
        <v>0</v>
      </c>
      <c r="T9">
        <f>IF(T5="","",COUNTIFS(Summary!$E$5:$E$241,T5,Summary!$D$5:$D$241,"&gt;="&amp;$A9,Summary!$D$5:$D$241,"&lt;"&amp;$A9+7))</f>
        <v>0</v>
      </c>
      <c r="U9">
        <f>IF(U5="","",COUNTIFS(Summary!$E$5:$E$241,U5,Summary!$D$5:$D$241,"&gt;="&amp;$A9,Summary!$D$5:$D$241,"&lt;"&amp;$A9+7))</f>
        <v>0</v>
      </c>
      <c r="V9">
        <f>IF(V5="","",COUNTIFS(Summary!$E$5:$E$241,V5,Summary!$D$5:$D$241,"&gt;="&amp;$A9,Summary!$D$5:$D$241,"&lt;"&amp;$A9+7))</f>
        <v>1</v>
      </c>
      <c r="W9">
        <f>IF(W5="","",COUNTIFS(Summary!$E$5:$E$241,W5,Summary!$D$5:$D$241,"&gt;="&amp;$A9,Summary!$D$5:$D$241,"&lt;"&amp;$A9+7))</f>
        <v>1</v>
      </c>
      <c r="X9">
        <f>IF(X5="","",COUNTIFS(Summary!$E$5:$E$241,X5,Summary!$D$5:$D$241,"&gt;="&amp;$A9,Summary!$D$5:$D$241,"&lt;"&amp;$A9+7))</f>
        <v>1</v>
      </c>
      <c r="Y9">
        <f>IF(Y5="","",COUNTIFS(Summary!$E$5:$E$241,Y5,Summary!$D$5:$D$241,"&gt;="&amp;$A9,Summary!$D$5:$D$241,"&lt;"&amp;$A9+7))</f>
        <v>1</v>
      </c>
      <c r="Z9">
        <f>IF(Z5="","",COUNTIFS(Summary!$E$5:$E$241,Z5,Summary!$D$5:$D$241,"&gt;="&amp;$A9,Summary!$D$5:$D$241,"&lt;"&amp;$A9+7))</f>
        <v>0</v>
      </c>
      <c r="AA9">
        <f>IF(AA5="","",COUNTIFS(Summary!$E$5:$E$241,AA5,Summary!$D$5:$D$241,"&gt;="&amp;$A9,Summary!$D$5:$D$241,"&lt;"&amp;$A9+7))</f>
        <v>0</v>
      </c>
      <c r="AB9">
        <f>IF(AB5="","",COUNTIFS(Summary!$E$5:$E$241,AB5,Summary!$D$5:$D$241,"&gt;="&amp;$A9,Summary!$D$5:$D$241,"&lt;"&amp;$A9+7))</f>
        <v>1</v>
      </c>
      <c r="AC9">
        <f>IF(AC5="","",COUNTIFS(Summary!$E$5:$E$241,AC5,Summary!$D$5:$D$241,"&gt;="&amp;$A9,Summary!$D$5:$D$241,"&lt;"&amp;$A9+7))</f>
        <v>0</v>
      </c>
      <c r="AD9">
        <f>IF(AD5="","",COUNTIFS(Summary!$E$5:$E$241,AD5,Summary!$D$5:$D$241,"&gt;="&amp;$A9,Summary!$D$5:$D$241,"&lt;"&amp;$A9+7))</f>
        <v>0</v>
      </c>
      <c r="AE9">
        <f>IF(AE5="","",COUNTIFS(Summary!$E$5:$E$241,AE5,Summary!$D$5:$D$241,"&gt;="&amp;$A9,Summary!$D$5:$D$241,"&lt;"&amp;$A9+7))</f>
        <v>0</v>
      </c>
      <c r="AF9">
        <f>IF(AF5="","",COUNTIFS(Summary!$E$5:$E$241,AF5,Summary!$D$5:$D$241,"&gt;="&amp;$A9,Summary!$D$5:$D$241,"&lt;"&amp;$A9+7))</f>
        <v>0</v>
      </c>
      <c r="AG9">
        <f>IF(AG5="","",COUNTIFS(Summary!$E$5:$E$241,AG5,Summary!$D$5:$D$241,"&gt;="&amp;$A9,Summary!$D$5:$D$241,"&lt;"&amp;$A9+7))</f>
        <v>0</v>
      </c>
      <c r="AH9">
        <f>IF(AH5="","",COUNTIFS(Summary!$E$5:$E$241,AH5,Summary!$D$5:$D$241,"&gt;="&amp;$A9,Summary!$D$5:$D$241,"&lt;"&amp;$A9+7))</f>
        <v>0</v>
      </c>
      <c r="AI9">
        <f>IF(AI5="","",COUNTIFS(Summary!$E$5:$E$241,AI5,Summary!$D$5:$D$241,"&gt;="&amp;$A9,Summary!$D$5:$D$241,"&lt;"&amp;$A9+7))</f>
        <v>0</v>
      </c>
      <c r="AJ9">
        <f>IF(AJ5="","",COUNTIFS(Summary!$E$5:$E$241,AJ5,Summary!$D$5:$D$241,"&gt;="&amp;$A9,Summary!$D$5:$D$241,"&lt;"&amp;$A9+7))</f>
        <v>0</v>
      </c>
      <c r="AK9">
        <f>IF(AK5="","",COUNTIFS(Summary!$E$5:$E$241,AK5,Summary!$D$5:$D$241,"&gt;="&amp;$A9,Summary!$D$5:$D$241,"&lt;"&amp;$A9+7))</f>
        <v>0</v>
      </c>
      <c r="AL9">
        <f>IF(AL5="","",COUNTIFS(Summary!$E$5:$E$241,AL5,Summary!$D$5:$D$241,"&gt;="&amp;$A9,Summary!$D$5:$D$241,"&lt;"&amp;$A9+7))</f>
        <v>0</v>
      </c>
      <c r="AM9">
        <f>IF(AM5="","",COUNTIFS(Summary!$E$5:$E$241,AM5,Summary!$D$5:$D$241,"&gt;="&amp;$A9,Summary!$D$5:$D$241,"&lt;"&amp;$A9+7))</f>
        <v>0</v>
      </c>
      <c r="AN9">
        <f>IF(AN5="","",COUNTIFS(Summary!$E$5:$E$241,AN5,Summary!$D$5:$D$241,"&gt;="&amp;$A9,Summary!$D$5:$D$241,"&lt;"&amp;$A9+7))</f>
        <v>0</v>
      </c>
      <c r="AO9">
        <f>IF(AO5="","",COUNTIFS(Summary!$E$5:$E$241,AO5,Summary!$D$5:$D$241,"&gt;="&amp;$A9,Summary!$D$5:$D$241,"&lt;"&amp;$A9+7))</f>
        <v>0</v>
      </c>
      <c r="AP9">
        <f>IF(AP5="","",COUNTIFS(Summary!$E$5:$E$241,AP5,Summary!$D$5:$D$241,"&gt;="&amp;$A9,Summary!$D$5:$D$241,"&lt;"&amp;$A9+7))</f>
        <v>0</v>
      </c>
      <c r="AQ9">
        <f>IF(AQ5="","",COUNTIFS(Summary!$E$5:$E$241,AQ5,Summary!$D$5:$D$241,"&gt;="&amp;$A9,Summary!$D$5:$D$241,"&lt;"&amp;$A9+7))</f>
        <v>0</v>
      </c>
      <c r="AR9">
        <f>IF(AR5="","",COUNTIFS(Summary!$E$5:$E$241,AR5,Summary!$D$5:$D$241,"&gt;="&amp;$A9,Summary!$D$5:$D$241,"&lt;"&amp;$A9+7))</f>
        <v>0</v>
      </c>
      <c r="AS9">
        <f>IF(AS5="","",COUNTIFS(Summary!$E$5:$E$241,AS5,Summary!$D$5:$D$241,"&gt;="&amp;$A9,Summary!$D$5:$D$241,"&lt;"&amp;$A9+7))</f>
        <v>0</v>
      </c>
      <c r="AT9">
        <f>IF(AT5="","",COUNTIFS(Summary!$E$5:$E$241,AT5,Summary!$D$5:$D$241,"&gt;="&amp;$A9,Summary!$D$5:$D$241,"&lt;"&amp;$A9+7))</f>
        <v>0</v>
      </c>
      <c r="AU9">
        <f>IF(AU5="","",COUNTIFS(Summary!$E$5:$E$241,AU5,Summary!$D$5:$D$241,"&gt;="&amp;$A9,Summary!$D$5:$D$241,"&lt;"&amp;$A9+7))</f>
        <v>0</v>
      </c>
      <c r="AV9">
        <f>IF(AV5="","",COUNTIFS(Summary!$E$5:$E$241,AV5,Summary!$D$5:$D$241,"&gt;="&amp;$A9,Summary!$D$5:$D$241,"&lt;"&amp;$A9+7))</f>
        <v>0</v>
      </c>
      <c r="AW9">
        <f>IF(AW5="","",COUNTIFS(Summary!$E$5:$E$241,AW5,Summary!$D$5:$D$241,"&gt;="&amp;$A9,Summary!$D$5:$D$241,"&lt;"&amp;$A9+7))</f>
        <v>0</v>
      </c>
      <c r="AX9">
        <f>IF(AX5="","",COUNTIFS(Summary!$E$5:$E$241,AX5,Summary!$D$5:$D$241,"&gt;="&amp;$A9,Summary!$D$5:$D$241,"&lt;"&amp;$A9+7))</f>
        <v>0</v>
      </c>
      <c r="AY9">
        <f>IF(AY5="","",COUNTIFS(Summary!$E$5:$E$241,AY5,Summary!$D$5:$D$241,"&gt;="&amp;$A9,Summary!$D$5:$D$241,"&lt;"&amp;$A9+7))</f>
        <v>0</v>
      </c>
      <c r="AZ9">
        <f>IF(AZ5="","",COUNTIFS(Summary!$E$5:$E$241,AZ5,Summary!$D$5:$D$241,"&gt;="&amp;$A9,Summary!$D$5:$D$241,"&lt;"&amp;$A9+7))</f>
        <v>0</v>
      </c>
      <c r="BA9">
        <f>IF(BA5="","",COUNTIFS(Summary!$E$5:$E$241,BA5,Summary!$D$5:$D$241,"&gt;="&amp;$A9,Summary!$D$5:$D$241,"&lt;"&amp;$A9+7))</f>
        <v>0</v>
      </c>
      <c r="BB9">
        <f>IF(BB5="","",COUNTIFS(Summary!$E$5:$E$241,BB5,Summary!$D$5:$D$241,"&gt;="&amp;$A9,Summary!$D$5:$D$241,"&lt;"&amp;$A9+7))</f>
        <v>0</v>
      </c>
      <c r="BC9">
        <f>IF(BC5="","",COUNTIFS(Summary!$E$5:$E$241,BC5,Summary!$D$5:$D$241,"&gt;="&amp;$A9,Summary!$D$5:$D$241,"&lt;"&amp;$A9+7))</f>
        <v>0</v>
      </c>
      <c r="BD9">
        <f>IF(BD5="","",COUNTIFS(Summary!$E$5:$E$241,BD5,Summary!$D$5:$D$241,"&gt;="&amp;$A9,Summary!$D$5:$D$241,"&lt;"&amp;$A9+7))</f>
        <v>0</v>
      </c>
      <c r="BE9">
        <f>IF(BE5="","",COUNTIFS(Summary!$E$5:$E$241,BE5,Summary!$D$5:$D$241,"&gt;="&amp;$A9,Summary!$D$5:$D$241,"&lt;"&amp;$A9+7))</f>
        <v>0</v>
      </c>
      <c r="BF9" s="28">
        <f>IF(BF5="","",COUNTIFS(Summary!$E$5:$E$241,BF5,Summary!$D$5:$D$241,"&gt;="&amp;$A9,Summary!$D$5:$D$241,"&lt;"&amp;$A9+7))</f>
        <v>0</v>
      </c>
    </row>
    <row r="10" spans="1:58">
      <c r="A10" s="18">
        <f t="shared" si="1"/>
        <v>46111</v>
      </c>
      <c r="B10" s="2" t="str">
        <f t="shared" si="0"/>
        <v>Mar 30</v>
      </c>
      <c r="C10">
        <f>IF(C5="","",COUNTIFS(Summary!$E$5:$E$241,C5,Summary!$D$5:$D$241,"&gt;="&amp;$A10,Summary!$D$5:$D$241,"&lt;"&amp;$A10+7))</f>
        <v>0</v>
      </c>
      <c r="D10">
        <f>IF(D5="","",COUNTIFS(Summary!$E$5:$E$241,D5,Summary!$D$5:$D$241,"&gt;="&amp;$A10,Summary!$D$5:$D$241,"&lt;"&amp;$A10+7))</f>
        <v>0</v>
      </c>
      <c r="E10">
        <f>IF(E5="","",COUNTIFS(Summary!$E$5:$E$241,E5,Summary!$D$5:$D$241,"&gt;="&amp;$A10,Summary!$D$5:$D$241,"&lt;"&amp;$A10+7))</f>
        <v>0</v>
      </c>
      <c r="F10">
        <f>IF(F5="","",COUNTIFS(Summary!$E$5:$E$241,F5,Summary!$D$5:$D$241,"&gt;="&amp;$A10,Summary!$D$5:$D$241,"&lt;"&amp;$A10+7))</f>
        <v>0</v>
      </c>
      <c r="G10">
        <f>IF(G5="","",COUNTIFS(Summary!$E$5:$E$241,G5,Summary!$D$5:$D$241,"&gt;="&amp;$A10,Summary!$D$5:$D$241,"&lt;"&amp;$A10+7))</f>
        <v>0</v>
      </c>
      <c r="H10">
        <f>IF(H5="","",COUNTIFS(Summary!$E$5:$E$241,H5,Summary!$D$5:$D$241,"&gt;="&amp;$A10,Summary!$D$5:$D$241,"&lt;"&amp;$A10+7))</f>
        <v>0</v>
      </c>
      <c r="I10">
        <f>IF(I5="","",COUNTIFS(Summary!$E$5:$E$241,I5,Summary!$D$5:$D$241,"&gt;="&amp;$A10,Summary!$D$5:$D$241,"&lt;"&amp;$A10+7))</f>
        <v>0</v>
      </c>
      <c r="J10">
        <f>IF(J5="","",COUNTIFS(Summary!$E$5:$E$241,J5,Summary!$D$5:$D$241,"&gt;="&amp;$A10,Summary!$D$5:$D$241,"&lt;"&amp;$A10+7))</f>
        <v>0</v>
      </c>
      <c r="K10">
        <f>IF(K5="","",COUNTIFS(Summary!$E$5:$E$241,K5,Summary!$D$5:$D$241,"&gt;="&amp;$A10,Summary!$D$5:$D$241,"&lt;"&amp;$A10+7))</f>
        <v>0</v>
      </c>
      <c r="L10">
        <f>IF(L5="","",COUNTIFS(Summary!$E$5:$E$241,L5,Summary!$D$5:$D$241,"&gt;="&amp;$A10,Summary!$D$5:$D$241,"&lt;"&amp;$A10+7))</f>
        <v>1</v>
      </c>
      <c r="M10">
        <f>IF(M5="","",COUNTIFS(Summary!$E$5:$E$241,M5,Summary!$D$5:$D$241,"&gt;="&amp;$A10,Summary!$D$5:$D$241,"&lt;"&amp;$A10+7))</f>
        <v>3</v>
      </c>
      <c r="N10">
        <f>IF(N5="","",COUNTIFS(Summary!$E$5:$E$241,N5,Summary!$D$5:$D$241,"&gt;="&amp;$A10,Summary!$D$5:$D$241,"&lt;"&amp;$A10+7))</f>
        <v>0</v>
      </c>
      <c r="O10">
        <f>IF(O5="","",COUNTIFS(Summary!$E$5:$E$241,O5,Summary!$D$5:$D$241,"&gt;="&amp;$A10,Summary!$D$5:$D$241,"&lt;"&amp;$A10+7))</f>
        <v>0</v>
      </c>
      <c r="P10">
        <f>IF(P5="","",COUNTIFS(Summary!$E$5:$E$241,P5,Summary!$D$5:$D$241,"&gt;="&amp;$A10,Summary!$D$5:$D$241,"&lt;"&amp;$A10+7))</f>
        <v>0</v>
      </c>
      <c r="Q10">
        <f>IF(Q5="","",COUNTIFS(Summary!$E$5:$E$241,Q5,Summary!$D$5:$D$241,"&gt;="&amp;$A10,Summary!$D$5:$D$241,"&lt;"&amp;$A10+7))</f>
        <v>0</v>
      </c>
      <c r="R10">
        <f>IF(R5="","",COUNTIFS(Summary!$E$5:$E$241,R5,Summary!$D$5:$D$241,"&gt;="&amp;$A10,Summary!$D$5:$D$241,"&lt;"&amp;$A10+7))</f>
        <v>0</v>
      </c>
      <c r="S10">
        <f>IF(S5="","",COUNTIFS(Summary!$E$5:$E$241,S5,Summary!$D$5:$D$241,"&gt;="&amp;$A10,Summary!$D$5:$D$241,"&lt;"&amp;$A10+7))</f>
        <v>0</v>
      </c>
      <c r="T10">
        <f>IF(T5="","",COUNTIFS(Summary!$E$5:$E$241,T5,Summary!$D$5:$D$241,"&gt;="&amp;$A10,Summary!$D$5:$D$241,"&lt;"&amp;$A10+7))</f>
        <v>0</v>
      </c>
      <c r="U10">
        <f>IF(U5="","",COUNTIFS(Summary!$E$5:$E$241,U5,Summary!$D$5:$D$241,"&gt;="&amp;$A10,Summary!$D$5:$D$241,"&lt;"&amp;$A10+7))</f>
        <v>0</v>
      </c>
      <c r="V10">
        <f>IF(V5="","",COUNTIFS(Summary!$E$5:$E$241,V5,Summary!$D$5:$D$241,"&gt;="&amp;$A10,Summary!$D$5:$D$241,"&lt;"&amp;$A10+7))</f>
        <v>0</v>
      </c>
      <c r="W10">
        <f>IF(W5="","",COUNTIFS(Summary!$E$5:$E$241,W5,Summary!$D$5:$D$241,"&gt;="&amp;$A10,Summary!$D$5:$D$241,"&lt;"&amp;$A10+7))</f>
        <v>0</v>
      </c>
      <c r="X10">
        <f>IF(X5="","",COUNTIFS(Summary!$E$5:$E$241,X5,Summary!$D$5:$D$241,"&gt;="&amp;$A10,Summary!$D$5:$D$241,"&lt;"&amp;$A10+7))</f>
        <v>0</v>
      </c>
      <c r="Y10">
        <f>IF(Y5="","",COUNTIFS(Summary!$E$5:$E$241,Y5,Summary!$D$5:$D$241,"&gt;="&amp;$A10,Summary!$D$5:$D$241,"&lt;"&amp;$A10+7))</f>
        <v>0</v>
      </c>
      <c r="Z10">
        <f>IF(Z5="","",COUNTIFS(Summary!$E$5:$E$241,Z5,Summary!$D$5:$D$241,"&gt;="&amp;$A10,Summary!$D$5:$D$241,"&lt;"&amp;$A10+7))</f>
        <v>0</v>
      </c>
      <c r="AA10">
        <f>IF(AA5="","",COUNTIFS(Summary!$E$5:$E$241,AA5,Summary!$D$5:$D$241,"&gt;="&amp;$A10,Summary!$D$5:$D$241,"&lt;"&amp;$A10+7))</f>
        <v>0</v>
      </c>
      <c r="AB10">
        <f>IF(AB5="","",COUNTIFS(Summary!$E$5:$E$241,AB5,Summary!$D$5:$D$241,"&gt;="&amp;$A10,Summary!$D$5:$D$241,"&lt;"&amp;$A10+7))</f>
        <v>0</v>
      </c>
      <c r="AC10">
        <f>IF(AC5="","",COUNTIFS(Summary!$E$5:$E$241,AC5,Summary!$D$5:$D$241,"&gt;="&amp;$A10,Summary!$D$5:$D$241,"&lt;"&amp;$A10+7))</f>
        <v>0</v>
      </c>
      <c r="AD10">
        <f>IF(AD5="","",COUNTIFS(Summary!$E$5:$E$241,AD5,Summary!$D$5:$D$241,"&gt;="&amp;$A10,Summary!$D$5:$D$241,"&lt;"&amp;$A10+7))</f>
        <v>0</v>
      </c>
      <c r="AE10">
        <f>IF(AE5="","",COUNTIFS(Summary!$E$5:$E$241,AE5,Summary!$D$5:$D$241,"&gt;="&amp;$A10,Summary!$D$5:$D$241,"&lt;"&amp;$A10+7))</f>
        <v>0</v>
      </c>
      <c r="AF10">
        <f>IF(AF5="","",COUNTIFS(Summary!$E$5:$E$241,AF5,Summary!$D$5:$D$241,"&gt;="&amp;$A10,Summary!$D$5:$D$241,"&lt;"&amp;$A10+7))</f>
        <v>0</v>
      </c>
      <c r="AG10">
        <f>IF(AG5="","",COUNTIFS(Summary!$E$5:$E$241,AG5,Summary!$D$5:$D$241,"&gt;="&amp;$A10,Summary!$D$5:$D$241,"&lt;"&amp;$A10+7))</f>
        <v>0</v>
      </c>
      <c r="AH10">
        <f>IF(AH5="","",COUNTIFS(Summary!$E$5:$E$241,AH5,Summary!$D$5:$D$241,"&gt;="&amp;$A10,Summary!$D$5:$D$241,"&lt;"&amp;$A10+7))</f>
        <v>0</v>
      </c>
      <c r="AI10">
        <f>IF(AI5="","",COUNTIFS(Summary!$E$5:$E$241,AI5,Summary!$D$5:$D$241,"&gt;="&amp;$A10,Summary!$D$5:$D$241,"&lt;"&amp;$A10+7))</f>
        <v>0</v>
      </c>
      <c r="AJ10">
        <f>IF(AJ5="","",COUNTIFS(Summary!$E$5:$E$241,AJ5,Summary!$D$5:$D$241,"&gt;="&amp;$A10,Summary!$D$5:$D$241,"&lt;"&amp;$A10+7))</f>
        <v>0</v>
      </c>
      <c r="AK10">
        <f>IF(AK5="","",COUNTIFS(Summary!$E$5:$E$241,AK5,Summary!$D$5:$D$241,"&gt;="&amp;$A10,Summary!$D$5:$D$241,"&lt;"&amp;$A10+7))</f>
        <v>0</v>
      </c>
      <c r="AL10">
        <f>IF(AL5="","",COUNTIFS(Summary!$E$5:$E$241,AL5,Summary!$D$5:$D$241,"&gt;="&amp;$A10,Summary!$D$5:$D$241,"&lt;"&amp;$A10+7))</f>
        <v>0</v>
      </c>
      <c r="AM10">
        <f>IF(AM5="","",COUNTIFS(Summary!$E$5:$E$241,AM5,Summary!$D$5:$D$241,"&gt;="&amp;$A10,Summary!$D$5:$D$241,"&lt;"&amp;$A10+7))</f>
        <v>0</v>
      </c>
      <c r="AN10">
        <f>IF(AN5="","",COUNTIFS(Summary!$E$5:$E$241,AN5,Summary!$D$5:$D$241,"&gt;="&amp;$A10,Summary!$D$5:$D$241,"&lt;"&amp;$A10+7))</f>
        <v>0</v>
      </c>
      <c r="AO10">
        <f>IF(AO5="","",COUNTIFS(Summary!$E$5:$E$241,AO5,Summary!$D$5:$D$241,"&gt;="&amp;$A10,Summary!$D$5:$D$241,"&lt;"&amp;$A10+7))</f>
        <v>0</v>
      </c>
      <c r="AP10">
        <f>IF(AP5="","",COUNTIFS(Summary!$E$5:$E$241,AP5,Summary!$D$5:$D$241,"&gt;="&amp;$A10,Summary!$D$5:$D$241,"&lt;"&amp;$A10+7))</f>
        <v>0</v>
      </c>
      <c r="AQ10">
        <f>IF(AQ5="","",COUNTIFS(Summary!$E$5:$E$241,AQ5,Summary!$D$5:$D$241,"&gt;="&amp;$A10,Summary!$D$5:$D$241,"&lt;"&amp;$A10+7))</f>
        <v>0</v>
      </c>
      <c r="AR10">
        <f>IF(AR5="","",COUNTIFS(Summary!$E$5:$E$241,AR5,Summary!$D$5:$D$241,"&gt;="&amp;$A10,Summary!$D$5:$D$241,"&lt;"&amp;$A10+7))</f>
        <v>0</v>
      </c>
      <c r="AS10">
        <f>IF(AS5="","",COUNTIFS(Summary!$E$5:$E$241,AS5,Summary!$D$5:$D$241,"&gt;="&amp;$A10,Summary!$D$5:$D$241,"&lt;"&amp;$A10+7))</f>
        <v>0</v>
      </c>
      <c r="AT10">
        <f>IF(AT5="","",COUNTIFS(Summary!$E$5:$E$241,AT5,Summary!$D$5:$D$241,"&gt;="&amp;$A10,Summary!$D$5:$D$241,"&lt;"&amp;$A10+7))</f>
        <v>0</v>
      </c>
      <c r="AU10">
        <f>IF(AU5="","",COUNTIFS(Summary!$E$5:$E$241,AU5,Summary!$D$5:$D$241,"&gt;="&amp;$A10,Summary!$D$5:$D$241,"&lt;"&amp;$A10+7))</f>
        <v>0</v>
      </c>
      <c r="AV10">
        <f>IF(AV5="","",COUNTIFS(Summary!$E$5:$E$241,AV5,Summary!$D$5:$D$241,"&gt;="&amp;$A10,Summary!$D$5:$D$241,"&lt;"&amp;$A10+7))</f>
        <v>0</v>
      </c>
      <c r="AW10">
        <f>IF(AW5="","",COUNTIFS(Summary!$E$5:$E$241,AW5,Summary!$D$5:$D$241,"&gt;="&amp;$A10,Summary!$D$5:$D$241,"&lt;"&amp;$A10+7))</f>
        <v>0</v>
      </c>
      <c r="AX10">
        <f>IF(AX5="","",COUNTIFS(Summary!$E$5:$E$241,AX5,Summary!$D$5:$D$241,"&gt;="&amp;$A10,Summary!$D$5:$D$241,"&lt;"&amp;$A10+7))</f>
        <v>0</v>
      </c>
      <c r="AY10">
        <f>IF(AY5="","",COUNTIFS(Summary!$E$5:$E$241,AY5,Summary!$D$5:$D$241,"&gt;="&amp;$A10,Summary!$D$5:$D$241,"&lt;"&amp;$A10+7))</f>
        <v>0</v>
      </c>
      <c r="AZ10">
        <f>IF(AZ5="","",COUNTIFS(Summary!$E$5:$E$241,AZ5,Summary!$D$5:$D$241,"&gt;="&amp;$A10,Summary!$D$5:$D$241,"&lt;"&amp;$A10+7))</f>
        <v>0</v>
      </c>
      <c r="BA10">
        <f>IF(BA5="","",COUNTIFS(Summary!$E$5:$E$241,BA5,Summary!$D$5:$D$241,"&gt;="&amp;$A10,Summary!$D$5:$D$241,"&lt;"&amp;$A10+7))</f>
        <v>0</v>
      </c>
      <c r="BB10">
        <f>IF(BB5="","",COUNTIFS(Summary!$E$5:$E$241,BB5,Summary!$D$5:$D$241,"&gt;="&amp;$A10,Summary!$D$5:$D$241,"&lt;"&amp;$A10+7))</f>
        <v>0</v>
      </c>
      <c r="BC10">
        <f>IF(BC5="","",COUNTIFS(Summary!$E$5:$E$241,BC5,Summary!$D$5:$D$241,"&gt;="&amp;$A10,Summary!$D$5:$D$241,"&lt;"&amp;$A10+7))</f>
        <v>0</v>
      </c>
      <c r="BD10">
        <f>IF(BD5="","",COUNTIFS(Summary!$E$5:$E$241,BD5,Summary!$D$5:$D$241,"&gt;="&amp;$A10,Summary!$D$5:$D$241,"&lt;"&amp;$A10+7))</f>
        <v>0</v>
      </c>
      <c r="BE10">
        <f>IF(BE5="","",COUNTIFS(Summary!$E$5:$E$241,BE5,Summary!$D$5:$D$241,"&gt;="&amp;$A10,Summary!$D$5:$D$241,"&lt;"&amp;$A10+7))</f>
        <v>0</v>
      </c>
      <c r="BF10" s="28">
        <f>IF(BF5="","",COUNTIFS(Summary!$E$5:$E$241,BF5,Summary!$D$5:$D$241,"&gt;="&amp;$A10,Summary!$D$5:$D$241,"&lt;"&amp;$A10+7))</f>
        <v>0</v>
      </c>
    </row>
    <row r="11" spans="1:58">
      <c r="A11" s="18">
        <f t="shared" si="1"/>
        <v>46118</v>
      </c>
      <c r="B11" s="2" t="str">
        <f t="shared" si="0"/>
        <v>Apr 6</v>
      </c>
      <c r="C11">
        <f>IF(C5="","",COUNTIFS(Summary!$E$5:$E$241,C5,Summary!$D$5:$D$241,"&gt;="&amp;$A11,Summary!$D$5:$D$241,"&lt;"&amp;$A11+7))</f>
        <v>5</v>
      </c>
      <c r="D11">
        <f>IF(D5="","",COUNTIFS(Summary!$E$5:$E$241,D5,Summary!$D$5:$D$241,"&gt;="&amp;$A11,Summary!$D$5:$D$241,"&lt;"&amp;$A11+7))</f>
        <v>0</v>
      </c>
      <c r="E11">
        <f>IF(E5="","",COUNTIFS(Summary!$E$5:$E$241,E5,Summary!$D$5:$D$241,"&gt;="&amp;$A11,Summary!$D$5:$D$241,"&lt;"&amp;$A11+7))</f>
        <v>0</v>
      </c>
      <c r="F11">
        <f>IF(F5="","",COUNTIFS(Summary!$E$5:$E$241,F5,Summary!$D$5:$D$241,"&gt;="&amp;$A11,Summary!$D$5:$D$241,"&lt;"&amp;$A11+7))</f>
        <v>0</v>
      </c>
      <c r="G11">
        <f>IF(G5="","",COUNTIFS(Summary!$E$5:$E$241,G5,Summary!$D$5:$D$241,"&gt;="&amp;$A11,Summary!$D$5:$D$241,"&lt;"&amp;$A11+7))</f>
        <v>0</v>
      </c>
      <c r="H11">
        <f>IF(H5="","",COUNTIFS(Summary!$E$5:$E$241,H5,Summary!$D$5:$D$241,"&gt;="&amp;$A11,Summary!$D$5:$D$241,"&lt;"&amp;$A11+7))</f>
        <v>0</v>
      </c>
      <c r="I11">
        <f>IF(I5="","",COUNTIFS(Summary!$E$5:$E$241,I5,Summary!$D$5:$D$241,"&gt;="&amp;$A11,Summary!$D$5:$D$241,"&lt;"&amp;$A11+7))</f>
        <v>0</v>
      </c>
      <c r="J11">
        <f>IF(J5="","",COUNTIFS(Summary!$E$5:$E$241,J5,Summary!$D$5:$D$241,"&gt;="&amp;$A11,Summary!$D$5:$D$241,"&lt;"&amp;$A11+7))</f>
        <v>0</v>
      </c>
      <c r="K11">
        <f>IF(K5="","",COUNTIFS(Summary!$E$5:$E$241,K5,Summary!$D$5:$D$241,"&gt;="&amp;$A11,Summary!$D$5:$D$241,"&lt;"&amp;$A11+7))</f>
        <v>0</v>
      </c>
      <c r="L11">
        <f>IF(L5="","",COUNTIFS(Summary!$E$5:$E$241,L5,Summary!$D$5:$D$241,"&gt;="&amp;$A11,Summary!$D$5:$D$241,"&lt;"&amp;$A11+7))</f>
        <v>2</v>
      </c>
      <c r="M11">
        <f>IF(M5="","",COUNTIFS(Summary!$E$5:$E$241,M5,Summary!$D$5:$D$241,"&gt;="&amp;$A11,Summary!$D$5:$D$241,"&lt;"&amp;$A11+7))</f>
        <v>0</v>
      </c>
      <c r="N11">
        <f>IF(N5="","",COUNTIFS(Summary!$E$5:$E$241,N5,Summary!$D$5:$D$241,"&gt;="&amp;$A11,Summary!$D$5:$D$241,"&lt;"&amp;$A11+7))</f>
        <v>0</v>
      </c>
      <c r="O11">
        <f>IF(O5="","",COUNTIFS(Summary!$E$5:$E$241,O5,Summary!$D$5:$D$241,"&gt;="&amp;$A11,Summary!$D$5:$D$241,"&lt;"&amp;$A11+7))</f>
        <v>1</v>
      </c>
      <c r="P11">
        <f>IF(P5="","",COUNTIFS(Summary!$E$5:$E$241,P5,Summary!$D$5:$D$241,"&gt;="&amp;$A11,Summary!$D$5:$D$241,"&lt;"&amp;$A11+7))</f>
        <v>2</v>
      </c>
      <c r="Q11">
        <f>IF(Q5="","",COUNTIFS(Summary!$E$5:$E$241,Q5,Summary!$D$5:$D$241,"&gt;="&amp;$A11,Summary!$D$5:$D$241,"&lt;"&amp;$A11+7))</f>
        <v>1</v>
      </c>
      <c r="R11">
        <f>IF(R5="","",COUNTIFS(Summary!$E$5:$E$241,R5,Summary!$D$5:$D$241,"&gt;="&amp;$A11,Summary!$D$5:$D$241,"&lt;"&amp;$A11+7))</f>
        <v>0</v>
      </c>
      <c r="S11">
        <f>IF(S5="","",COUNTIFS(Summary!$E$5:$E$241,S5,Summary!$D$5:$D$241,"&gt;="&amp;$A11,Summary!$D$5:$D$241,"&lt;"&amp;$A11+7))</f>
        <v>0</v>
      </c>
      <c r="T11">
        <f>IF(T5="","",COUNTIFS(Summary!$E$5:$E$241,T5,Summary!$D$5:$D$241,"&gt;="&amp;$A11,Summary!$D$5:$D$241,"&lt;"&amp;$A11+7))</f>
        <v>0</v>
      </c>
      <c r="U11">
        <f>IF(U5="","",COUNTIFS(Summary!$E$5:$E$241,U5,Summary!$D$5:$D$241,"&gt;="&amp;$A11,Summary!$D$5:$D$241,"&lt;"&amp;$A11+7))</f>
        <v>0</v>
      </c>
      <c r="V11">
        <f>IF(V5="","",COUNTIFS(Summary!$E$5:$E$241,V5,Summary!$D$5:$D$241,"&gt;="&amp;$A11,Summary!$D$5:$D$241,"&lt;"&amp;$A11+7))</f>
        <v>0</v>
      </c>
      <c r="W11">
        <f>IF(W5="","",COUNTIFS(Summary!$E$5:$E$241,W5,Summary!$D$5:$D$241,"&gt;="&amp;$A11,Summary!$D$5:$D$241,"&lt;"&amp;$A11+7))</f>
        <v>1</v>
      </c>
      <c r="X11">
        <f>IF(X5="","",COUNTIFS(Summary!$E$5:$E$241,X5,Summary!$D$5:$D$241,"&gt;="&amp;$A11,Summary!$D$5:$D$241,"&lt;"&amp;$A11+7))</f>
        <v>0</v>
      </c>
      <c r="Y11">
        <f>IF(Y5="","",COUNTIFS(Summary!$E$5:$E$241,Y5,Summary!$D$5:$D$241,"&gt;="&amp;$A11,Summary!$D$5:$D$241,"&lt;"&amp;$A11+7))</f>
        <v>1</v>
      </c>
      <c r="Z11">
        <f>IF(Z5="","",COUNTIFS(Summary!$E$5:$E$241,Z5,Summary!$D$5:$D$241,"&gt;="&amp;$A11,Summary!$D$5:$D$241,"&lt;"&amp;$A11+7))</f>
        <v>2</v>
      </c>
      <c r="AA11">
        <f>IF(AA5="","",COUNTIFS(Summary!$E$5:$E$241,AA5,Summary!$D$5:$D$241,"&gt;="&amp;$A11,Summary!$D$5:$D$241,"&lt;"&amp;$A11+7))</f>
        <v>0</v>
      </c>
      <c r="AB11">
        <f>IF(AB5="","",COUNTIFS(Summary!$E$5:$E$241,AB5,Summary!$D$5:$D$241,"&gt;="&amp;$A11,Summary!$D$5:$D$241,"&lt;"&amp;$A11+7))</f>
        <v>0</v>
      </c>
      <c r="AC11">
        <f>IF(AC5="","",COUNTIFS(Summary!$E$5:$E$241,AC5,Summary!$D$5:$D$241,"&gt;="&amp;$A11,Summary!$D$5:$D$241,"&lt;"&amp;$A11+7))</f>
        <v>0</v>
      </c>
      <c r="AD11">
        <f>IF(AD5="","",COUNTIFS(Summary!$E$5:$E$241,AD5,Summary!$D$5:$D$241,"&gt;="&amp;$A11,Summary!$D$5:$D$241,"&lt;"&amp;$A11+7))</f>
        <v>0</v>
      </c>
      <c r="AE11">
        <f>IF(AE5="","",COUNTIFS(Summary!$E$5:$E$241,AE5,Summary!$D$5:$D$241,"&gt;="&amp;$A11,Summary!$D$5:$D$241,"&lt;"&amp;$A11+7))</f>
        <v>0</v>
      </c>
      <c r="AF11">
        <f>IF(AF5="","",COUNTIFS(Summary!$E$5:$E$241,AF5,Summary!$D$5:$D$241,"&gt;="&amp;$A11,Summary!$D$5:$D$241,"&lt;"&amp;$A11+7))</f>
        <v>0</v>
      </c>
      <c r="AG11">
        <f>IF(AG5="","",COUNTIFS(Summary!$E$5:$E$241,AG5,Summary!$D$5:$D$241,"&gt;="&amp;$A11,Summary!$D$5:$D$241,"&lt;"&amp;$A11+7))</f>
        <v>0</v>
      </c>
      <c r="AH11">
        <f>IF(AH5="","",COUNTIFS(Summary!$E$5:$E$241,AH5,Summary!$D$5:$D$241,"&gt;="&amp;$A11,Summary!$D$5:$D$241,"&lt;"&amp;$A11+7))</f>
        <v>0</v>
      </c>
      <c r="AI11">
        <f>IF(AI5="","",COUNTIFS(Summary!$E$5:$E$241,AI5,Summary!$D$5:$D$241,"&gt;="&amp;$A11,Summary!$D$5:$D$241,"&lt;"&amp;$A11+7))</f>
        <v>0</v>
      </c>
      <c r="AJ11">
        <f>IF(AJ5="","",COUNTIFS(Summary!$E$5:$E$241,AJ5,Summary!$D$5:$D$241,"&gt;="&amp;$A11,Summary!$D$5:$D$241,"&lt;"&amp;$A11+7))</f>
        <v>0</v>
      </c>
      <c r="AK11">
        <f>IF(AK5="","",COUNTIFS(Summary!$E$5:$E$241,AK5,Summary!$D$5:$D$241,"&gt;="&amp;$A11,Summary!$D$5:$D$241,"&lt;"&amp;$A11+7))</f>
        <v>0</v>
      </c>
      <c r="AL11">
        <f>IF(AL5="","",COUNTIFS(Summary!$E$5:$E$241,AL5,Summary!$D$5:$D$241,"&gt;="&amp;$A11,Summary!$D$5:$D$241,"&lt;"&amp;$A11+7))</f>
        <v>0</v>
      </c>
      <c r="AM11">
        <f>IF(AM5="","",COUNTIFS(Summary!$E$5:$E$241,AM5,Summary!$D$5:$D$241,"&gt;="&amp;$A11,Summary!$D$5:$D$241,"&lt;"&amp;$A11+7))</f>
        <v>0</v>
      </c>
      <c r="AN11">
        <f>IF(AN5="","",COUNTIFS(Summary!$E$5:$E$241,AN5,Summary!$D$5:$D$241,"&gt;="&amp;$A11,Summary!$D$5:$D$241,"&lt;"&amp;$A11+7))</f>
        <v>0</v>
      </c>
      <c r="AO11">
        <f>IF(AO5="","",COUNTIFS(Summary!$E$5:$E$241,AO5,Summary!$D$5:$D$241,"&gt;="&amp;$A11,Summary!$D$5:$D$241,"&lt;"&amp;$A11+7))</f>
        <v>0</v>
      </c>
      <c r="AP11">
        <f>IF(AP5="","",COUNTIFS(Summary!$E$5:$E$241,AP5,Summary!$D$5:$D$241,"&gt;="&amp;$A11,Summary!$D$5:$D$241,"&lt;"&amp;$A11+7))</f>
        <v>0</v>
      </c>
      <c r="AQ11">
        <f>IF(AQ5="","",COUNTIFS(Summary!$E$5:$E$241,AQ5,Summary!$D$5:$D$241,"&gt;="&amp;$A11,Summary!$D$5:$D$241,"&lt;"&amp;$A11+7))</f>
        <v>0</v>
      </c>
      <c r="AR11">
        <f>IF(AR5="","",COUNTIFS(Summary!$E$5:$E$241,AR5,Summary!$D$5:$D$241,"&gt;="&amp;$A11,Summary!$D$5:$D$241,"&lt;"&amp;$A11+7))</f>
        <v>0</v>
      </c>
      <c r="AS11">
        <f>IF(AS5="","",COUNTIFS(Summary!$E$5:$E$241,AS5,Summary!$D$5:$D$241,"&gt;="&amp;$A11,Summary!$D$5:$D$241,"&lt;"&amp;$A11+7))</f>
        <v>0</v>
      </c>
      <c r="AT11">
        <f>IF(AT5="","",COUNTIFS(Summary!$E$5:$E$241,AT5,Summary!$D$5:$D$241,"&gt;="&amp;$A11,Summary!$D$5:$D$241,"&lt;"&amp;$A11+7))</f>
        <v>0</v>
      </c>
      <c r="AU11">
        <f>IF(AU5="","",COUNTIFS(Summary!$E$5:$E$241,AU5,Summary!$D$5:$D$241,"&gt;="&amp;$A11,Summary!$D$5:$D$241,"&lt;"&amp;$A11+7))</f>
        <v>0</v>
      </c>
      <c r="AV11">
        <f>IF(AV5="","",COUNTIFS(Summary!$E$5:$E$241,AV5,Summary!$D$5:$D$241,"&gt;="&amp;$A11,Summary!$D$5:$D$241,"&lt;"&amp;$A11+7))</f>
        <v>0</v>
      </c>
      <c r="AW11">
        <f>IF(AW5="","",COUNTIFS(Summary!$E$5:$E$241,AW5,Summary!$D$5:$D$241,"&gt;="&amp;$A11,Summary!$D$5:$D$241,"&lt;"&amp;$A11+7))</f>
        <v>0</v>
      </c>
      <c r="AX11">
        <f>IF(AX5="","",COUNTIFS(Summary!$E$5:$E$241,AX5,Summary!$D$5:$D$241,"&gt;="&amp;$A11,Summary!$D$5:$D$241,"&lt;"&amp;$A11+7))</f>
        <v>0</v>
      </c>
      <c r="AY11">
        <f>IF(AY5="","",COUNTIFS(Summary!$E$5:$E$241,AY5,Summary!$D$5:$D$241,"&gt;="&amp;$A11,Summary!$D$5:$D$241,"&lt;"&amp;$A11+7))</f>
        <v>0</v>
      </c>
      <c r="AZ11">
        <f>IF(AZ5="","",COUNTIFS(Summary!$E$5:$E$241,AZ5,Summary!$D$5:$D$241,"&gt;="&amp;$A11,Summary!$D$5:$D$241,"&lt;"&amp;$A11+7))</f>
        <v>0</v>
      </c>
      <c r="BA11">
        <f>IF(BA5="","",COUNTIFS(Summary!$E$5:$E$241,BA5,Summary!$D$5:$D$241,"&gt;="&amp;$A11,Summary!$D$5:$D$241,"&lt;"&amp;$A11+7))</f>
        <v>0</v>
      </c>
      <c r="BB11">
        <f>IF(BB5="","",COUNTIFS(Summary!$E$5:$E$241,BB5,Summary!$D$5:$D$241,"&gt;="&amp;$A11,Summary!$D$5:$D$241,"&lt;"&amp;$A11+7))</f>
        <v>0</v>
      </c>
      <c r="BC11">
        <f>IF(BC5="","",COUNTIFS(Summary!$E$5:$E$241,BC5,Summary!$D$5:$D$241,"&gt;="&amp;$A11,Summary!$D$5:$D$241,"&lt;"&amp;$A11+7))</f>
        <v>0</v>
      </c>
      <c r="BD11">
        <f>IF(BD5="","",COUNTIFS(Summary!$E$5:$E$241,BD5,Summary!$D$5:$D$241,"&gt;="&amp;$A11,Summary!$D$5:$D$241,"&lt;"&amp;$A11+7))</f>
        <v>0</v>
      </c>
      <c r="BE11">
        <f>IF(BE5="","",COUNTIFS(Summary!$E$5:$E$241,BE5,Summary!$D$5:$D$241,"&gt;="&amp;$A11,Summary!$D$5:$D$241,"&lt;"&amp;$A11+7))</f>
        <v>0</v>
      </c>
      <c r="BF11" s="28">
        <f>IF(BF5="","",COUNTIFS(Summary!$E$5:$E$241,BF5,Summary!$D$5:$D$241,"&gt;="&amp;$A11,Summary!$D$5:$D$241,"&lt;"&amp;$A11+7))</f>
        <v>0</v>
      </c>
    </row>
    <row r="12" spans="1:58">
      <c r="A12" s="18">
        <f t="shared" si="1"/>
        <v>46125</v>
      </c>
      <c r="B12" s="2" t="str">
        <f t="shared" si="0"/>
        <v>Apr 13</v>
      </c>
      <c r="C12">
        <f>IF(C5="","",COUNTIFS(Summary!$E$5:$E$241,C5,Summary!$D$5:$D$241,"&gt;="&amp;$A12,Summary!$D$5:$D$241,"&lt;"&amp;$A12+7))</f>
        <v>1</v>
      </c>
      <c r="D12">
        <f>IF(D5="","",COUNTIFS(Summary!$E$5:$E$241,D5,Summary!$D$5:$D$241,"&gt;="&amp;$A12,Summary!$D$5:$D$241,"&lt;"&amp;$A12+7))</f>
        <v>1</v>
      </c>
      <c r="E12">
        <f>IF(E5="","",COUNTIFS(Summary!$E$5:$E$241,E5,Summary!$D$5:$D$241,"&gt;="&amp;$A12,Summary!$D$5:$D$241,"&lt;"&amp;$A12+7))</f>
        <v>0</v>
      </c>
      <c r="F12">
        <f>IF(F5="","",COUNTIFS(Summary!$E$5:$E$241,F5,Summary!$D$5:$D$241,"&gt;="&amp;$A12,Summary!$D$5:$D$241,"&lt;"&amp;$A12+7))</f>
        <v>0</v>
      </c>
      <c r="G12">
        <f>IF(G5="","",COUNTIFS(Summary!$E$5:$E$241,G5,Summary!$D$5:$D$241,"&gt;="&amp;$A12,Summary!$D$5:$D$241,"&lt;"&amp;$A12+7))</f>
        <v>0</v>
      </c>
      <c r="H12">
        <f>IF(H5="","",COUNTIFS(Summary!$E$5:$E$241,H5,Summary!$D$5:$D$241,"&gt;="&amp;$A12,Summary!$D$5:$D$241,"&lt;"&amp;$A12+7))</f>
        <v>3</v>
      </c>
      <c r="I12">
        <f>IF(I5="","",COUNTIFS(Summary!$E$5:$E$241,I5,Summary!$D$5:$D$241,"&gt;="&amp;$A12,Summary!$D$5:$D$241,"&lt;"&amp;$A12+7))</f>
        <v>1</v>
      </c>
      <c r="J12">
        <f>IF(J5="","",COUNTIFS(Summary!$E$5:$E$241,J5,Summary!$D$5:$D$241,"&gt;="&amp;$A12,Summary!$D$5:$D$241,"&lt;"&amp;$A12+7))</f>
        <v>1</v>
      </c>
      <c r="K12">
        <f>IF(K5="","",COUNTIFS(Summary!$E$5:$E$241,K5,Summary!$D$5:$D$241,"&gt;="&amp;$A12,Summary!$D$5:$D$241,"&lt;"&amp;$A12+7))</f>
        <v>0</v>
      </c>
      <c r="L12">
        <f>IF(L5="","",COUNTIFS(Summary!$E$5:$E$241,L5,Summary!$D$5:$D$241,"&gt;="&amp;$A12,Summary!$D$5:$D$241,"&lt;"&amp;$A12+7))</f>
        <v>0</v>
      </c>
      <c r="M12">
        <f>IF(M5="","",COUNTIFS(Summary!$E$5:$E$241,M5,Summary!$D$5:$D$241,"&gt;="&amp;$A12,Summary!$D$5:$D$241,"&lt;"&amp;$A12+7))</f>
        <v>1</v>
      </c>
      <c r="N12">
        <f>IF(N5="","",COUNTIFS(Summary!$E$5:$E$241,N5,Summary!$D$5:$D$241,"&gt;="&amp;$A12,Summary!$D$5:$D$241,"&lt;"&amp;$A12+7))</f>
        <v>1</v>
      </c>
      <c r="O12">
        <f>IF(O5="","",COUNTIFS(Summary!$E$5:$E$241,O5,Summary!$D$5:$D$241,"&gt;="&amp;$A12,Summary!$D$5:$D$241,"&lt;"&amp;$A12+7))</f>
        <v>1</v>
      </c>
      <c r="P12">
        <f>IF(P5="","",COUNTIFS(Summary!$E$5:$E$241,P5,Summary!$D$5:$D$241,"&gt;="&amp;$A12,Summary!$D$5:$D$241,"&lt;"&amp;$A12+7))</f>
        <v>0</v>
      </c>
      <c r="Q12">
        <f>IF(Q5="","",COUNTIFS(Summary!$E$5:$E$241,Q5,Summary!$D$5:$D$241,"&gt;="&amp;$A12,Summary!$D$5:$D$241,"&lt;"&amp;$A12+7))</f>
        <v>2</v>
      </c>
      <c r="R12">
        <f>IF(R5="","",COUNTIFS(Summary!$E$5:$E$241,R5,Summary!$D$5:$D$241,"&gt;="&amp;$A12,Summary!$D$5:$D$241,"&lt;"&amp;$A12+7))</f>
        <v>0</v>
      </c>
      <c r="S12">
        <f>IF(S5="","",COUNTIFS(Summary!$E$5:$E$241,S5,Summary!$D$5:$D$241,"&gt;="&amp;$A12,Summary!$D$5:$D$241,"&lt;"&amp;$A12+7))</f>
        <v>0</v>
      </c>
      <c r="T12">
        <f>IF(T5="","",COUNTIFS(Summary!$E$5:$E$241,T5,Summary!$D$5:$D$241,"&gt;="&amp;$A12,Summary!$D$5:$D$241,"&lt;"&amp;$A12+7))</f>
        <v>0</v>
      </c>
      <c r="U12">
        <f>IF(U5="","",COUNTIFS(Summary!$E$5:$E$241,U5,Summary!$D$5:$D$241,"&gt;="&amp;$A12,Summary!$D$5:$D$241,"&lt;"&amp;$A12+7))</f>
        <v>0</v>
      </c>
      <c r="V12">
        <f>IF(V5="","",COUNTIFS(Summary!$E$5:$E$241,V5,Summary!$D$5:$D$241,"&gt;="&amp;$A12,Summary!$D$5:$D$241,"&lt;"&amp;$A12+7))</f>
        <v>0</v>
      </c>
      <c r="W12">
        <f>IF(W5="","",COUNTIFS(Summary!$E$5:$E$241,W5,Summary!$D$5:$D$241,"&gt;="&amp;$A12,Summary!$D$5:$D$241,"&lt;"&amp;$A12+7))</f>
        <v>0</v>
      </c>
      <c r="X12">
        <f>IF(X5="","",COUNTIFS(Summary!$E$5:$E$241,X5,Summary!$D$5:$D$241,"&gt;="&amp;$A12,Summary!$D$5:$D$241,"&lt;"&amp;$A12+7))</f>
        <v>0</v>
      </c>
      <c r="Y12">
        <f>IF(Y5="","",COUNTIFS(Summary!$E$5:$E$241,Y5,Summary!$D$5:$D$241,"&gt;="&amp;$A12,Summary!$D$5:$D$241,"&lt;"&amp;$A12+7))</f>
        <v>2</v>
      </c>
      <c r="Z12">
        <f>IF(Z5="","",COUNTIFS(Summary!$E$5:$E$241,Z5,Summary!$D$5:$D$241,"&gt;="&amp;$A12,Summary!$D$5:$D$241,"&lt;"&amp;$A12+7))</f>
        <v>3</v>
      </c>
      <c r="AA12">
        <f>IF(AA5="","",COUNTIFS(Summary!$E$5:$E$241,AA5,Summary!$D$5:$D$241,"&gt;="&amp;$A12,Summary!$D$5:$D$241,"&lt;"&amp;$A12+7))</f>
        <v>0</v>
      </c>
      <c r="AB12">
        <f>IF(AB5="","",COUNTIFS(Summary!$E$5:$E$241,AB5,Summary!$D$5:$D$241,"&gt;="&amp;$A12,Summary!$D$5:$D$241,"&lt;"&amp;$A12+7))</f>
        <v>0</v>
      </c>
      <c r="AC12">
        <f>IF(AC5="","",COUNTIFS(Summary!$E$5:$E$241,AC5,Summary!$D$5:$D$241,"&gt;="&amp;$A12,Summary!$D$5:$D$241,"&lt;"&amp;$A12+7))</f>
        <v>0</v>
      </c>
      <c r="AD12">
        <f>IF(AD5="","",COUNTIFS(Summary!$E$5:$E$241,AD5,Summary!$D$5:$D$241,"&gt;="&amp;$A12,Summary!$D$5:$D$241,"&lt;"&amp;$A12+7))</f>
        <v>0</v>
      </c>
      <c r="AE12">
        <f>IF(AE5="","",COUNTIFS(Summary!$E$5:$E$241,AE5,Summary!$D$5:$D$241,"&gt;="&amp;$A12,Summary!$D$5:$D$241,"&lt;"&amp;$A12+7))</f>
        <v>0</v>
      </c>
      <c r="AF12">
        <f>IF(AF5="","",COUNTIFS(Summary!$E$5:$E$241,AF5,Summary!$D$5:$D$241,"&gt;="&amp;$A12,Summary!$D$5:$D$241,"&lt;"&amp;$A12+7))</f>
        <v>0</v>
      </c>
      <c r="AG12">
        <f>IF(AG5="","",COUNTIFS(Summary!$E$5:$E$241,AG5,Summary!$D$5:$D$241,"&gt;="&amp;$A12,Summary!$D$5:$D$241,"&lt;"&amp;$A12+7))</f>
        <v>0</v>
      </c>
      <c r="AH12">
        <f>IF(AH5="","",COUNTIFS(Summary!$E$5:$E$241,AH5,Summary!$D$5:$D$241,"&gt;="&amp;$A12,Summary!$D$5:$D$241,"&lt;"&amp;$A12+7))</f>
        <v>0</v>
      </c>
      <c r="AI12">
        <f>IF(AI5="","",COUNTIFS(Summary!$E$5:$E$241,AI5,Summary!$D$5:$D$241,"&gt;="&amp;$A12,Summary!$D$5:$D$241,"&lt;"&amp;$A12+7))</f>
        <v>0</v>
      </c>
      <c r="AJ12">
        <f>IF(AJ5="","",COUNTIFS(Summary!$E$5:$E$241,AJ5,Summary!$D$5:$D$241,"&gt;="&amp;$A12,Summary!$D$5:$D$241,"&lt;"&amp;$A12+7))</f>
        <v>0</v>
      </c>
      <c r="AK12">
        <f>IF(AK5="","",COUNTIFS(Summary!$E$5:$E$241,AK5,Summary!$D$5:$D$241,"&gt;="&amp;$A12,Summary!$D$5:$D$241,"&lt;"&amp;$A12+7))</f>
        <v>0</v>
      </c>
      <c r="AL12">
        <f>IF(AL5="","",COUNTIFS(Summary!$E$5:$E$241,AL5,Summary!$D$5:$D$241,"&gt;="&amp;$A12,Summary!$D$5:$D$241,"&lt;"&amp;$A12+7))</f>
        <v>0</v>
      </c>
      <c r="AM12">
        <f>IF(AM5="","",COUNTIFS(Summary!$E$5:$E$241,AM5,Summary!$D$5:$D$241,"&gt;="&amp;$A12,Summary!$D$5:$D$241,"&lt;"&amp;$A12+7))</f>
        <v>0</v>
      </c>
      <c r="AN12">
        <f>IF(AN5="","",COUNTIFS(Summary!$E$5:$E$241,AN5,Summary!$D$5:$D$241,"&gt;="&amp;$A12,Summary!$D$5:$D$241,"&lt;"&amp;$A12+7))</f>
        <v>0</v>
      </c>
      <c r="AO12">
        <f>IF(AO5="","",COUNTIFS(Summary!$E$5:$E$241,AO5,Summary!$D$5:$D$241,"&gt;="&amp;$A12,Summary!$D$5:$D$241,"&lt;"&amp;$A12+7))</f>
        <v>0</v>
      </c>
      <c r="AP12">
        <f>IF(AP5="","",COUNTIFS(Summary!$E$5:$E$241,AP5,Summary!$D$5:$D$241,"&gt;="&amp;$A12,Summary!$D$5:$D$241,"&lt;"&amp;$A12+7))</f>
        <v>0</v>
      </c>
      <c r="AQ12">
        <f>IF(AQ5="","",COUNTIFS(Summary!$E$5:$E$241,AQ5,Summary!$D$5:$D$241,"&gt;="&amp;$A12,Summary!$D$5:$D$241,"&lt;"&amp;$A12+7))</f>
        <v>0</v>
      </c>
      <c r="AR12">
        <f>IF(AR5="","",COUNTIFS(Summary!$E$5:$E$241,AR5,Summary!$D$5:$D$241,"&gt;="&amp;$A12,Summary!$D$5:$D$241,"&lt;"&amp;$A12+7))</f>
        <v>0</v>
      </c>
      <c r="AS12">
        <f>IF(AS5="","",COUNTIFS(Summary!$E$5:$E$241,AS5,Summary!$D$5:$D$241,"&gt;="&amp;$A12,Summary!$D$5:$D$241,"&lt;"&amp;$A12+7))</f>
        <v>0</v>
      </c>
      <c r="AT12">
        <f>IF(AT5="","",COUNTIFS(Summary!$E$5:$E$241,AT5,Summary!$D$5:$D$241,"&gt;="&amp;$A12,Summary!$D$5:$D$241,"&lt;"&amp;$A12+7))</f>
        <v>0</v>
      </c>
      <c r="AU12">
        <f>IF(AU5="","",COUNTIFS(Summary!$E$5:$E$241,AU5,Summary!$D$5:$D$241,"&gt;="&amp;$A12,Summary!$D$5:$D$241,"&lt;"&amp;$A12+7))</f>
        <v>0</v>
      </c>
      <c r="AV12">
        <f>IF(AV5="","",COUNTIFS(Summary!$E$5:$E$241,AV5,Summary!$D$5:$D$241,"&gt;="&amp;$A12,Summary!$D$5:$D$241,"&lt;"&amp;$A12+7))</f>
        <v>0</v>
      </c>
      <c r="AW12">
        <f>IF(AW5="","",COUNTIFS(Summary!$E$5:$E$241,AW5,Summary!$D$5:$D$241,"&gt;="&amp;$A12,Summary!$D$5:$D$241,"&lt;"&amp;$A12+7))</f>
        <v>0</v>
      </c>
      <c r="AX12">
        <f>IF(AX5="","",COUNTIFS(Summary!$E$5:$E$241,AX5,Summary!$D$5:$D$241,"&gt;="&amp;$A12,Summary!$D$5:$D$241,"&lt;"&amp;$A12+7))</f>
        <v>0</v>
      </c>
      <c r="AY12">
        <f>IF(AY5="","",COUNTIFS(Summary!$E$5:$E$241,AY5,Summary!$D$5:$D$241,"&gt;="&amp;$A12,Summary!$D$5:$D$241,"&lt;"&amp;$A12+7))</f>
        <v>0</v>
      </c>
      <c r="AZ12">
        <f>IF(AZ5="","",COUNTIFS(Summary!$E$5:$E$241,AZ5,Summary!$D$5:$D$241,"&gt;="&amp;$A12,Summary!$D$5:$D$241,"&lt;"&amp;$A12+7))</f>
        <v>0</v>
      </c>
      <c r="BA12">
        <f>IF(BA5="","",COUNTIFS(Summary!$E$5:$E$241,BA5,Summary!$D$5:$D$241,"&gt;="&amp;$A12,Summary!$D$5:$D$241,"&lt;"&amp;$A12+7))</f>
        <v>0</v>
      </c>
      <c r="BB12">
        <f>IF(BB5="","",COUNTIFS(Summary!$E$5:$E$241,BB5,Summary!$D$5:$D$241,"&gt;="&amp;$A12,Summary!$D$5:$D$241,"&lt;"&amp;$A12+7))</f>
        <v>0</v>
      </c>
      <c r="BC12">
        <f>IF(BC5="","",COUNTIFS(Summary!$E$5:$E$241,BC5,Summary!$D$5:$D$241,"&gt;="&amp;$A12,Summary!$D$5:$D$241,"&lt;"&amp;$A12+7))</f>
        <v>0</v>
      </c>
      <c r="BD12">
        <f>IF(BD5="","",COUNTIFS(Summary!$E$5:$E$241,BD5,Summary!$D$5:$D$241,"&gt;="&amp;$A12,Summary!$D$5:$D$241,"&lt;"&amp;$A12+7))</f>
        <v>0</v>
      </c>
      <c r="BE12">
        <f>IF(BE5="","",COUNTIFS(Summary!$E$5:$E$241,BE5,Summary!$D$5:$D$241,"&gt;="&amp;$A12,Summary!$D$5:$D$241,"&lt;"&amp;$A12+7))</f>
        <v>0</v>
      </c>
      <c r="BF12" s="28">
        <f>IF(BF5="","",COUNTIFS(Summary!$E$5:$E$241,BF5,Summary!$D$5:$D$241,"&gt;="&amp;$A12,Summary!$D$5:$D$241,"&lt;"&amp;$A12+7))</f>
        <v>0</v>
      </c>
    </row>
    <row r="13" spans="1:58">
      <c r="A13" s="18">
        <f t="shared" si="1"/>
        <v>46132</v>
      </c>
      <c r="B13" s="2" t="str">
        <f t="shared" si="0"/>
        <v>Apr 20</v>
      </c>
      <c r="C13">
        <f>IF(C5="","",COUNTIFS(Summary!$E$5:$E$241,C5,Summary!$D$5:$D$241,"&gt;="&amp;$A13,Summary!$D$5:$D$241,"&lt;"&amp;$A13+7))</f>
        <v>0</v>
      </c>
      <c r="D13">
        <f>IF(D5="","",COUNTIFS(Summary!$E$5:$E$241,D5,Summary!$D$5:$D$241,"&gt;="&amp;$A13,Summary!$D$5:$D$241,"&lt;"&amp;$A13+7))</f>
        <v>0</v>
      </c>
      <c r="E13">
        <f>IF(E5="","",COUNTIFS(Summary!$E$5:$E$241,E5,Summary!$D$5:$D$241,"&gt;="&amp;$A13,Summary!$D$5:$D$241,"&lt;"&amp;$A13+7))</f>
        <v>1</v>
      </c>
      <c r="F13">
        <f>IF(F5="","",COUNTIFS(Summary!$E$5:$E$241,F5,Summary!$D$5:$D$241,"&gt;="&amp;$A13,Summary!$D$5:$D$241,"&lt;"&amp;$A13+7))</f>
        <v>1</v>
      </c>
      <c r="G13">
        <f>IF(G5="","",COUNTIFS(Summary!$E$5:$E$241,G5,Summary!$D$5:$D$241,"&gt;="&amp;$A13,Summary!$D$5:$D$241,"&lt;"&amp;$A13+7))</f>
        <v>0</v>
      </c>
      <c r="H13">
        <f>IF(H5="","",COUNTIFS(Summary!$E$5:$E$241,H5,Summary!$D$5:$D$241,"&gt;="&amp;$A13,Summary!$D$5:$D$241,"&lt;"&amp;$A13+7))</f>
        <v>1</v>
      </c>
      <c r="I13">
        <f>IF(I5="","",COUNTIFS(Summary!$E$5:$E$241,I5,Summary!$D$5:$D$241,"&gt;="&amp;$A13,Summary!$D$5:$D$241,"&lt;"&amp;$A13+7))</f>
        <v>0</v>
      </c>
      <c r="J13">
        <f>IF(J5="","",COUNTIFS(Summary!$E$5:$E$241,J5,Summary!$D$5:$D$241,"&gt;="&amp;$A13,Summary!$D$5:$D$241,"&lt;"&amp;$A13+7))</f>
        <v>1</v>
      </c>
      <c r="K13">
        <f>IF(K5="","",COUNTIFS(Summary!$E$5:$E$241,K5,Summary!$D$5:$D$241,"&gt;="&amp;$A13,Summary!$D$5:$D$241,"&lt;"&amp;$A13+7))</f>
        <v>1</v>
      </c>
      <c r="L13">
        <f>IF(L5="","",COUNTIFS(Summary!$E$5:$E$241,L5,Summary!$D$5:$D$241,"&gt;="&amp;$A13,Summary!$D$5:$D$241,"&lt;"&amp;$A13+7))</f>
        <v>0</v>
      </c>
      <c r="M13">
        <f>IF(M5="","",COUNTIFS(Summary!$E$5:$E$241,M5,Summary!$D$5:$D$241,"&gt;="&amp;$A13,Summary!$D$5:$D$241,"&lt;"&amp;$A13+7))</f>
        <v>0</v>
      </c>
      <c r="N13">
        <f>IF(N5="","",COUNTIFS(Summary!$E$5:$E$241,N5,Summary!$D$5:$D$241,"&gt;="&amp;$A13,Summary!$D$5:$D$241,"&lt;"&amp;$A13+7))</f>
        <v>0</v>
      </c>
      <c r="O13">
        <f>IF(O5="","",COUNTIFS(Summary!$E$5:$E$241,O5,Summary!$D$5:$D$241,"&gt;="&amp;$A13,Summary!$D$5:$D$241,"&lt;"&amp;$A13+7))</f>
        <v>0</v>
      </c>
      <c r="P13">
        <f>IF(P5="","",COUNTIFS(Summary!$E$5:$E$241,P5,Summary!$D$5:$D$241,"&gt;="&amp;$A13,Summary!$D$5:$D$241,"&lt;"&amp;$A13+7))</f>
        <v>0</v>
      </c>
      <c r="Q13">
        <f>IF(Q5="","",COUNTIFS(Summary!$E$5:$E$241,Q5,Summary!$D$5:$D$241,"&gt;="&amp;$A13,Summary!$D$5:$D$241,"&lt;"&amp;$A13+7))</f>
        <v>0</v>
      </c>
      <c r="R13">
        <f>IF(R5="","",COUNTIFS(Summary!$E$5:$E$241,R5,Summary!$D$5:$D$241,"&gt;="&amp;$A13,Summary!$D$5:$D$241,"&lt;"&amp;$A13+7))</f>
        <v>0</v>
      </c>
      <c r="S13">
        <f>IF(S5="","",COUNTIFS(Summary!$E$5:$E$241,S5,Summary!$D$5:$D$241,"&gt;="&amp;$A13,Summary!$D$5:$D$241,"&lt;"&amp;$A13+7))</f>
        <v>0</v>
      </c>
      <c r="T13">
        <f>IF(T5="","",COUNTIFS(Summary!$E$5:$E$241,T5,Summary!$D$5:$D$241,"&gt;="&amp;$A13,Summary!$D$5:$D$241,"&lt;"&amp;$A13+7))</f>
        <v>0</v>
      </c>
      <c r="U13">
        <f>IF(U5="","",COUNTIFS(Summary!$E$5:$E$241,U5,Summary!$D$5:$D$241,"&gt;="&amp;$A13,Summary!$D$5:$D$241,"&lt;"&amp;$A13+7))</f>
        <v>0</v>
      </c>
      <c r="V13">
        <f>IF(V5="","",COUNTIFS(Summary!$E$5:$E$241,V5,Summary!$D$5:$D$241,"&gt;="&amp;$A13,Summary!$D$5:$D$241,"&lt;"&amp;$A13+7))</f>
        <v>0</v>
      </c>
      <c r="W13">
        <f>IF(W5="","",COUNTIFS(Summary!$E$5:$E$241,W5,Summary!$D$5:$D$241,"&gt;="&amp;$A13,Summary!$D$5:$D$241,"&lt;"&amp;$A13+7))</f>
        <v>1</v>
      </c>
      <c r="X13">
        <f>IF(X5="","",COUNTIFS(Summary!$E$5:$E$241,X5,Summary!$D$5:$D$241,"&gt;="&amp;$A13,Summary!$D$5:$D$241,"&lt;"&amp;$A13+7))</f>
        <v>0</v>
      </c>
      <c r="Y13">
        <f>IF(Y5="","",COUNTIFS(Summary!$E$5:$E$241,Y5,Summary!$D$5:$D$241,"&gt;="&amp;$A13,Summary!$D$5:$D$241,"&lt;"&amp;$A13+7))</f>
        <v>0</v>
      </c>
      <c r="Z13">
        <f>IF(Z5="","",COUNTIFS(Summary!$E$5:$E$241,Z5,Summary!$D$5:$D$241,"&gt;="&amp;$A13,Summary!$D$5:$D$241,"&lt;"&amp;$A13+7))</f>
        <v>0</v>
      </c>
      <c r="AA13">
        <f>IF(AA5="","",COUNTIFS(Summary!$E$5:$E$241,AA5,Summary!$D$5:$D$241,"&gt;="&amp;$A13,Summary!$D$5:$D$241,"&lt;"&amp;$A13+7))</f>
        <v>0</v>
      </c>
      <c r="AB13">
        <f>IF(AB5="","",COUNTIFS(Summary!$E$5:$E$241,AB5,Summary!$D$5:$D$241,"&gt;="&amp;$A13,Summary!$D$5:$D$241,"&lt;"&amp;$A13+7))</f>
        <v>0</v>
      </c>
      <c r="AC13">
        <f>IF(AC5="","",COUNTIFS(Summary!$E$5:$E$241,AC5,Summary!$D$5:$D$241,"&gt;="&amp;$A13,Summary!$D$5:$D$241,"&lt;"&amp;$A13+7))</f>
        <v>0</v>
      </c>
      <c r="AD13">
        <f>IF(AD5="","",COUNTIFS(Summary!$E$5:$E$241,AD5,Summary!$D$5:$D$241,"&gt;="&amp;$A13,Summary!$D$5:$D$241,"&lt;"&amp;$A13+7))</f>
        <v>0</v>
      </c>
      <c r="AE13">
        <f>IF(AE5="","",COUNTIFS(Summary!$E$5:$E$241,AE5,Summary!$D$5:$D$241,"&gt;="&amp;$A13,Summary!$D$5:$D$241,"&lt;"&amp;$A13+7))</f>
        <v>0</v>
      </c>
      <c r="AF13">
        <f>IF(AF5="","",COUNTIFS(Summary!$E$5:$E$241,AF5,Summary!$D$5:$D$241,"&gt;="&amp;$A13,Summary!$D$5:$D$241,"&lt;"&amp;$A13+7))</f>
        <v>0</v>
      </c>
      <c r="AG13">
        <f>IF(AG5="","",COUNTIFS(Summary!$E$5:$E$241,AG5,Summary!$D$5:$D$241,"&gt;="&amp;$A13,Summary!$D$5:$D$241,"&lt;"&amp;$A13+7))</f>
        <v>0</v>
      </c>
      <c r="AH13">
        <f>IF(AH5="","",COUNTIFS(Summary!$E$5:$E$241,AH5,Summary!$D$5:$D$241,"&gt;="&amp;$A13,Summary!$D$5:$D$241,"&lt;"&amp;$A13+7))</f>
        <v>0</v>
      </c>
      <c r="AI13">
        <f>IF(AI5="","",COUNTIFS(Summary!$E$5:$E$241,AI5,Summary!$D$5:$D$241,"&gt;="&amp;$A13,Summary!$D$5:$D$241,"&lt;"&amp;$A13+7))</f>
        <v>0</v>
      </c>
      <c r="AJ13">
        <f>IF(AJ5="","",COUNTIFS(Summary!$E$5:$E$241,AJ5,Summary!$D$5:$D$241,"&gt;="&amp;$A13,Summary!$D$5:$D$241,"&lt;"&amp;$A13+7))</f>
        <v>0</v>
      </c>
      <c r="AK13">
        <f>IF(AK5="","",COUNTIFS(Summary!$E$5:$E$241,AK5,Summary!$D$5:$D$241,"&gt;="&amp;$A13,Summary!$D$5:$D$241,"&lt;"&amp;$A13+7))</f>
        <v>0</v>
      </c>
      <c r="AL13">
        <f>IF(AL5="","",COUNTIFS(Summary!$E$5:$E$241,AL5,Summary!$D$5:$D$241,"&gt;="&amp;$A13,Summary!$D$5:$D$241,"&lt;"&amp;$A13+7))</f>
        <v>0</v>
      </c>
      <c r="AM13">
        <f>IF(AM5="","",COUNTIFS(Summary!$E$5:$E$241,AM5,Summary!$D$5:$D$241,"&gt;="&amp;$A13,Summary!$D$5:$D$241,"&lt;"&amp;$A13+7))</f>
        <v>0</v>
      </c>
      <c r="AN13">
        <f>IF(AN5="","",COUNTIFS(Summary!$E$5:$E$241,AN5,Summary!$D$5:$D$241,"&gt;="&amp;$A13,Summary!$D$5:$D$241,"&lt;"&amp;$A13+7))</f>
        <v>0</v>
      </c>
      <c r="AO13">
        <f>IF(AO5="","",COUNTIFS(Summary!$E$5:$E$241,AO5,Summary!$D$5:$D$241,"&gt;="&amp;$A13,Summary!$D$5:$D$241,"&lt;"&amp;$A13+7))</f>
        <v>0</v>
      </c>
      <c r="AP13">
        <f>IF(AP5="","",COUNTIFS(Summary!$E$5:$E$241,AP5,Summary!$D$5:$D$241,"&gt;="&amp;$A13,Summary!$D$5:$D$241,"&lt;"&amp;$A13+7))</f>
        <v>0</v>
      </c>
      <c r="AQ13">
        <f>IF(AQ5="","",COUNTIFS(Summary!$E$5:$E$241,AQ5,Summary!$D$5:$D$241,"&gt;="&amp;$A13,Summary!$D$5:$D$241,"&lt;"&amp;$A13+7))</f>
        <v>0</v>
      </c>
      <c r="AR13">
        <f>IF(AR5="","",COUNTIFS(Summary!$E$5:$E$241,AR5,Summary!$D$5:$D$241,"&gt;="&amp;$A13,Summary!$D$5:$D$241,"&lt;"&amp;$A13+7))</f>
        <v>0</v>
      </c>
      <c r="AS13">
        <f>IF(AS5="","",COUNTIFS(Summary!$E$5:$E$241,AS5,Summary!$D$5:$D$241,"&gt;="&amp;$A13,Summary!$D$5:$D$241,"&lt;"&amp;$A13+7))</f>
        <v>0</v>
      </c>
      <c r="AT13">
        <f>IF(AT5="","",COUNTIFS(Summary!$E$5:$E$241,AT5,Summary!$D$5:$D$241,"&gt;="&amp;$A13,Summary!$D$5:$D$241,"&lt;"&amp;$A13+7))</f>
        <v>0</v>
      </c>
      <c r="AU13">
        <f>IF(AU5="","",COUNTIFS(Summary!$E$5:$E$241,AU5,Summary!$D$5:$D$241,"&gt;="&amp;$A13,Summary!$D$5:$D$241,"&lt;"&amp;$A13+7))</f>
        <v>0</v>
      </c>
      <c r="AV13">
        <f>IF(AV5="","",COUNTIFS(Summary!$E$5:$E$241,AV5,Summary!$D$5:$D$241,"&gt;="&amp;$A13,Summary!$D$5:$D$241,"&lt;"&amp;$A13+7))</f>
        <v>0</v>
      </c>
      <c r="AW13">
        <f>IF(AW5="","",COUNTIFS(Summary!$E$5:$E$241,AW5,Summary!$D$5:$D$241,"&gt;="&amp;$A13,Summary!$D$5:$D$241,"&lt;"&amp;$A13+7))</f>
        <v>0</v>
      </c>
      <c r="AX13">
        <f>IF(AX5="","",COUNTIFS(Summary!$E$5:$E$241,AX5,Summary!$D$5:$D$241,"&gt;="&amp;$A13,Summary!$D$5:$D$241,"&lt;"&amp;$A13+7))</f>
        <v>0</v>
      </c>
      <c r="AY13">
        <f>IF(AY5="","",COUNTIFS(Summary!$E$5:$E$241,AY5,Summary!$D$5:$D$241,"&gt;="&amp;$A13,Summary!$D$5:$D$241,"&lt;"&amp;$A13+7))</f>
        <v>0</v>
      </c>
      <c r="AZ13">
        <f>IF(AZ5="","",COUNTIFS(Summary!$E$5:$E$241,AZ5,Summary!$D$5:$D$241,"&gt;="&amp;$A13,Summary!$D$5:$D$241,"&lt;"&amp;$A13+7))</f>
        <v>0</v>
      </c>
      <c r="BA13">
        <f>IF(BA5="","",COUNTIFS(Summary!$E$5:$E$241,BA5,Summary!$D$5:$D$241,"&gt;="&amp;$A13,Summary!$D$5:$D$241,"&lt;"&amp;$A13+7))</f>
        <v>0</v>
      </c>
      <c r="BB13">
        <f>IF(BB5="","",COUNTIFS(Summary!$E$5:$E$241,BB5,Summary!$D$5:$D$241,"&gt;="&amp;$A13,Summary!$D$5:$D$241,"&lt;"&amp;$A13+7))</f>
        <v>0</v>
      </c>
      <c r="BC13">
        <f>IF(BC5="","",COUNTIFS(Summary!$E$5:$E$241,BC5,Summary!$D$5:$D$241,"&gt;="&amp;$A13,Summary!$D$5:$D$241,"&lt;"&amp;$A13+7))</f>
        <v>0</v>
      </c>
      <c r="BD13">
        <f>IF(BD5="","",COUNTIFS(Summary!$E$5:$E$241,BD5,Summary!$D$5:$D$241,"&gt;="&amp;$A13,Summary!$D$5:$D$241,"&lt;"&amp;$A13+7))</f>
        <v>0</v>
      </c>
      <c r="BE13">
        <f>IF(BE5="","",COUNTIFS(Summary!$E$5:$E$241,BE5,Summary!$D$5:$D$241,"&gt;="&amp;$A13,Summary!$D$5:$D$241,"&lt;"&amp;$A13+7))</f>
        <v>0</v>
      </c>
      <c r="BF13" s="28">
        <f>IF(BF5="","",COUNTIFS(Summary!$E$5:$E$241,BF5,Summary!$D$5:$D$241,"&gt;="&amp;$A13,Summary!$D$5:$D$241,"&lt;"&amp;$A13+7))</f>
        <v>0</v>
      </c>
    </row>
    <row r="14" spans="1:58">
      <c r="A14" s="18">
        <f t="shared" si="1"/>
        <v>46139</v>
      </c>
      <c r="B14" s="2" t="str">
        <f t="shared" si="0"/>
        <v>Apr 27</v>
      </c>
      <c r="C14">
        <f>IF(C5="","",COUNTIFS(Summary!$E$5:$E$241,C5,Summary!$D$5:$D$241,"&gt;="&amp;$A14,Summary!$D$5:$D$241,"&lt;"&amp;$A14+7))</f>
        <v>0</v>
      </c>
      <c r="D14">
        <f>IF(D5="","",COUNTIFS(Summary!$E$5:$E$241,D5,Summary!$D$5:$D$241,"&gt;="&amp;$A14,Summary!$D$5:$D$241,"&lt;"&amp;$A14+7))</f>
        <v>1</v>
      </c>
      <c r="E14">
        <f>IF(E5="","",COUNTIFS(Summary!$E$5:$E$241,E5,Summary!$D$5:$D$241,"&gt;="&amp;$A14,Summary!$D$5:$D$241,"&lt;"&amp;$A14+7))</f>
        <v>0</v>
      </c>
      <c r="F14">
        <f>IF(F5="","",COUNTIFS(Summary!$E$5:$E$241,F5,Summary!$D$5:$D$241,"&gt;="&amp;$A14,Summary!$D$5:$D$241,"&lt;"&amp;$A14+7))</f>
        <v>0</v>
      </c>
      <c r="G14">
        <f>IF(G5="","",COUNTIFS(Summary!$E$5:$E$241,G5,Summary!$D$5:$D$241,"&gt;="&amp;$A14,Summary!$D$5:$D$241,"&lt;"&amp;$A14+7))</f>
        <v>0</v>
      </c>
      <c r="H14">
        <f>IF(H5="","",COUNTIFS(Summary!$E$5:$E$241,H5,Summary!$D$5:$D$241,"&gt;="&amp;$A14,Summary!$D$5:$D$241,"&lt;"&amp;$A14+7))</f>
        <v>0</v>
      </c>
      <c r="I14">
        <f>IF(I5="","",COUNTIFS(Summary!$E$5:$E$241,I5,Summary!$D$5:$D$241,"&gt;="&amp;$A14,Summary!$D$5:$D$241,"&lt;"&amp;$A14+7))</f>
        <v>0</v>
      </c>
      <c r="J14">
        <f>IF(J5="","",COUNTIFS(Summary!$E$5:$E$241,J5,Summary!$D$5:$D$241,"&gt;="&amp;$A14,Summary!$D$5:$D$241,"&lt;"&amp;$A14+7))</f>
        <v>1</v>
      </c>
      <c r="K14">
        <f>IF(K5="","",COUNTIFS(Summary!$E$5:$E$241,K5,Summary!$D$5:$D$241,"&gt;="&amp;$A14,Summary!$D$5:$D$241,"&lt;"&amp;$A14+7))</f>
        <v>0</v>
      </c>
      <c r="L14">
        <f>IF(L5="","",COUNTIFS(Summary!$E$5:$E$241,L5,Summary!$D$5:$D$241,"&gt;="&amp;$A14,Summary!$D$5:$D$241,"&lt;"&amp;$A14+7))</f>
        <v>1</v>
      </c>
      <c r="M14">
        <f>IF(M5="","",COUNTIFS(Summary!$E$5:$E$241,M5,Summary!$D$5:$D$241,"&gt;="&amp;$A14,Summary!$D$5:$D$241,"&lt;"&amp;$A14+7))</f>
        <v>2</v>
      </c>
      <c r="N14">
        <f>IF(N5="","",COUNTIFS(Summary!$E$5:$E$241,N5,Summary!$D$5:$D$241,"&gt;="&amp;$A14,Summary!$D$5:$D$241,"&lt;"&amp;$A14+7))</f>
        <v>0</v>
      </c>
      <c r="O14">
        <f>IF(O5="","",COUNTIFS(Summary!$E$5:$E$241,O5,Summary!$D$5:$D$241,"&gt;="&amp;$A14,Summary!$D$5:$D$241,"&lt;"&amp;$A14+7))</f>
        <v>0</v>
      </c>
      <c r="P14">
        <f>IF(P5="","",COUNTIFS(Summary!$E$5:$E$241,P5,Summary!$D$5:$D$241,"&gt;="&amp;$A14,Summary!$D$5:$D$241,"&lt;"&amp;$A14+7))</f>
        <v>0</v>
      </c>
      <c r="Q14">
        <f>IF(Q5="","",COUNTIFS(Summary!$E$5:$E$241,Q5,Summary!$D$5:$D$241,"&gt;="&amp;$A14,Summary!$D$5:$D$241,"&lt;"&amp;$A14+7))</f>
        <v>0</v>
      </c>
      <c r="R14">
        <f>IF(R5="","",COUNTIFS(Summary!$E$5:$E$241,R5,Summary!$D$5:$D$241,"&gt;="&amp;$A14,Summary!$D$5:$D$241,"&lt;"&amp;$A14+7))</f>
        <v>0</v>
      </c>
      <c r="S14">
        <f>IF(S5="","",COUNTIFS(Summary!$E$5:$E$241,S5,Summary!$D$5:$D$241,"&gt;="&amp;$A14,Summary!$D$5:$D$241,"&lt;"&amp;$A14+7))</f>
        <v>1</v>
      </c>
      <c r="T14">
        <f>IF(T5="","",COUNTIFS(Summary!$E$5:$E$241,T5,Summary!$D$5:$D$241,"&gt;="&amp;$A14,Summary!$D$5:$D$241,"&lt;"&amp;$A14+7))</f>
        <v>0</v>
      </c>
      <c r="U14">
        <f>IF(U5="","",COUNTIFS(Summary!$E$5:$E$241,U5,Summary!$D$5:$D$241,"&gt;="&amp;$A14,Summary!$D$5:$D$241,"&lt;"&amp;$A14+7))</f>
        <v>0</v>
      </c>
      <c r="V14">
        <f>IF(V5="","",COUNTIFS(Summary!$E$5:$E$241,V5,Summary!$D$5:$D$241,"&gt;="&amp;$A14,Summary!$D$5:$D$241,"&lt;"&amp;$A14+7))</f>
        <v>1</v>
      </c>
      <c r="W14">
        <f>IF(W5="","",COUNTIFS(Summary!$E$5:$E$241,W5,Summary!$D$5:$D$241,"&gt;="&amp;$A14,Summary!$D$5:$D$241,"&lt;"&amp;$A14+7))</f>
        <v>0</v>
      </c>
      <c r="X14">
        <f>IF(X5="","",COUNTIFS(Summary!$E$5:$E$241,X5,Summary!$D$5:$D$241,"&gt;="&amp;$A14,Summary!$D$5:$D$241,"&lt;"&amp;$A14+7))</f>
        <v>0</v>
      </c>
      <c r="Y14">
        <f>IF(Y5="","",COUNTIFS(Summary!$E$5:$E$241,Y5,Summary!$D$5:$D$241,"&gt;="&amp;$A14,Summary!$D$5:$D$241,"&lt;"&amp;$A14+7))</f>
        <v>0</v>
      </c>
      <c r="Z14">
        <f>IF(Z5="","",COUNTIFS(Summary!$E$5:$E$241,Z5,Summary!$D$5:$D$241,"&gt;="&amp;$A14,Summary!$D$5:$D$241,"&lt;"&amp;$A14+7))</f>
        <v>0</v>
      </c>
      <c r="AA14">
        <f>IF(AA5="","",COUNTIFS(Summary!$E$5:$E$241,AA5,Summary!$D$5:$D$241,"&gt;="&amp;$A14,Summary!$D$5:$D$241,"&lt;"&amp;$A14+7))</f>
        <v>0</v>
      </c>
      <c r="AB14">
        <f>IF(AB5="","",COUNTIFS(Summary!$E$5:$E$241,AB5,Summary!$D$5:$D$241,"&gt;="&amp;$A14,Summary!$D$5:$D$241,"&lt;"&amp;$A14+7))</f>
        <v>0</v>
      </c>
      <c r="AC14">
        <f>IF(AC5="","",COUNTIFS(Summary!$E$5:$E$241,AC5,Summary!$D$5:$D$241,"&gt;="&amp;$A14,Summary!$D$5:$D$241,"&lt;"&amp;$A14+7))</f>
        <v>0</v>
      </c>
      <c r="AD14">
        <f>IF(AD5="","",COUNTIFS(Summary!$E$5:$E$241,AD5,Summary!$D$5:$D$241,"&gt;="&amp;$A14,Summary!$D$5:$D$241,"&lt;"&amp;$A14+7))</f>
        <v>0</v>
      </c>
      <c r="AE14">
        <f>IF(AE5="","",COUNTIFS(Summary!$E$5:$E$241,AE5,Summary!$D$5:$D$241,"&gt;="&amp;$A14,Summary!$D$5:$D$241,"&lt;"&amp;$A14+7))</f>
        <v>0</v>
      </c>
      <c r="AF14">
        <f>IF(AF5="","",COUNTIFS(Summary!$E$5:$E$241,AF5,Summary!$D$5:$D$241,"&gt;="&amp;$A14,Summary!$D$5:$D$241,"&lt;"&amp;$A14+7))</f>
        <v>0</v>
      </c>
      <c r="AG14">
        <f>IF(AG5="","",COUNTIFS(Summary!$E$5:$E$241,AG5,Summary!$D$5:$D$241,"&gt;="&amp;$A14,Summary!$D$5:$D$241,"&lt;"&amp;$A14+7))</f>
        <v>0</v>
      </c>
      <c r="AH14">
        <f>IF(AH5="","",COUNTIFS(Summary!$E$5:$E$241,AH5,Summary!$D$5:$D$241,"&gt;="&amp;$A14,Summary!$D$5:$D$241,"&lt;"&amp;$A14+7))</f>
        <v>0</v>
      </c>
      <c r="AI14">
        <f>IF(AI5="","",COUNTIFS(Summary!$E$5:$E$241,AI5,Summary!$D$5:$D$241,"&gt;="&amp;$A14,Summary!$D$5:$D$241,"&lt;"&amp;$A14+7))</f>
        <v>0</v>
      </c>
      <c r="AJ14">
        <f>IF(AJ5="","",COUNTIFS(Summary!$E$5:$E$241,AJ5,Summary!$D$5:$D$241,"&gt;="&amp;$A14,Summary!$D$5:$D$241,"&lt;"&amp;$A14+7))</f>
        <v>0</v>
      </c>
      <c r="AK14">
        <f>IF(AK5="","",COUNTIFS(Summary!$E$5:$E$241,AK5,Summary!$D$5:$D$241,"&gt;="&amp;$A14,Summary!$D$5:$D$241,"&lt;"&amp;$A14+7))</f>
        <v>0</v>
      </c>
      <c r="AL14">
        <f>IF(AL5="","",COUNTIFS(Summary!$E$5:$E$241,AL5,Summary!$D$5:$D$241,"&gt;="&amp;$A14,Summary!$D$5:$D$241,"&lt;"&amp;$A14+7))</f>
        <v>0</v>
      </c>
      <c r="AM14">
        <f>IF(AM5="","",COUNTIFS(Summary!$E$5:$E$241,AM5,Summary!$D$5:$D$241,"&gt;="&amp;$A14,Summary!$D$5:$D$241,"&lt;"&amp;$A14+7))</f>
        <v>0</v>
      </c>
      <c r="AN14">
        <f>IF(AN5="","",COUNTIFS(Summary!$E$5:$E$241,AN5,Summary!$D$5:$D$241,"&gt;="&amp;$A14,Summary!$D$5:$D$241,"&lt;"&amp;$A14+7))</f>
        <v>0</v>
      </c>
      <c r="AO14">
        <f>IF(AO5="","",COUNTIFS(Summary!$E$5:$E$241,AO5,Summary!$D$5:$D$241,"&gt;="&amp;$A14,Summary!$D$5:$D$241,"&lt;"&amp;$A14+7))</f>
        <v>0</v>
      </c>
      <c r="AP14">
        <f>IF(AP5="","",COUNTIFS(Summary!$E$5:$E$241,AP5,Summary!$D$5:$D$241,"&gt;="&amp;$A14,Summary!$D$5:$D$241,"&lt;"&amp;$A14+7))</f>
        <v>0</v>
      </c>
      <c r="AQ14">
        <f>IF(AQ5="","",COUNTIFS(Summary!$E$5:$E$241,AQ5,Summary!$D$5:$D$241,"&gt;="&amp;$A14,Summary!$D$5:$D$241,"&lt;"&amp;$A14+7))</f>
        <v>0</v>
      </c>
      <c r="AR14">
        <f>IF(AR5="","",COUNTIFS(Summary!$E$5:$E$241,AR5,Summary!$D$5:$D$241,"&gt;="&amp;$A14,Summary!$D$5:$D$241,"&lt;"&amp;$A14+7))</f>
        <v>0</v>
      </c>
      <c r="AS14">
        <f>IF(AS5="","",COUNTIFS(Summary!$E$5:$E$241,AS5,Summary!$D$5:$D$241,"&gt;="&amp;$A14,Summary!$D$5:$D$241,"&lt;"&amp;$A14+7))</f>
        <v>0</v>
      </c>
      <c r="AT14">
        <f>IF(AT5="","",COUNTIFS(Summary!$E$5:$E$241,AT5,Summary!$D$5:$D$241,"&gt;="&amp;$A14,Summary!$D$5:$D$241,"&lt;"&amp;$A14+7))</f>
        <v>0</v>
      </c>
      <c r="AU14">
        <f>IF(AU5="","",COUNTIFS(Summary!$E$5:$E$241,AU5,Summary!$D$5:$D$241,"&gt;="&amp;$A14,Summary!$D$5:$D$241,"&lt;"&amp;$A14+7))</f>
        <v>0</v>
      </c>
      <c r="AV14">
        <f>IF(AV5="","",COUNTIFS(Summary!$E$5:$E$241,AV5,Summary!$D$5:$D$241,"&gt;="&amp;$A14,Summary!$D$5:$D$241,"&lt;"&amp;$A14+7))</f>
        <v>0</v>
      </c>
      <c r="AW14">
        <f>IF(AW5="","",COUNTIFS(Summary!$E$5:$E$241,AW5,Summary!$D$5:$D$241,"&gt;="&amp;$A14,Summary!$D$5:$D$241,"&lt;"&amp;$A14+7))</f>
        <v>0</v>
      </c>
      <c r="AX14">
        <f>IF(AX5="","",COUNTIFS(Summary!$E$5:$E$241,AX5,Summary!$D$5:$D$241,"&gt;="&amp;$A14,Summary!$D$5:$D$241,"&lt;"&amp;$A14+7))</f>
        <v>0</v>
      </c>
      <c r="AY14">
        <f>IF(AY5="","",COUNTIFS(Summary!$E$5:$E$241,AY5,Summary!$D$5:$D$241,"&gt;="&amp;$A14,Summary!$D$5:$D$241,"&lt;"&amp;$A14+7))</f>
        <v>0</v>
      </c>
      <c r="AZ14">
        <f>IF(AZ5="","",COUNTIFS(Summary!$E$5:$E$241,AZ5,Summary!$D$5:$D$241,"&gt;="&amp;$A14,Summary!$D$5:$D$241,"&lt;"&amp;$A14+7))</f>
        <v>0</v>
      </c>
      <c r="BA14">
        <f>IF(BA5="","",COUNTIFS(Summary!$E$5:$E$241,BA5,Summary!$D$5:$D$241,"&gt;="&amp;$A14,Summary!$D$5:$D$241,"&lt;"&amp;$A14+7))</f>
        <v>0</v>
      </c>
      <c r="BB14">
        <f>IF(BB5="","",COUNTIFS(Summary!$E$5:$E$241,BB5,Summary!$D$5:$D$241,"&gt;="&amp;$A14,Summary!$D$5:$D$241,"&lt;"&amp;$A14+7))</f>
        <v>0</v>
      </c>
      <c r="BC14">
        <f>IF(BC5="","",COUNTIFS(Summary!$E$5:$E$241,BC5,Summary!$D$5:$D$241,"&gt;="&amp;$A14,Summary!$D$5:$D$241,"&lt;"&amp;$A14+7))</f>
        <v>0</v>
      </c>
      <c r="BD14">
        <f>IF(BD5="","",COUNTIFS(Summary!$E$5:$E$241,BD5,Summary!$D$5:$D$241,"&gt;="&amp;$A14,Summary!$D$5:$D$241,"&lt;"&amp;$A14+7))</f>
        <v>0</v>
      </c>
      <c r="BE14">
        <f>IF(BE5="","",COUNTIFS(Summary!$E$5:$E$241,BE5,Summary!$D$5:$D$241,"&gt;="&amp;$A14,Summary!$D$5:$D$241,"&lt;"&amp;$A14+7))</f>
        <v>0</v>
      </c>
      <c r="BF14" s="28">
        <f>IF(BF5="","",COUNTIFS(Summary!$E$5:$E$241,BF5,Summary!$D$5:$D$241,"&gt;="&amp;$A14,Summary!$D$5:$D$241,"&lt;"&amp;$A14+7))</f>
        <v>0</v>
      </c>
    </row>
    <row r="15" spans="1:58">
      <c r="A15" s="18">
        <f t="shared" si="1"/>
        <v>46146</v>
      </c>
      <c r="B15" s="2" t="str">
        <f t="shared" si="0"/>
        <v>May 4</v>
      </c>
      <c r="C15">
        <f>IF(C5="","",COUNTIFS(Summary!$E$5:$E$241,C5,Summary!$D$5:$D$241,"&gt;="&amp;$A15,Summary!$D$5:$D$241,"&lt;"&amp;$A15+7))</f>
        <v>0</v>
      </c>
      <c r="D15">
        <f>IF(D5="","",COUNTIFS(Summary!$E$5:$E$241,D5,Summary!$D$5:$D$241,"&gt;="&amp;$A15,Summary!$D$5:$D$241,"&lt;"&amp;$A15+7))</f>
        <v>1</v>
      </c>
      <c r="E15">
        <f>IF(E5="","",COUNTIFS(Summary!$E$5:$E$241,E5,Summary!$D$5:$D$241,"&gt;="&amp;$A15,Summary!$D$5:$D$241,"&lt;"&amp;$A15+7))</f>
        <v>0</v>
      </c>
      <c r="F15">
        <f>IF(F5="","",COUNTIFS(Summary!$E$5:$E$241,F5,Summary!$D$5:$D$241,"&gt;="&amp;$A15,Summary!$D$5:$D$241,"&lt;"&amp;$A15+7))</f>
        <v>0</v>
      </c>
      <c r="G15">
        <f>IF(G5="","",COUNTIFS(Summary!$E$5:$E$241,G5,Summary!$D$5:$D$241,"&gt;="&amp;$A15,Summary!$D$5:$D$241,"&lt;"&amp;$A15+7))</f>
        <v>0</v>
      </c>
      <c r="H15">
        <f>IF(H5="","",COUNTIFS(Summary!$E$5:$E$241,H5,Summary!$D$5:$D$241,"&gt;="&amp;$A15,Summary!$D$5:$D$241,"&lt;"&amp;$A15+7))</f>
        <v>2</v>
      </c>
      <c r="I15">
        <f>IF(I5="","",COUNTIFS(Summary!$E$5:$E$241,I5,Summary!$D$5:$D$241,"&gt;="&amp;$A15,Summary!$D$5:$D$241,"&lt;"&amp;$A15+7))</f>
        <v>0</v>
      </c>
      <c r="J15">
        <f>IF(J5="","",COUNTIFS(Summary!$E$5:$E$241,J5,Summary!$D$5:$D$241,"&gt;="&amp;$A15,Summary!$D$5:$D$241,"&lt;"&amp;$A15+7))</f>
        <v>3</v>
      </c>
      <c r="K15">
        <f>IF(K5="","",COUNTIFS(Summary!$E$5:$E$241,K5,Summary!$D$5:$D$241,"&gt;="&amp;$A15,Summary!$D$5:$D$241,"&lt;"&amp;$A15+7))</f>
        <v>0</v>
      </c>
      <c r="L15">
        <f>IF(L5="","",COUNTIFS(Summary!$E$5:$E$241,L5,Summary!$D$5:$D$241,"&gt;="&amp;$A15,Summary!$D$5:$D$241,"&lt;"&amp;$A15+7))</f>
        <v>0</v>
      </c>
      <c r="M15">
        <f>IF(M5="","",COUNTIFS(Summary!$E$5:$E$241,M5,Summary!$D$5:$D$241,"&gt;="&amp;$A15,Summary!$D$5:$D$241,"&lt;"&amp;$A15+7))</f>
        <v>0</v>
      </c>
      <c r="N15">
        <f>IF(N5="","",COUNTIFS(Summary!$E$5:$E$241,N5,Summary!$D$5:$D$241,"&gt;="&amp;$A15,Summary!$D$5:$D$241,"&lt;"&amp;$A15+7))</f>
        <v>0</v>
      </c>
      <c r="O15">
        <f>IF(O5="","",COUNTIFS(Summary!$E$5:$E$241,O5,Summary!$D$5:$D$241,"&gt;="&amp;$A15,Summary!$D$5:$D$241,"&lt;"&amp;$A15+7))</f>
        <v>0</v>
      </c>
      <c r="P15">
        <f>IF(P5="","",COUNTIFS(Summary!$E$5:$E$241,P5,Summary!$D$5:$D$241,"&gt;="&amp;$A15,Summary!$D$5:$D$241,"&lt;"&amp;$A15+7))</f>
        <v>0</v>
      </c>
      <c r="Q15">
        <f>IF(Q5="","",COUNTIFS(Summary!$E$5:$E$241,Q5,Summary!$D$5:$D$241,"&gt;="&amp;$A15,Summary!$D$5:$D$241,"&lt;"&amp;$A15+7))</f>
        <v>1</v>
      </c>
      <c r="R15">
        <f>IF(R5="","",COUNTIFS(Summary!$E$5:$E$241,R5,Summary!$D$5:$D$241,"&gt;="&amp;$A15,Summary!$D$5:$D$241,"&lt;"&amp;$A15+7))</f>
        <v>0</v>
      </c>
      <c r="S15">
        <f>IF(S5="","",COUNTIFS(Summary!$E$5:$E$241,S5,Summary!$D$5:$D$241,"&gt;="&amp;$A15,Summary!$D$5:$D$241,"&lt;"&amp;$A15+7))</f>
        <v>0</v>
      </c>
      <c r="T15">
        <f>IF(T5="","",COUNTIFS(Summary!$E$5:$E$241,T5,Summary!$D$5:$D$241,"&gt;="&amp;$A15,Summary!$D$5:$D$241,"&lt;"&amp;$A15+7))</f>
        <v>0</v>
      </c>
      <c r="U15">
        <f>IF(U5="","",COUNTIFS(Summary!$E$5:$E$241,U5,Summary!$D$5:$D$241,"&gt;="&amp;$A15,Summary!$D$5:$D$241,"&lt;"&amp;$A15+7))</f>
        <v>0</v>
      </c>
      <c r="V15">
        <f>IF(V5="","",COUNTIFS(Summary!$E$5:$E$241,V5,Summary!$D$5:$D$241,"&gt;="&amp;$A15,Summary!$D$5:$D$241,"&lt;"&amp;$A15+7))</f>
        <v>0</v>
      </c>
      <c r="W15">
        <f>IF(W5="","",COUNTIFS(Summary!$E$5:$E$241,W5,Summary!$D$5:$D$241,"&gt;="&amp;$A15,Summary!$D$5:$D$241,"&lt;"&amp;$A15+7))</f>
        <v>0</v>
      </c>
      <c r="X15">
        <f>IF(X5="","",COUNTIFS(Summary!$E$5:$E$241,X5,Summary!$D$5:$D$241,"&gt;="&amp;$A15,Summary!$D$5:$D$241,"&lt;"&amp;$A15+7))</f>
        <v>0</v>
      </c>
      <c r="Y15">
        <f>IF(Y5="","",COUNTIFS(Summary!$E$5:$E$241,Y5,Summary!$D$5:$D$241,"&gt;="&amp;$A15,Summary!$D$5:$D$241,"&lt;"&amp;$A15+7))</f>
        <v>0</v>
      </c>
      <c r="Z15">
        <f>IF(Z5="","",COUNTIFS(Summary!$E$5:$E$241,Z5,Summary!$D$5:$D$241,"&gt;="&amp;$A15,Summary!$D$5:$D$241,"&lt;"&amp;$A15+7))</f>
        <v>0</v>
      </c>
      <c r="AA15">
        <f>IF(AA5="","",COUNTIFS(Summary!$E$5:$E$241,AA5,Summary!$D$5:$D$241,"&gt;="&amp;$A15,Summary!$D$5:$D$241,"&lt;"&amp;$A15+7))</f>
        <v>1</v>
      </c>
      <c r="AB15">
        <f>IF(AB5="","",COUNTIFS(Summary!$E$5:$E$241,AB5,Summary!$D$5:$D$241,"&gt;="&amp;$A15,Summary!$D$5:$D$241,"&lt;"&amp;$A15+7))</f>
        <v>0</v>
      </c>
      <c r="AC15">
        <f>IF(AC5="","",COUNTIFS(Summary!$E$5:$E$241,AC5,Summary!$D$5:$D$241,"&gt;="&amp;$A15,Summary!$D$5:$D$241,"&lt;"&amp;$A15+7))</f>
        <v>0</v>
      </c>
      <c r="AD15">
        <f>IF(AD5="","",COUNTIFS(Summary!$E$5:$E$241,AD5,Summary!$D$5:$D$241,"&gt;="&amp;$A15,Summary!$D$5:$D$241,"&lt;"&amp;$A15+7))</f>
        <v>0</v>
      </c>
      <c r="AE15">
        <f>IF(AE5="","",COUNTIFS(Summary!$E$5:$E$241,AE5,Summary!$D$5:$D$241,"&gt;="&amp;$A15,Summary!$D$5:$D$241,"&lt;"&amp;$A15+7))</f>
        <v>0</v>
      </c>
      <c r="AF15">
        <f>IF(AF5="","",COUNTIFS(Summary!$E$5:$E$241,AF5,Summary!$D$5:$D$241,"&gt;="&amp;$A15,Summary!$D$5:$D$241,"&lt;"&amp;$A15+7))</f>
        <v>0</v>
      </c>
      <c r="AG15">
        <f>IF(AG5="","",COUNTIFS(Summary!$E$5:$E$241,AG5,Summary!$D$5:$D$241,"&gt;="&amp;$A15,Summary!$D$5:$D$241,"&lt;"&amp;$A15+7))</f>
        <v>0</v>
      </c>
      <c r="AH15">
        <f>IF(AH5="","",COUNTIFS(Summary!$E$5:$E$241,AH5,Summary!$D$5:$D$241,"&gt;="&amp;$A15,Summary!$D$5:$D$241,"&lt;"&amp;$A15+7))</f>
        <v>0</v>
      </c>
      <c r="AI15">
        <f>IF(AI5="","",COUNTIFS(Summary!$E$5:$E$241,AI5,Summary!$D$5:$D$241,"&gt;="&amp;$A15,Summary!$D$5:$D$241,"&lt;"&amp;$A15+7))</f>
        <v>0</v>
      </c>
      <c r="AJ15">
        <f>IF(AJ5="","",COUNTIFS(Summary!$E$5:$E$241,AJ5,Summary!$D$5:$D$241,"&gt;="&amp;$A15,Summary!$D$5:$D$241,"&lt;"&amp;$A15+7))</f>
        <v>0</v>
      </c>
      <c r="AK15">
        <f>IF(AK5="","",COUNTIFS(Summary!$E$5:$E$241,AK5,Summary!$D$5:$D$241,"&gt;="&amp;$A15,Summary!$D$5:$D$241,"&lt;"&amp;$A15+7))</f>
        <v>0</v>
      </c>
      <c r="AL15">
        <f>IF(AL5="","",COUNTIFS(Summary!$E$5:$E$241,AL5,Summary!$D$5:$D$241,"&gt;="&amp;$A15,Summary!$D$5:$D$241,"&lt;"&amp;$A15+7))</f>
        <v>0</v>
      </c>
      <c r="AM15">
        <f>IF(AM5="","",COUNTIFS(Summary!$E$5:$E$241,AM5,Summary!$D$5:$D$241,"&gt;="&amp;$A15,Summary!$D$5:$D$241,"&lt;"&amp;$A15+7))</f>
        <v>0</v>
      </c>
      <c r="AN15">
        <f>IF(AN5="","",COUNTIFS(Summary!$E$5:$E$241,AN5,Summary!$D$5:$D$241,"&gt;="&amp;$A15,Summary!$D$5:$D$241,"&lt;"&amp;$A15+7))</f>
        <v>0</v>
      </c>
      <c r="AO15">
        <f>IF(AO5="","",COUNTIFS(Summary!$E$5:$E$241,AO5,Summary!$D$5:$D$241,"&gt;="&amp;$A15,Summary!$D$5:$D$241,"&lt;"&amp;$A15+7))</f>
        <v>0</v>
      </c>
      <c r="AP15">
        <f>IF(AP5="","",COUNTIFS(Summary!$E$5:$E$241,AP5,Summary!$D$5:$D$241,"&gt;="&amp;$A15,Summary!$D$5:$D$241,"&lt;"&amp;$A15+7))</f>
        <v>0</v>
      </c>
      <c r="AQ15">
        <f>IF(AQ5="","",COUNTIFS(Summary!$E$5:$E$241,AQ5,Summary!$D$5:$D$241,"&gt;="&amp;$A15,Summary!$D$5:$D$241,"&lt;"&amp;$A15+7))</f>
        <v>0</v>
      </c>
      <c r="AR15">
        <f>IF(AR5="","",COUNTIFS(Summary!$E$5:$E$241,AR5,Summary!$D$5:$D$241,"&gt;="&amp;$A15,Summary!$D$5:$D$241,"&lt;"&amp;$A15+7))</f>
        <v>0</v>
      </c>
      <c r="AS15">
        <f>IF(AS5="","",COUNTIFS(Summary!$E$5:$E$241,AS5,Summary!$D$5:$D$241,"&gt;="&amp;$A15,Summary!$D$5:$D$241,"&lt;"&amp;$A15+7))</f>
        <v>0</v>
      </c>
      <c r="AT15">
        <f>IF(AT5="","",COUNTIFS(Summary!$E$5:$E$241,AT5,Summary!$D$5:$D$241,"&gt;="&amp;$A15,Summary!$D$5:$D$241,"&lt;"&amp;$A15+7))</f>
        <v>0</v>
      </c>
      <c r="AU15">
        <f>IF(AU5="","",COUNTIFS(Summary!$E$5:$E$241,AU5,Summary!$D$5:$D$241,"&gt;="&amp;$A15,Summary!$D$5:$D$241,"&lt;"&amp;$A15+7))</f>
        <v>0</v>
      </c>
      <c r="AV15">
        <f>IF(AV5="","",COUNTIFS(Summary!$E$5:$E$241,AV5,Summary!$D$5:$D$241,"&gt;="&amp;$A15,Summary!$D$5:$D$241,"&lt;"&amp;$A15+7))</f>
        <v>0</v>
      </c>
      <c r="AW15">
        <f>IF(AW5="","",COUNTIFS(Summary!$E$5:$E$241,AW5,Summary!$D$5:$D$241,"&gt;="&amp;$A15,Summary!$D$5:$D$241,"&lt;"&amp;$A15+7))</f>
        <v>0</v>
      </c>
      <c r="AX15">
        <f>IF(AX5="","",COUNTIFS(Summary!$E$5:$E$241,AX5,Summary!$D$5:$D$241,"&gt;="&amp;$A15,Summary!$D$5:$D$241,"&lt;"&amp;$A15+7))</f>
        <v>0</v>
      </c>
      <c r="AY15">
        <f>IF(AY5="","",COUNTIFS(Summary!$E$5:$E$241,AY5,Summary!$D$5:$D$241,"&gt;="&amp;$A15,Summary!$D$5:$D$241,"&lt;"&amp;$A15+7))</f>
        <v>0</v>
      </c>
      <c r="AZ15">
        <f>IF(AZ5="","",COUNTIFS(Summary!$E$5:$E$241,AZ5,Summary!$D$5:$D$241,"&gt;="&amp;$A15,Summary!$D$5:$D$241,"&lt;"&amp;$A15+7))</f>
        <v>0</v>
      </c>
      <c r="BA15">
        <f>IF(BA5="","",COUNTIFS(Summary!$E$5:$E$241,BA5,Summary!$D$5:$D$241,"&gt;="&amp;$A15,Summary!$D$5:$D$241,"&lt;"&amp;$A15+7))</f>
        <v>0</v>
      </c>
      <c r="BB15">
        <f>IF(BB5="","",COUNTIFS(Summary!$E$5:$E$241,BB5,Summary!$D$5:$D$241,"&gt;="&amp;$A15,Summary!$D$5:$D$241,"&lt;"&amp;$A15+7))</f>
        <v>0</v>
      </c>
      <c r="BC15">
        <f>IF(BC5="","",COUNTIFS(Summary!$E$5:$E$241,BC5,Summary!$D$5:$D$241,"&gt;="&amp;$A15,Summary!$D$5:$D$241,"&lt;"&amp;$A15+7))</f>
        <v>0</v>
      </c>
      <c r="BD15">
        <f>IF(BD5="","",COUNTIFS(Summary!$E$5:$E$241,BD5,Summary!$D$5:$D$241,"&gt;="&amp;$A15,Summary!$D$5:$D$241,"&lt;"&amp;$A15+7))</f>
        <v>0</v>
      </c>
      <c r="BE15">
        <f>IF(BE5="","",COUNTIFS(Summary!$E$5:$E$241,BE5,Summary!$D$5:$D$241,"&gt;="&amp;$A15,Summary!$D$5:$D$241,"&lt;"&amp;$A15+7))</f>
        <v>0</v>
      </c>
      <c r="BF15" s="28">
        <f>IF(BF5="","",COUNTIFS(Summary!$E$5:$E$241,BF5,Summary!$D$5:$D$241,"&gt;="&amp;$A15,Summary!$D$5:$D$241,"&lt;"&amp;$A15+7))</f>
        <v>0</v>
      </c>
    </row>
    <row r="16" spans="1:58">
      <c r="A16" s="18">
        <f t="shared" si="1"/>
        <v>46153</v>
      </c>
      <c r="B16" s="2" t="str">
        <f t="shared" si="0"/>
        <v>May 11</v>
      </c>
      <c r="C16">
        <f>IF(C5="","",COUNTIFS(Summary!$E$5:$E$241,C5,Summary!$D$5:$D$241,"&gt;="&amp;$A16,Summary!$D$5:$D$241,"&lt;"&amp;$A16+7))</f>
        <v>0</v>
      </c>
      <c r="D16">
        <f>IF(D5="","",COUNTIFS(Summary!$E$5:$E$241,D5,Summary!$D$5:$D$241,"&gt;="&amp;$A16,Summary!$D$5:$D$241,"&lt;"&amp;$A16+7))</f>
        <v>0</v>
      </c>
      <c r="E16">
        <f>IF(E5="","",COUNTIFS(Summary!$E$5:$E$241,E5,Summary!$D$5:$D$241,"&gt;="&amp;$A16,Summary!$D$5:$D$241,"&lt;"&amp;$A16+7))</f>
        <v>0</v>
      </c>
      <c r="F16">
        <f>IF(F5="","",COUNTIFS(Summary!$E$5:$E$241,F5,Summary!$D$5:$D$241,"&gt;="&amp;$A16,Summary!$D$5:$D$241,"&lt;"&amp;$A16+7))</f>
        <v>0</v>
      </c>
      <c r="G16">
        <f>IF(G5="","",COUNTIFS(Summary!$E$5:$E$241,G5,Summary!$D$5:$D$241,"&gt;="&amp;$A16,Summary!$D$5:$D$241,"&lt;"&amp;$A16+7))</f>
        <v>0</v>
      </c>
      <c r="H16">
        <f>IF(H5="","",COUNTIFS(Summary!$E$5:$E$241,H5,Summary!$D$5:$D$241,"&gt;="&amp;$A16,Summary!$D$5:$D$241,"&lt;"&amp;$A16+7))</f>
        <v>0</v>
      </c>
      <c r="I16">
        <f>IF(I5="","",COUNTIFS(Summary!$E$5:$E$241,I5,Summary!$D$5:$D$241,"&gt;="&amp;$A16,Summary!$D$5:$D$241,"&lt;"&amp;$A16+7))</f>
        <v>1</v>
      </c>
      <c r="J16">
        <f>IF(J5="","",COUNTIFS(Summary!$E$5:$E$241,J5,Summary!$D$5:$D$241,"&gt;="&amp;$A16,Summary!$D$5:$D$241,"&lt;"&amp;$A16+7))</f>
        <v>0</v>
      </c>
      <c r="K16">
        <f>IF(K5="","",COUNTIFS(Summary!$E$5:$E$241,K5,Summary!$D$5:$D$241,"&gt;="&amp;$A16,Summary!$D$5:$D$241,"&lt;"&amp;$A16+7))</f>
        <v>0</v>
      </c>
      <c r="L16">
        <f>IF(L5="","",COUNTIFS(Summary!$E$5:$E$241,L5,Summary!$D$5:$D$241,"&gt;="&amp;$A16,Summary!$D$5:$D$241,"&lt;"&amp;$A16+7))</f>
        <v>0</v>
      </c>
      <c r="M16">
        <f>IF(M5="","",COUNTIFS(Summary!$E$5:$E$241,M5,Summary!$D$5:$D$241,"&gt;="&amp;$A16,Summary!$D$5:$D$241,"&lt;"&amp;$A16+7))</f>
        <v>1</v>
      </c>
      <c r="N16">
        <f>IF(N5="","",COUNTIFS(Summary!$E$5:$E$241,N5,Summary!$D$5:$D$241,"&gt;="&amp;$A16,Summary!$D$5:$D$241,"&lt;"&amp;$A16+7))</f>
        <v>0</v>
      </c>
      <c r="O16">
        <f>IF(O5="","",COUNTIFS(Summary!$E$5:$E$241,O5,Summary!$D$5:$D$241,"&gt;="&amp;$A16,Summary!$D$5:$D$241,"&lt;"&amp;$A16+7))</f>
        <v>0</v>
      </c>
      <c r="P16">
        <f>IF(P5="","",COUNTIFS(Summary!$E$5:$E$241,P5,Summary!$D$5:$D$241,"&gt;="&amp;$A16,Summary!$D$5:$D$241,"&lt;"&amp;$A16+7))</f>
        <v>0</v>
      </c>
      <c r="Q16">
        <f>IF(Q5="","",COUNTIFS(Summary!$E$5:$E$241,Q5,Summary!$D$5:$D$241,"&gt;="&amp;$A16,Summary!$D$5:$D$241,"&lt;"&amp;$A16+7))</f>
        <v>0</v>
      </c>
      <c r="R16">
        <f>IF(R5="","",COUNTIFS(Summary!$E$5:$E$241,R5,Summary!$D$5:$D$241,"&gt;="&amp;$A16,Summary!$D$5:$D$241,"&lt;"&amp;$A16+7))</f>
        <v>0</v>
      </c>
      <c r="S16">
        <f>IF(S5="","",COUNTIFS(Summary!$E$5:$E$241,S5,Summary!$D$5:$D$241,"&gt;="&amp;$A16,Summary!$D$5:$D$241,"&lt;"&amp;$A16+7))</f>
        <v>0</v>
      </c>
      <c r="T16">
        <f>IF(T5="","",COUNTIFS(Summary!$E$5:$E$241,T5,Summary!$D$5:$D$241,"&gt;="&amp;$A16,Summary!$D$5:$D$241,"&lt;"&amp;$A16+7))</f>
        <v>0</v>
      </c>
      <c r="U16">
        <f>IF(U5="","",COUNTIFS(Summary!$E$5:$E$241,U5,Summary!$D$5:$D$241,"&gt;="&amp;$A16,Summary!$D$5:$D$241,"&lt;"&amp;$A16+7))</f>
        <v>0</v>
      </c>
      <c r="V16">
        <f>IF(V5="","",COUNTIFS(Summary!$E$5:$E$241,V5,Summary!$D$5:$D$241,"&gt;="&amp;$A16,Summary!$D$5:$D$241,"&lt;"&amp;$A16+7))</f>
        <v>0</v>
      </c>
      <c r="W16">
        <f>IF(W5="","",COUNTIFS(Summary!$E$5:$E$241,W5,Summary!$D$5:$D$241,"&gt;="&amp;$A16,Summary!$D$5:$D$241,"&lt;"&amp;$A16+7))</f>
        <v>0</v>
      </c>
      <c r="X16">
        <f>IF(X5="","",COUNTIFS(Summary!$E$5:$E$241,X5,Summary!$D$5:$D$241,"&gt;="&amp;$A16,Summary!$D$5:$D$241,"&lt;"&amp;$A16+7))</f>
        <v>0</v>
      </c>
      <c r="Y16">
        <f>IF(Y5="","",COUNTIFS(Summary!$E$5:$E$241,Y5,Summary!$D$5:$D$241,"&gt;="&amp;$A16,Summary!$D$5:$D$241,"&lt;"&amp;$A16+7))</f>
        <v>0</v>
      </c>
      <c r="Z16">
        <f>IF(Z5="","",COUNTIFS(Summary!$E$5:$E$241,Z5,Summary!$D$5:$D$241,"&gt;="&amp;$A16,Summary!$D$5:$D$241,"&lt;"&amp;$A16+7))</f>
        <v>0</v>
      </c>
      <c r="AA16">
        <f>IF(AA5="","",COUNTIFS(Summary!$E$5:$E$241,AA5,Summary!$D$5:$D$241,"&gt;="&amp;$A16,Summary!$D$5:$D$241,"&lt;"&amp;$A16+7))</f>
        <v>0</v>
      </c>
      <c r="AB16">
        <f>IF(AB5="","",COUNTIFS(Summary!$E$5:$E$241,AB5,Summary!$D$5:$D$241,"&gt;="&amp;$A16,Summary!$D$5:$D$241,"&lt;"&amp;$A16+7))</f>
        <v>0</v>
      </c>
      <c r="AC16">
        <f>IF(AC5="","",COUNTIFS(Summary!$E$5:$E$241,AC5,Summary!$D$5:$D$241,"&gt;="&amp;$A16,Summary!$D$5:$D$241,"&lt;"&amp;$A16+7))</f>
        <v>0</v>
      </c>
      <c r="AD16">
        <f>IF(AD5="","",COUNTIFS(Summary!$E$5:$E$241,AD5,Summary!$D$5:$D$241,"&gt;="&amp;$A16,Summary!$D$5:$D$241,"&lt;"&amp;$A16+7))</f>
        <v>0</v>
      </c>
      <c r="AE16">
        <f>IF(AE5="","",COUNTIFS(Summary!$E$5:$E$241,AE5,Summary!$D$5:$D$241,"&gt;="&amp;$A16,Summary!$D$5:$D$241,"&lt;"&amp;$A16+7))</f>
        <v>0</v>
      </c>
      <c r="AF16">
        <f>IF(AF5="","",COUNTIFS(Summary!$E$5:$E$241,AF5,Summary!$D$5:$D$241,"&gt;="&amp;$A16,Summary!$D$5:$D$241,"&lt;"&amp;$A16+7))</f>
        <v>0</v>
      </c>
      <c r="AG16">
        <f>IF(AG5="","",COUNTIFS(Summary!$E$5:$E$241,AG5,Summary!$D$5:$D$241,"&gt;="&amp;$A16,Summary!$D$5:$D$241,"&lt;"&amp;$A16+7))</f>
        <v>0</v>
      </c>
      <c r="AH16">
        <f>IF(AH5="","",COUNTIFS(Summary!$E$5:$E$241,AH5,Summary!$D$5:$D$241,"&gt;="&amp;$A16,Summary!$D$5:$D$241,"&lt;"&amp;$A16+7))</f>
        <v>0</v>
      </c>
      <c r="AI16">
        <f>IF(AI5="","",COUNTIFS(Summary!$E$5:$E$241,AI5,Summary!$D$5:$D$241,"&gt;="&amp;$A16,Summary!$D$5:$D$241,"&lt;"&amp;$A16+7))</f>
        <v>0</v>
      </c>
      <c r="AJ16">
        <f>IF(AJ5="","",COUNTIFS(Summary!$E$5:$E$241,AJ5,Summary!$D$5:$D$241,"&gt;="&amp;$A16,Summary!$D$5:$D$241,"&lt;"&amp;$A16+7))</f>
        <v>0</v>
      </c>
      <c r="AK16">
        <f>IF(AK5="","",COUNTIFS(Summary!$E$5:$E$241,AK5,Summary!$D$5:$D$241,"&gt;="&amp;$A16,Summary!$D$5:$D$241,"&lt;"&amp;$A16+7))</f>
        <v>0</v>
      </c>
      <c r="AL16">
        <f>IF(AL5="","",COUNTIFS(Summary!$E$5:$E$241,AL5,Summary!$D$5:$D$241,"&gt;="&amp;$A16,Summary!$D$5:$D$241,"&lt;"&amp;$A16+7))</f>
        <v>0</v>
      </c>
      <c r="AM16">
        <f>IF(AM5="","",COUNTIFS(Summary!$E$5:$E$241,AM5,Summary!$D$5:$D$241,"&gt;="&amp;$A16,Summary!$D$5:$D$241,"&lt;"&amp;$A16+7))</f>
        <v>0</v>
      </c>
      <c r="AN16">
        <f>IF(AN5="","",COUNTIFS(Summary!$E$5:$E$241,AN5,Summary!$D$5:$D$241,"&gt;="&amp;$A16,Summary!$D$5:$D$241,"&lt;"&amp;$A16+7))</f>
        <v>0</v>
      </c>
      <c r="AO16">
        <f>IF(AO5="","",COUNTIFS(Summary!$E$5:$E$241,AO5,Summary!$D$5:$D$241,"&gt;="&amp;$A16,Summary!$D$5:$D$241,"&lt;"&amp;$A16+7))</f>
        <v>0</v>
      </c>
      <c r="AP16">
        <f>IF(AP5="","",COUNTIFS(Summary!$E$5:$E$241,AP5,Summary!$D$5:$D$241,"&gt;="&amp;$A16,Summary!$D$5:$D$241,"&lt;"&amp;$A16+7))</f>
        <v>0</v>
      </c>
      <c r="AQ16">
        <f>IF(AQ5="","",COUNTIFS(Summary!$E$5:$E$241,AQ5,Summary!$D$5:$D$241,"&gt;="&amp;$A16,Summary!$D$5:$D$241,"&lt;"&amp;$A16+7))</f>
        <v>0</v>
      </c>
      <c r="AR16">
        <f>IF(AR5="","",COUNTIFS(Summary!$E$5:$E$241,AR5,Summary!$D$5:$D$241,"&gt;="&amp;$A16,Summary!$D$5:$D$241,"&lt;"&amp;$A16+7))</f>
        <v>0</v>
      </c>
      <c r="AS16">
        <f>IF(AS5="","",COUNTIFS(Summary!$E$5:$E$241,AS5,Summary!$D$5:$D$241,"&gt;="&amp;$A16,Summary!$D$5:$D$241,"&lt;"&amp;$A16+7))</f>
        <v>0</v>
      </c>
      <c r="AT16">
        <f>IF(AT5="","",COUNTIFS(Summary!$E$5:$E$241,AT5,Summary!$D$5:$D$241,"&gt;="&amp;$A16,Summary!$D$5:$D$241,"&lt;"&amp;$A16+7))</f>
        <v>0</v>
      </c>
      <c r="AU16">
        <f>IF(AU5="","",COUNTIFS(Summary!$E$5:$E$241,AU5,Summary!$D$5:$D$241,"&gt;="&amp;$A16,Summary!$D$5:$D$241,"&lt;"&amp;$A16+7))</f>
        <v>0</v>
      </c>
      <c r="AV16">
        <f>IF(AV5="","",COUNTIFS(Summary!$E$5:$E$241,AV5,Summary!$D$5:$D$241,"&gt;="&amp;$A16,Summary!$D$5:$D$241,"&lt;"&amp;$A16+7))</f>
        <v>0</v>
      </c>
      <c r="AW16">
        <f>IF(AW5="","",COUNTIFS(Summary!$E$5:$E$241,AW5,Summary!$D$5:$D$241,"&gt;="&amp;$A16,Summary!$D$5:$D$241,"&lt;"&amp;$A16+7))</f>
        <v>0</v>
      </c>
      <c r="AX16">
        <f>IF(AX5="","",COUNTIFS(Summary!$E$5:$E$241,AX5,Summary!$D$5:$D$241,"&gt;="&amp;$A16,Summary!$D$5:$D$241,"&lt;"&amp;$A16+7))</f>
        <v>0</v>
      </c>
      <c r="AY16">
        <f>IF(AY5="","",COUNTIFS(Summary!$E$5:$E$241,AY5,Summary!$D$5:$D$241,"&gt;="&amp;$A16,Summary!$D$5:$D$241,"&lt;"&amp;$A16+7))</f>
        <v>0</v>
      </c>
      <c r="AZ16">
        <f>IF(AZ5="","",COUNTIFS(Summary!$E$5:$E$241,AZ5,Summary!$D$5:$D$241,"&gt;="&amp;$A16,Summary!$D$5:$D$241,"&lt;"&amp;$A16+7))</f>
        <v>0</v>
      </c>
      <c r="BA16">
        <f>IF(BA5="","",COUNTIFS(Summary!$E$5:$E$241,BA5,Summary!$D$5:$D$241,"&gt;="&amp;$A16,Summary!$D$5:$D$241,"&lt;"&amp;$A16+7))</f>
        <v>0</v>
      </c>
      <c r="BB16">
        <f>IF(BB5="","",COUNTIFS(Summary!$E$5:$E$241,BB5,Summary!$D$5:$D$241,"&gt;="&amp;$A16,Summary!$D$5:$D$241,"&lt;"&amp;$A16+7))</f>
        <v>0</v>
      </c>
      <c r="BC16">
        <f>IF(BC5="","",COUNTIFS(Summary!$E$5:$E$241,BC5,Summary!$D$5:$D$241,"&gt;="&amp;$A16,Summary!$D$5:$D$241,"&lt;"&amp;$A16+7))</f>
        <v>0</v>
      </c>
      <c r="BD16">
        <f>IF(BD5="","",COUNTIFS(Summary!$E$5:$E$241,BD5,Summary!$D$5:$D$241,"&gt;="&amp;$A16,Summary!$D$5:$D$241,"&lt;"&amp;$A16+7))</f>
        <v>0</v>
      </c>
      <c r="BE16">
        <f>IF(BE5="","",COUNTIFS(Summary!$E$5:$E$241,BE5,Summary!$D$5:$D$241,"&gt;="&amp;$A16,Summary!$D$5:$D$241,"&lt;"&amp;$A16+7))</f>
        <v>0</v>
      </c>
      <c r="BF16" s="28">
        <f>IF(BF5="","",COUNTIFS(Summary!$E$5:$E$241,BF5,Summary!$D$5:$D$241,"&gt;="&amp;$A16,Summary!$D$5:$D$241,"&lt;"&amp;$A16+7))</f>
        <v>0</v>
      </c>
    </row>
    <row r="17" spans="1:58">
      <c r="A17" s="18">
        <f t="shared" si="1"/>
        <v>46160</v>
      </c>
      <c r="B17" s="2" t="str">
        <f t="shared" si="0"/>
        <v>May 18</v>
      </c>
      <c r="C17">
        <f>IF(C5="","",COUNTIFS(Summary!$E$5:$E$241,C5,Summary!$D$5:$D$241,"&gt;="&amp;$A17,Summary!$D$5:$D$241,"&lt;"&amp;$A17+7))</f>
        <v>0</v>
      </c>
      <c r="D17">
        <f>IF(D5="","",COUNTIFS(Summary!$E$5:$E$241,D5,Summary!$D$5:$D$241,"&gt;="&amp;$A17,Summary!$D$5:$D$241,"&lt;"&amp;$A17+7))</f>
        <v>1</v>
      </c>
      <c r="E17">
        <f>IF(E5="","",COUNTIFS(Summary!$E$5:$E$241,E5,Summary!$D$5:$D$241,"&gt;="&amp;$A17,Summary!$D$5:$D$241,"&lt;"&amp;$A17+7))</f>
        <v>0</v>
      </c>
      <c r="F17">
        <f>IF(F5="","",COUNTIFS(Summary!$E$5:$E$241,F5,Summary!$D$5:$D$241,"&gt;="&amp;$A17,Summary!$D$5:$D$241,"&lt;"&amp;$A17+7))</f>
        <v>2</v>
      </c>
      <c r="G17">
        <f>IF(G5="","",COUNTIFS(Summary!$E$5:$E$241,G5,Summary!$D$5:$D$241,"&gt;="&amp;$A17,Summary!$D$5:$D$241,"&lt;"&amp;$A17+7))</f>
        <v>0</v>
      </c>
      <c r="H17">
        <f>IF(H5="","",COUNTIFS(Summary!$E$5:$E$241,H5,Summary!$D$5:$D$241,"&gt;="&amp;$A17,Summary!$D$5:$D$241,"&lt;"&amp;$A17+7))</f>
        <v>0</v>
      </c>
      <c r="I17">
        <f>IF(I5="","",COUNTIFS(Summary!$E$5:$E$241,I5,Summary!$D$5:$D$241,"&gt;="&amp;$A17,Summary!$D$5:$D$241,"&lt;"&amp;$A17+7))</f>
        <v>0</v>
      </c>
      <c r="J17">
        <f>IF(J5="","",COUNTIFS(Summary!$E$5:$E$241,J5,Summary!$D$5:$D$241,"&gt;="&amp;$A17,Summary!$D$5:$D$241,"&lt;"&amp;$A17+7))</f>
        <v>0</v>
      </c>
      <c r="K17">
        <f>IF(K5="","",COUNTIFS(Summary!$E$5:$E$241,K5,Summary!$D$5:$D$241,"&gt;="&amp;$A17,Summary!$D$5:$D$241,"&lt;"&amp;$A17+7))</f>
        <v>0</v>
      </c>
      <c r="L17">
        <f>IF(L5="","",COUNTIFS(Summary!$E$5:$E$241,L5,Summary!$D$5:$D$241,"&gt;="&amp;$A17,Summary!$D$5:$D$241,"&lt;"&amp;$A17+7))</f>
        <v>0</v>
      </c>
      <c r="M17">
        <f>IF(M5="","",COUNTIFS(Summary!$E$5:$E$241,M5,Summary!$D$5:$D$241,"&gt;="&amp;$A17,Summary!$D$5:$D$241,"&lt;"&amp;$A17+7))</f>
        <v>0</v>
      </c>
      <c r="N17">
        <f>IF(N5="","",COUNTIFS(Summary!$E$5:$E$241,N5,Summary!$D$5:$D$241,"&gt;="&amp;$A17,Summary!$D$5:$D$241,"&lt;"&amp;$A17+7))</f>
        <v>0</v>
      </c>
      <c r="O17">
        <f>IF(O5="","",COUNTIFS(Summary!$E$5:$E$241,O5,Summary!$D$5:$D$241,"&gt;="&amp;$A17,Summary!$D$5:$D$241,"&lt;"&amp;$A17+7))</f>
        <v>0</v>
      </c>
      <c r="P17">
        <f>IF(P5="","",COUNTIFS(Summary!$E$5:$E$241,P5,Summary!$D$5:$D$241,"&gt;="&amp;$A17,Summary!$D$5:$D$241,"&lt;"&amp;$A17+7))</f>
        <v>0</v>
      </c>
      <c r="Q17">
        <f>IF(Q5="","",COUNTIFS(Summary!$E$5:$E$241,Q5,Summary!$D$5:$D$241,"&gt;="&amp;$A17,Summary!$D$5:$D$241,"&lt;"&amp;$A17+7))</f>
        <v>0</v>
      </c>
      <c r="R17">
        <f>IF(R5="","",COUNTIFS(Summary!$E$5:$E$241,R5,Summary!$D$5:$D$241,"&gt;="&amp;$A17,Summary!$D$5:$D$241,"&lt;"&amp;$A17+7))</f>
        <v>0</v>
      </c>
      <c r="S17">
        <f>IF(S5="","",COUNTIFS(Summary!$E$5:$E$241,S5,Summary!$D$5:$D$241,"&gt;="&amp;$A17,Summary!$D$5:$D$241,"&lt;"&amp;$A17+7))</f>
        <v>0</v>
      </c>
      <c r="T17">
        <f>IF(T5="","",COUNTIFS(Summary!$E$5:$E$241,T5,Summary!$D$5:$D$241,"&gt;="&amp;$A17,Summary!$D$5:$D$241,"&lt;"&amp;$A17+7))</f>
        <v>0</v>
      </c>
      <c r="U17">
        <f>IF(U5="","",COUNTIFS(Summary!$E$5:$E$241,U5,Summary!$D$5:$D$241,"&gt;="&amp;$A17,Summary!$D$5:$D$241,"&lt;"&amp;$A17+7))</f>
        <v>0</v>
      </c>
      <c r="V17">
        <f>IF(V5="","",COUNTIFS(Summary!$E$5:$E$241,V5,Summary!$D$5:$D$241,"&gt;="&amp;$A17,Summary!$D$5:$D$241,"&lt;"&amp;$A17+7))</f>
        <v>0</v>
      </c>
      <c r="W17">
        <f>IF(W5="","",COUNTIFS(Summary!$E$5:$E$241,W5,Summary!$D$5:$D$241,"&gt;="&amp;$A17,Summary!$D$5:$D$241,"&lt;"&amp;$A17+7))</f>
        <v>0</v>
      </c>
      <c r="X17">
        <f>IF(X5="","",COUNTIFS(Summary!$E$5:$E$241,X5,Summary!$D$5:$D$241,"&gt;="&amp;$A17,Summary!$D$5:$D$241,"&lt;"&amp;$A17+7))</f>
        <v>0</v>
      </c>
      <c r="Y17">
        <f>IF(Y5="","",COUNTIFS(Summary!$E$5:$E$241,Y5,Summary!$D$5:$D$241,"&gt;="&amp;$A17,Summary!$D$5:$D$241,"&lt;"&amp;$A17+7))</f>
        <v>2</v>
      </c>
      <c r="Z17">
        <f>IF(Z5="","",COUNTIFS(Summary!$E$5:$E$241,Z5,Summary!$D$5:$D$241,"&gt;="&amp;$A17,Summary!$D$5:$D$241,"&lt;"&amp;$A17+7))</f>
        <v>0</v>
      </c>
      <c r="AA17">
        <f>IF(AA5="","",COUNTIFS(Summary!$E$5:$E$241,AA5,Summary!$D$5:$D$241,"&gt;="&amp;$A17,Summary!$D$5:$D$241,"&lt;"&amp;$A17+7))</f>
        <v>0</v>
      </c>
      <c r="AB17">
        <f>IF(AB5="","",COUNTIFS(Summary!$E$5:$E$241,AB5,Summary!$D$5:$D$241,"&gt;="&amp;$A17,Summary!$D$5:$D$241,"&lt;"&amp;$A17+7))</f>
        <v>0</v>
      </c>
      <c r="AC17">
        <f>IF(AC5="","",COUNTIFS(Summary!$E$5:$E$241,AC5,Summary!$D$5:$D$241,"&gt;="&amp;$A17,Summary!$D$5:$D$241,"&lt;"&amp;$A17+7))</f>
        <v>0</v>
      </c>
      <c r="AD17">
        <f>IF(AD5="","",COUNTIFS(Summary!$E$5:$E$241,AD5,Summary!$D$5:$D$241,"&gt;="&amp;$A17,Summary!$D$5:$D$241,"&lt;"&amp;$A17+7))</f>
        <v>0</v>
      </c>
      <c r="AE17">
        <f>IF(AE5="","",COUNTIFS(Summary!$E$5:$E$241,AE5,Summary!$D$5:$D$241,"&gt;="&amp;$A17,Summary!$D$5:$D$241,"&lt;"&amp;$A17+7))</f>
        <v>0</v>
      </c>
      <c r="AF17">
        <f>IF(AF5="","",COUNTIFS(Summary!$E$5:$E$241,AF5,Summary!$D$5:$D$241,"&gt;="&amp;$A17,Summary!$D$5:$D$241,"&lt;"&amp;$A17+7))</f>
        <v>0</v>
      </c>
      <c r="AG17">
        <f>IF(AG5="","",COUNTIFS(Summary!$E$5:$E$241,AG5,Summary!$D$5:$D$241,"&gt;="&amp;$A17,Summary!$D$5:$D$241,"&lt;"&amp;$A17+7))</f>
        <v>0</v>
      </c>
      <c r="AH17">
        <f>IF(AH5="","",COUNTIFS(Summary!$E$5:$E$241,AH5,Summary!$D$5:$D$241,"&gt;="&amp;$A17,Summary!$D$5:$D$241,"&lt;"&amp;$A17+7))</f>
        <v>0</v>
      </c>
      <c r="AI17">
        <f>IF(AI5="","",COUNTIFS(Summary!$E$5:$E$241,AI5,Summary!$D$5:$D$241,"&gt;="&amp;$A17,Summary!$D$5:$D$241,"&lt;"&amp;$A17+7))</f>
        <v>0</v>
      </c>
      <c r="AJ17">
        <f>IF(AJ5="","",COUNTIFS(Summary!$E$5:$E$241,AJ5,Summary!$D$5:$D$241,"&gt;="&amp;$A17,Summary!$D$5:$D$241,"&lt;"&amp;$A17+7))</f>
        <v>0</v>
      </c>
      <c r="AK17">
        <f>IF(AK5="","",COUNTIFS(Summary!$E$5:$E$241,AK5,Summary!$D$5:$D$241,"&gt;="&amp;$A17,Summary!$D$5:$D$241,"&lt;"&amp;$A17+7))</f>
        <v>0</v>
      </c>
      <c r="AL17">
        <f>IF(AL5="","",COUNTIFS(Summary!$E$5:$E$241,AL5,Summary!$D$5:$D$241,"&gt;="&amp;$A17,Summary!$D$5:$D$241,"&lt;"&amp;$A17+7))</f>
        <v>0</v>
      </c>
      <c r="AM17">
        <f>IF(AM5="","",COUNTIFS(Summary!$E$5:$E$241,AM5,Summary!$D$5:$D$241,"&gt;="&amp;$A17,Summary!$D$5:$D$241,"&lt;"&amp;$A17+7))</f>
        <v>0</v>
      </c>
      <c r="AN17">
        <f>IF(AN5="","",COUNTIFS(Summary!$E$5:$E$241,AN5,Summary!$D$5:$D$241,"&gt;="&amp;$A17,Summary!$D$5:$D$241,"&lt;"&amp;$A17+7))</f>
        <v>0</v>
      </c>
      <c r="AO17">
        <f>IF(AO5="","",COUNTIFS(Summary!$E$5:$E$241,AO5,Summary!$D$5:$D$241,"&gt;="&amp;$A17,Summary!$D$5:$D$241,"&lt;"&amp;$A17+7))</f>
        <v>0</v>
      </c>
      <c r="AP17">
        <f>IF(AP5="","",COUNTIFS(Summary!$E$5:$E$241,AP5,Summary!$D$5:$D$241,"&gt;="&amp;$A17,Summary!$D$5:$D$241,"&lt;"&amp;$A17+7))</f>
        <v>0</v>
      </c>
      <c r="AQ17">
        <f>IF(AQ5="","",COUNTIFS(Summary!$E$5:$E$241,AQ5,Summary!$D$5:$D$241,"&gt;="&amp;$A17,Summary!$D$5:$D$241,"&lt;"&amp;$A17+7))</f>
        <v>0</v>
      </c>
      <c r="AR17">
        <f>IF(AR5="","",COUNTIFS(Summary!$E$5:$E$241,AR5,Summary!$D$5:$D$241,"&gt;="&amp;$A17,Summary!$D$5:$D$241,"&lt;"&amp;$A17+7))</f>
        <v>0</v>
      </c>
      <c r="AS17">
        <f>IF(AS5="","",COUNTIFS(Summary!$E$5:$E$241,AS5,Summary!$D$5:$D$241,"&gt;="&amp;$A17,Summary!$D$5:$D$241,"&lt;"&amp;$A17+7))</f>
        <v>0</v>
      </c>
      <c r="AT17">
        <f>IF(AT5="","",COUNTIFS(Summary!$E$5:$E$241,AT5,Summary!$D$5:$D$241,"&gt;="&amp;$A17,Summary!$D$5:$D$241,"&lt;"&amp;$A17+7))</f>
        <v>0</v>
      </c>
      <c r="AU17">
        <f>IF(AU5="","",COUNTIFS(Summary!$E$5:$E$241,AU5,Summary!$D$5:$D$241,"&gt;="&amp;$A17,Summary!$D$5:$D$241,"&lt;"&amp;$A17+7))</f>
        <v>0</v>
      </c>
      <c r="AV17">
        <f>IF(AV5="","",COUNTIFS(Summary!$E$5:$E$241,AV5,Summary!$D$5:$D$241,"&gt;="&amp;$A17,Summary!$D$5:$D$241,"&lt;"&amp;$A17+7))</f>
        <v>0</v>
      </c>
      <c r="AW17">
        <f>IF(AW5="","",COUNTIFS(Summary!$E$5:$E$241,AW5,Summary!$D$5:$D$241,"&gt;="&amp;$A17,Summary!$D$5:$D$241,"&lt;"&amp;$A17+7))</f>
        <v>0</v>
      </c>
      <c r="AX17">
        <f>IF(AX5="","",COUNTIFS(Summary!$E$5:$E$241,AX5,Summary!$D$5:$D$241,"&gt;="&amp;$A17,Summary!$D$5:$D$241,"&lt;"&amp;$A17+7))</f>
        <v>0</v>
      </c>
      <c r="AY17">
        <f>IF(AY5="","",COUNTIFS(Summary!$E$5:$E$241,AY5,Summary!$D$5:$D$241,"&gt;="&amp;$A17,Summary!$D$5:$D$241,"&lt;"&amp;$A17+7))</f>
        <v>0</v>
      </c>
      <c r="AZ17">
        <f>IF(AZ5="","",COUNTIFS(Summary!$E$5:$E$241,AZ5,Summary!$D$5:$D$241,"&gt;="&amp;$A17,Summary!$D$5:$D$241,"&lt;"&amp;$A17+7))</f>
        <v>0</v>
      </c>
      <c r="BA17">
        <f>IF(BA5="","",COUNTIFS(Summary!$E$5:$E$241,BA5,Summary!$D$5:$D$241,"&gt;="&amp;$A17,Summary!$D$5:$D$241,"&lt;"&amp;$A17+7))</f>
        <v>0</v>
      </c>
      <c r="BB17">
        <f>IF(BB5="","",COUNTIFS(Summary!$E$5:$E$241,BB5,Summary!$D$5:$D$241,"&gt;="&amp;$A17,Summary!$D$5:$D$241,"&lt;"&amp;$A17+7))</f>
        <v>0</v>
      </c>
      <c r="BC17">
        <f>IF(BC5="","",COUNTIFS(Summary!$E$5:$E$241,BC5,Summary!$D$5:$D$241,"&gt;="&amp;$A17,Summary!$D$5:$D$241,"&lt;"&amp;$A17+7))</f>
        <v>0</v>
      </c>
      <c r="BD17">
        <f>IF(BD5="","",COUNTIFS(Summary!$E$5:$E$241,BD5,Summary!$D$5:$D$241,"&gt;="&amp;$A17,Summary!$D$5:$D$241,"&lt;"&amp;$A17+7))</f>
        <v>0</v>
      </c>
      <c r="BE17">
        <f>IF(BE5="","",COUNTIFS(Summary!$E$5:$E$241,BE5,Summary!$D$5:$D$241,"&gt;="&amp;$A17,Summary!$D$5:$D$241,"&lt;"&amp;$A17+7))</f>
        <v>0</v>
      </c>
      <c r="BF17" s="28">
        <f>IF(BF5="","",COUNTIFS(Summary!$E$5:$E$241,BF5,Summary!$D$5:$D$241,"&gt;="&amp;$A17,Summary!$D$5:$D$241,"&lt;"&amp;$A17+7))</f>
        <v>0</v>
      </c>
    </row>
    <row r="18" spans="1:58">
      <c r="A18" s="18">
        <f t="shared" si="1"/>
        <v>46167</v>
      </c>
      <c r="B18" s="2" t="str">
        <f t="shared" si="0"/>
        <v>May 25</v>
      </c>
      <c r="C18">
        <f>IF(C5="","",COUNTIFS(Summary!$E$5:$E$241,C5,Summary!$D$5:$D$241,"&gt;="&amp;$A18,Summary!$D$5:$D$241,"&lt;"&amp;$A18+7))</f>
        <v>0</v>
      </c>
      <c r="D18">
        <f>IF(D5="","",COUNTIFS(Summary!$E$5:$E$241,D5,Summary!$D$5:$D$241,"&gt;="&amp;$A18,Summary!$D$5:$D$241,"&lt;"&amp;$A18+7))</f>
        <v>1</v>
      </c>
      <c r="E18">
        <f>IF(E5="","",COUNTIFS(Summary!$E$5:$E$241,E5,Summary!$D$5:$D$241,"&gt;="&amp;$A18,Summary!$D$5:$D$241,"&lt;"&amp;$A18+7))</f>
        <v>0</v>
      </c>
      <c r="F18">
        <f>IF(F5="","",COUNTIFS(Summary!$E$5:$E$241,F5,Summary!$D$5:$D$241,"&gt;="&amp;$A18,Summary!$D$5:$D$241,"&lt;"&amp;$A18+7))</f>
        <v>0</v>
      </c>
      <c r="G18">
        <f>IF(G5="","",COUNTIFS(Summary!$E$5:$E$241,G5,Summary!$D$5:$D$241,"&gt;="&amp;$A18,Summary!$D$5:$D$241,"&lt;"&amp;$A18+7))</f>
        <v>0</v>
      </c>
      <c r="H18">
        <f>IF(H5="","",COUNTIFS(Summary!$E$5:$E$241,H5,Summary!$D$5:$D$241,"&gt;="&amp;$A18,Summary!$D$5:$D$241,"&lt;"&amp;$A18+7))</f>
        <v>1</v>
      </c>
      <c r="I18">
        <f>IF(I5="","",COUNTIFS(Summary!$E$5:$E$241,I5,Summary!$D$5:$D$241,"&gt;="&amp;$A18,Summary!$D$5:$D$241,"&lt;"&amp;$A18+7))</f>
        <v>0</v>
      </c>
      <c r="J18">
        <f>IF(J5="","",COUNTIFS(Summary!$E$5:$E$241,J5,Summary!$D$5:$D$241,"&gt;="&amp;$A18,Summary!$D$5:$D$241,"&lt;"&amp;$A18+7))</f>
        <v>0</v>
      </c>
      <c r="K18">
        <f>IF(K5="","",COUNTIFS(Summary!$E$5:$E$241,K5,Summary!$D$5:$D$241,"&gt;="&amp;$A18,Summary!$D$5:$D$241,"&lt;"&amp;$A18+7))</f>
        <v>0</v>
      </c>
      <c r="L18">
        <f>IF(L5="","",COUNTIFS(Summary!$E$5:$E$241,L5,Summary!$D$5:$D$241,"&gt;="&amp;$A18,Summary!$D$5:$D$241,"&lt;"&amp;$A18+7))</f>
        <v>0</v>
      </c>
      <c r="M18">
        <f>IF(M5="","",COUNTIFS(Summary!$E$5:$E$241,M5,Summary!$D$5:$D$241,"&gt;="&amp;$A18,Summary!$D$5:$D$241,"&lt;"&amp;$A18+7))</f>
        <v>0</v>
      </c>
      <c r="N18">
        <f>IF(N5="","",COUNTIFS(Summary!$E$5:$E$241,N5,Summary!$D$5:$D$241,"&gt;="&amp;$A18,Summary!$D$5:$D$241,"&lt;"&amp;$A18+7))</f>
        <v>0</v>
      </c>
      <c r="O18">
        <f>IF(O5="","",COUNTIFS(Summary!$E$5:$E$241,O5,Summary!$D$5:$D$241,"&gt;="&amp;$A18,Summary!$D$5:$D$241,"&lt;"&amp;$A18+7))</f>
        <v>0</v>
      </c>
      <c r="P18">
        <f>IF(P5="","",COUNTIFS(Summary!$E$5:$E$241,P5,Summary!$D$5:$D$241,"&gt;="&amp;$A18,Summary!$D$5:$D$241,"&lt;"&amp;$A18+7))</f>
        <v>0</v>
      </c>
      <c r="Q18">
        <f>IF(Q5="","",COUNTIFS(Summary!$E$5:$E$241,Q5,Summary!$D$5:$D$241,"&gt;="&amp;$A18,Summary!$D$5:$D$241,"&lt;"&amp;$A18+7))</f>
        <v>1</v>
      </c>
      <c r="R18">
        <f>IF(R5="","",COUNTIFS(Summary!$E$5:$E$241,R5,Summary!$D$5:$D$241,"&gt;="&amp;$A18,Summary!$D$5:$D$241,"&lt;"&amp;$A18+7))</f>
        <v>1</v>
      </c>
      <c r="S18">
        <f>IF(S5="","",COUNTIFS(Summary!$E$5:$E$241,S5,Summary!$D$5:$D$241,"&gt;="&amp;$A18,Summary!$D$5:$D$241,"&lt;"&amp;$A18+7))</f>
        <v>0</v>
      </c>
      <c r="T18">
        <f>IF(T5="","",COUNTIFS(Summary!$E$5:$E$241,T5,Summary!$D$5:$D$241,"&gt;="&amp;$A18,Summary!$D$5:$D$241,"&lt;"&amp;$A18+7))</f>
        <v>0</v>
      </c>
      <c r="U18">
        <f>IF(U5="","",COUNTIFS(Summary!$E$5:$E$241,U5,Summary!$D$5:$D$241,"&gt;="&amp;$A18,Summary!$D$5:$D$241,"&lt;"&amp;$A18+7))</f>
        <v>0</v>
      </c>
      <c r="V18">
        <f>IF(V5="","",COUNTIFS(Summary!$E$5:$E$241,V5,Summary!$D$5:$D$241,"&gt;="&amp;$A18,Summary!$D$5:$D$241,"&lt;"&amp;$A18+7))</f>
        <v>0</v>
      </c>
      <c r="W18">
        <f>IF(W5="","",COUNTIFS(Summary!$E$5:$E$241,W5,Summary!$D$5:$D$241,"&gt;="&amp;$A18,Summary!$D$5:$D$241,"&lt;"&amp;$A18+7))</f>
        <v>1</v>
      </c>
      <c r="X18">
        <f>IF(X5="","",COUNTIFS(Summary!$E$5:$E$241,X5,Summary!$D$5:$D$241,"&gt;="&amp;$A18,Summary!$D$5:$D$241,"&lt;"&amp;$A18+7))</f>
        <v>0</v>
      </c>
      <c r="Y18">
        <f>IF(Y5="","",COUNTIFS(Summary!$E$5:$E$241,Y5,Summary!$D$5:$D$241,"&gt;="&amp;$A18,Summary!$D$5:$D$241,"&lt;"&amp;$A18+7))</f>
        <v>0</v>
      </c>
      <c r="Z18">
        <f>IF(Z5="","",COUNTIFS(Summary!$E$5:$E$241,Z5,Summary!$D$5:$D$241,"&gt;="&amp;$A18,Summary!$D$5:$D$241,"&lt;"&amp;$A18+7))</f>
        <v>0</v>
      </c>
      <c r="AA18">
        <f>IF(AA5="","",COUNTIFS(Summary!$E$5:$E$241,AA5,Summary!$D$5:$D$241,"&gt;="&amp;$A18,Summary!$D$5:$D$241,"&lt;"&amp;$A18+7))</f>
        <v>0</v>
      </c>
      <c r="AB18">
        <f>IF(AB5="","",COUNTIFS(Summary!$E$5:$E$241,AB5,Summary!$D$5:$D$241,"&gt;="&amp;$A18,Summary!$D$5:$D$241,"&lt;"&amp;$A18+7))</f>
        <v>0</v>
      </c>
      <c r="AC18">
        <f>IF(AC5="","",COUNTIFS(Summary!$E$5:$E$241,AC5,Summary!$D$5:$D$241,"&gt;="&amp;$A18,Summary!$D$5:$D$241,"&lt;"&amp;$A18+7))</f>
        <v>0</v>
      </c>
      <c r="AD18">
        <f>IF(AD5="","",COUNTIFS(Summary!$E$5:$E$241,AD5,Summary!$D$5:$D$241,"&gt;="&amp;$A18,Summary!$D$5:$D$241,"&lt;"&amp;$A18+7))</f>
        <v>0</v>
      </c>
      <c r="AE18">
        <f>IF(AE5="","",COUNTIFS(Summary!$E$5:$E$241,AE5,Summary!$D$5:$D$241,"&gt;="&amp;$A18,Summary!$D$5:$D$241,"&lt;"&amp;$A18+7))</f>
        <v>0</v>
      </c>
      <c r="AF18">
        <f>IF(AF5="","",COUNTIFS(Summary!$E$5:$E$241,AF5,Summary!$D$5:$D$241,"&gt;="&amp;$A18,Summary!$D$5:$D$241,"&lt;"&amp;$A18+7))</f>
        <v>0</v>
      </c>
      <c r="AG18">
        <f>IF(AG5="","",COUNTIFS(Summary!$E$5:$E$241,AG5,Summary!$D$5:$D$241,"&gt;="&amp;$A18,Summary!$D$5:$D$241,"&lt;"&amp;$A18+7))</f>
        <v>0</v>
      </c>
      <c r="AH18">
        <f>IF(AH5="","",COUNTIFS(Summary!$E$5:$E$241,AH5,Summary!$D$5:$D$241,"&gt;="&amp;$A18,Summary!$D$5:$D$241,"&lt;"&amp;$A18+7))</f>
        <v>0</v>
      </c>
      <c r="AI18">
        <f>IF(AI5="","",COUNTIFS(Summary!$E$5:$E$241,AI5,Summary!$D$5:$D$241,"&gt;="&amp;$A18,Summary!$D$5:$D$241,"&lt;"&amp;$A18+7))</f>
        <v>0</v>
      </c>
      <c r="AJ18">
        <f>IF(AJ5="","",COUNTIFS(Summary!$E$5:$E$241,AJ5,Summary!$D$5:$D$241,"&gt;="&amp;$A18,Summary!$D$5:$D$241,"&lt;"&amp;$A18+7))</f>
        <v>0</v>
      </c>
      <c r="AK18">
        <f>IF(AK5="","",COUNTIFS(Summary!$E$5:$E$241,AK5,Summary!$D$5:$D$241,"&gt;="&amp;$A18,Summary!$D$5:$D$241,"&lt;"&amp;$A18+7))</f>
        <v>0</v>
      </c>
      <c r="AL18">
        <f>IF(AL5="","",COUNTIFS(Summary!$E$5:$E$241,AL5,Summary!$D$5:$D$241,"&gt;="&amp;$A18,Summary!$D$5:$D$241,"&lt;"&amp;$A18+7))</f>
        <v>0</v>
      </c>
      <c r="AM18">
        <f>IF(AM5="","",COUNTIFS(Summary!$E$5:$E$241,AM5,Summary!$D$5:$D$241,"&gt;="&amp;$A18,Summary!$D$5:$D$241,"&lt;"&amp;$A18+7))</f>
        <v>0</v>
      </c>
      <c r="AN18">
        <f>IF(AN5="","",COUNTIFS(Summary!$E$5:$E$241,AN5,Summary!$D$5:$D$241,"&gt;="&amp;$A18,Summary!$D$5:$D$241,"&lt;"&amp;$A18+7))</f>
        <v>0</v>
      </c>
      <c r="AO18">
        <f>IF(AO5="","",COUNTIFS(Summary!$E$5:$E$241,AO5,Summary!$D$5:$D$241,"&gt;="&amp;$A18,Summary!$D$5:$D$241,"&lt;"&amp;$A18+7))</f>
        <v>0</v>
      </c>
      <c r="AP18">
        <f>IF(AP5="","",COUNTIFS(Summary!$E$5:$E$241,AP5,Summary!$D$5:$D$241,"&gt;="&amp;$A18,Summary!$D$5:$D$241,"&lt;"&amp;$A18+7))</f>
        <v>0</v>
      </c>
      <c r="AQ18">
        <f>IF(AQ5="","",COUNTIFS(Summary!$E$5:$E$241,AQ5,Summary!$D$5:$D$241,"&gt;="&amp;$A18,Summary!$D$5:$D$241,"&lt;"&amp;$A18+7))</f>
        <v>0</v>
      </c>
      <c r="AR18">
        <f>IF(AR5="","",COUNTIFS(Summary!$E$5:$E$241,AR5,Summary!$D$5:$D$241,"&gt;="&amp;$A18,Summary!$D$5:$D$241,"&lt;"&amp;$A18+7))</f>
        <v>0</v>
      </c>
      <c r="AS18">
        <f>IF(AS5="","",COUNTIFS(Summary!$E$5:$E$241,AS5,Summary!$D$5:$D$241,"&gt;="&amp;$A18,Summary!$D$5:$D$241,"&lt;"&amp;$A18+7))</f>
        <v>0</v>
      </c>
      <c r="AT18">
        <f>IF(AT5="","",COUNTIFS(Summary!$E$5:$E$241,AT5,Summary!$D$5:$D$241,"&gt;="&amp;$A18,Summary!$D$5:$D$241,"&lt;"&amp;$A18+7))</f>
        <v>0</v>
      </c>
      <c r="AU18">
        <f>IF(AU5="","",COUNTIFS(Summary!$E$5:$E$241,AU5,Summary!$D$5:$D$241,"&gt;="&amp;$A18,Summary!$D$5:$D$241,"&lt;"&amp;$A18+7))</f>
        <v>0</v>
      </c>
      <c r="AV18">
        <f>IF(AV5="","",COUNTIFS(Summary!$E$5:$E$241,AV5,Summary!$D$5:$D$241,"&gt;="&amp;$A18,Summary!$D$5:$D$241,"&lt;"&amp;$A18+7))</f>
        <v>0</v>
      </c>
      <c r="AW18">
        <f>IF(AW5="","",COUNTIFS(Summary!$E$5:$E$241,AW5,Summary!$D$5:$D$241,"&gt;="&amp;$A18,Summary!$D$5:$D$241,"&lt;"&amp;$A18+7))</f>
        <v>0</v>
      </c>
      <c r="AX18">
        <f>IF(AX5="","",COUNTIFS(Summary!$E$5:$E$241,AX5,Summary!$D$5:$D$241,"&gt;="&amp;$A18,Summary!$D$5:$D$241,"&lt;"&amp;$A18+7))</f>
        <v>0</v>
      </c>
      <c r="AY18">
        <f>IF(AY5="","",COUNTIFS(Summary!$E$5:$E$241,AY5,Summary!$D$5:$D$241,"&gt;="&amp;$A18,Summary!$D$5:$D$241,"&lt;"&amp;$A18+7))</f>
        <v>0</v>
      </c>
      <c r="AZ18">
        <f>IF(AZ5="","",COUNTIFS(Summary!$E$5:$E$241,AZ5,Summary!$D$5:$D$241,"&gt;="&amp;$A18,Summary!$D$5:$D$241,"&lt;"&amp;$A18+7))</f>
        <v>0</v>
      </c>
      <c r="BA18">
        <f>IF(BA5="","",COUNTIFS(Summary!$E$5:$E$241,BA5,Summary!$D$5:$D$241,"&gt;="&amp;$A18,Summary!$D$5:$D$241,"&lt;"&amp;$A18+7))</f>
        <v>0</v>
      </c>
      <c r="BB18">
        <f>IF(BB5="","",COUNTIFS(Summary!$E$5:$E$241,BB5,Summary!$D$5:$D$241,"&gt;="&amp;$A18,Summary!$D$5:$D$241,"&lt;"&amp;$A18+7))</f>
        <v>0</v>
      </c>
      <c r="BC18">
        <f>IF(BC5="","",COUNTIFS(Summary!$E$5:$E$241,BC5,Summary!$D$5:$D$241,"&gt;="&amp;$A18,Summary!$D$5:$D$241,"&lt;"&amp;$A18+7))</f>
        <v>0</v>
      </c>
      <c r="BD18">
        <f>IF(BD5="","",COUNTIFS(Summary!$E$5:$E$241,BD5,Summary!$D$5:$D$241,"&gt;="&amp;$A18,Summary!$D$5:$D$241,"&lt;"&amp;$A18+7))</f>
        <v>0</v>
      </c>
      <c r="BE18">
        <f>IF(BE5="","",COUNTIFS(Summary!$E$5:$E$241,BE5,Summary!$D$5:$D$241,"&gt;="&amp;$A18,Summary!$D$5:$D$241,"&lt;"&amp;$A18+7))</f>
        <v>0</v>
      </c>
      <c r="BF18" s="28">
        <f>IF(BF5="","",COUNTIFS(Summary!$E$5:$E$241,BF5,Summary!$D$5:$D$241,"&gt;="&amp;$A18,Summary!$D$5:$D$241,"&lt;"&amp;$A18+7))</f>
        <v>0</v>
      </c>
    </row>
    <row r="19" spans="1:58">
      <c r="A19" s="18">
        <f t="shared" si="1"/>
        <v>46174</v>
      </c>
      <c r="B19" s="2" t="str">
        <f t="shared" si="0"/>
        <v>Jun 1</v>
      </c>
      <c r="C19">
        <f>IF(C5="","",COUNTIFS(Summary!$E$5:$E$241,C5,Summary!$D$5:$D$241,"&gt;="&amp;$A19,Summary!$D$5:$D$241,"&lt;"&amp;$A19+7))</f>
        <v>2</v>
      </c>
      <c r="D19">
        <f>IF(D5="","",COUNTIFS(Summary!$E$5:$E$241,D5,Summary!$D$5:$D$241,"&gt;="&amp;$A19,Summary!$D$5:$D$241,"&lt;"&amp;$A19+7))</f>
        <v>0</v>
      </c>
      <c r="E19">
        <f>IF(E5="","",COUNTIFS(Summary!$E$5:$E$241,E5,Summary!$D$5:$D$241,"&gt;="&amp;$A19,Summary!$D$5:$D$241,"&lt;"&amp;$A19+7))</f>
        <v>0</v>
      </c>
      <c r="F19">
        <f>IF(F5="","",COUNTIFS(Summary!$E$5:$E$241,F5,Summary!$D$5:$D$241,"&gt;="&amp;$A19,Summary!$D$5:$D$241,"&lt;"&amp;$A19+7))</f>
        <v>0</v>
      </c>
      <c r="G19">
        <f>IF(G5="","",COUNTIFS(Summary!$E$5:$E$241,G5,Summary!$D$5:$D$241,"&gt;="&amp;$A19,Summary!$D$5:$D$241,"&lt;"&amp;$A19+7))</f>
        <v>0</v>
      </c>
      <c r="H19">
        <f>IF(H5="","",COUNTIFS(Summary!$E$5:$E$241,H5,Summary!$D$5:$D$241,"&gt;="&amp;$A19,Summary!$D$5:$D$241,"&lt;"&amp;$A19+7))</f>
        <v>0</v>
      </c>
      <c r="I19">
        <f>IF(I5="","",COUNTIFS(Summary!$E$5:$E$241,I5,Summary!$D$5:$D$241,"&gt;="&amp;$A19,Summary!$D$5:$D$241,"&lt;"&amp;$A19+7))</f>
        <v>0</v>
      </c>
      <c r="J19">
        <f>IF(J5="","",COUNTIFS(Summary!$E$5:$E$241,J5,Summary!$D$5:$D$241,"&gt;="&amp;$A19,Summary!$D$5:$D$241,"&lt;"&amp;$A19+7))</f>
        <v>0</v>
      </c>
      <c r="K19">
        <f>IF(K5="","",COUNTIFS(Summary!$E$5:$E$241,K5,Summary!$D$5:$D$241,"&gt;="&amp;$A19,Summary!$D$5:$D$241,"&lt;"&amp;$A19+7))</f>
        <v>0</v>
      </c>
      <c r="L19">
        <f>IF(L5="","",COUNTIFS(Summary!$E$5:$E$241,L5,Summary!$D$5:$D$241,"&gt;="&amp;$A19,Summary!$D$5:$D$241,"&lt;"&amp;$A19+7))</f>
        <v>0</v>
      </c>
      <c r="M19">
        <f>IF(M5="","",COUNTIFS(Summary!$E$5:$E$241,M5,Summary!$D$5:$D$241,"&gt;="&amp;$A19,Summary!$D$5:$D$241,"&lt;"&amp;$A19+7))</f>
        <v>0</v>
      </c>
      <c r="N19">
        <f>IF(N5="","",COUNTIFS(Summary!$E$5:$E$241,N5,Summary!$D$5:$D$241,"&gt;="&amp;$A19,Summary!$D$5:$D$241,"&lt;"&amp;$A19+7))</f>
        <v>0</v>
      </c>
      <c r="O19">
        <f>IF(O5="","",COUNTIFS(Summary!$E$5:$E$241,O5,Summary!$D$5:$D$241,"&gt;="&amp;$A19,Summary!$D$5:$D$241,"&lt;"&amp;$A19+7))</f>
        <v>0</v>
      </c>
      <c r="P19">
        <f>IF(P5="","",COUNTIFS(Summary!$E$5:$E$241,P5,Summary!$D$5:$D$241,"&gt;="&amp;$A19,Summary!$D$5:$D$241,"&lt;"&amp;$A19+7))</f>
        <v>0</v>
      </c>
      <c r="Q19">
        <f>IF(Q5="","",COUNTIFS(Summary!$E$5:$E$241,Q5,Summary!$D$5:$D$241,"&gt;="&amp;$A19,Summary!$D$5:$D$241,"&lt;"&amp;$A19+7))</f>
        <v>0</v>
      </c>
      <c r="R19">
        <f>IF(R5="","",COUNTIFS(Summary!$E$5:$E$241,R5,Summary!$D$5:$D$241,"&gt;="&amp;$A19,Summary!$D$5:$D$241,"&lt;"&amp;$A19+7))</f>
        <v>0</v>
      </c>
      <c r="S19">
        <f>IF(S5="","",COUNTIFS(Summary!$E$5:$E$241,S5,Summary!$D$5:$D$241,"&gt;="&amp;$A19,Summary!$D$5:$D$241,"&lt;"&amp;$A19+7))</f>
        <v>0</v>
      </c>
      <c r="T19">
        <f>IF(T5="","",COUNTIFS(Summary!$E$5:$E$241,T5,Summary!$D$5:$D$241,"&gt;="&amp;$A19,Summary!$D$5:$D$241,"&lt;"&amp;$A19+7))</f>
        <v>0</v>
      </c>
      <c r="U19">
        <f>IF(U5="","",COUNTIFS(Summary!$E$5:$E$241,U5,Summary!$D$5:$D$241,"&gt;="&amp;$A19,Summary!$D$5:$D$241,"&lt;"&amp;$A19+7))</f>
        <v>0</v>
      </c>
      <c r="V19">
        <f>IF(V5="","",COUNTIFS(Summary!$E$5:$E$241,V5,Summary!$D$5:$D$241,"&gt;="&amp;$A19,Summary!$D$5:$D$241,"&lt;"&amp;$A19+7))</f>
        <v>0</v>
      </c>
      <c r="W19">
        <f>IF(W5="","",COUNTIFS(Summary!$E$5:$E$241,W5,Summary!$D$5:$D$241,"&gt;="&amp;$A19,Summary!$D$5:$D$241,"&lt;"&amp;$A19+7))</f>
        <v>0</v>
      </c>
      <c r="X19">
        <f>IF(X5="","",COUNTIFS(Summary!$E$5:$E$241,X5,Summary!$D$5:$D$241,"&gt;="&amp;$A19,Summary!$D$5:$D$241,"&lt;"&amp;$A19+7))</f>
        <v>0</v>
      </c>
      <c r="Y19">
        <f>IF(Y5="","",COUNTIFS(Summary!$E$5:$E$241,Y5,Summary!$D$5:$D$241,"&gt;="&amp;$A19,Summary!$D$5:$D$241,"&lt;"&amp;$A19+7))</f>
        <v>0</v>
      </c>
      <c r="Z19">
        <f>IF(Z5="","",COUNTIFS(Summary!$E$5:$E$241,Z5,Summary!$D$5:$D$241,"&gt;="&amp;$A19,Summary!$D$5:$D$241,"&lt;"&amp;$A19+7))</f>
        <v>0</v>
      </c>
      <c r="AA19">
        <f>IF(AA5="","",COUNTIFS(Summary!$E$5:$E$241,AA5,Summary!$D$5:$D$241,"&gt;="&amp;$A19,Summary!$D$5:$D$241,"&lt;"&amp;$A19+7))</f>
        <v>0</v>
      </c>
      <c r="AB19">
        <f>IF(AB5="","",COUNTIFS(Summary!$E$5:$E$241,AB5,Summary!$D$5:$D$241,"&gt;="&amp;$A19,Summary!$D$5:$D$241,"&lt;"&amp;$A19+7))</f>
        <v>0</v>
      </c>
      <c r="AC19">
        <f>IF(AC5="","",COUNTIFS(Summary!$E$5:$E$241,AC5,Summary!$D$5:$D$241,"&gt;="&amp;$A19,Summary!$D$5:$D$241,"&lt;"&amp;$A19+7))</f>
        <v>0</v>
      </c>
      <c r="AD19">
        <f>IF(AD5="","",COUNTIFS(Summary!$E$5:$E$241,AD5,Summary!$D$5:$D$241,"&gt;="&amp;$A19,Summary!$D$5:$D$241,"&lt;"&amp;$A19+7))</f>
        <v>0</v>
      </c>
      <c r="AE19">
        <f>IF(AE5="","",COUNTIFS(Summary!$E$5:$E$241,AE5,Summary!$D$5:$D$241,"&gt;="&amp;$A19,Summary!$D$5:$D$241,"&lt;"&amp;$A19+7))</f>
        <v>0</v>
      </c>
      <c r="AF19">
        <f>IF(AF5="","",COUNTIFS(Summary!$E$5:$E$241,AF5,Summary!$D$5:$D$241,"&gt;="&amp;$A19,Summary!$D$5:$D$241,"&lt;"&amp;$A19+7))</f>
        <v>0</v>
      </c>
      <c r="AG19">
        <f>IF(AG5="","",COUNTIFS(Summary!$E$5:$E$241,AG5,Summary!$D$5:$D$241,"&gt;="&amp;$A19,Summary!$D$5:$D$241,"&lt;"&amp;$A19+7))</f>
        <v>0</v>
      </c>
      <c r="AH19">
        <f>IF(AH5="","",COUNTIFS(Summary!$E$5:$E$241,AH5,Summary!$D$5:$D$241,"&gt;="&amp;$A19,Summary!$D$5:$D$241,"&lt;"&amp;$A19+7))</f>
        <v>0</v>
      </c>
      <c r="AI19">
        <f>IF(AI5="","",COUNTIFS(Summary!$E$5:$E$241,AI5,Summary!$D$5:$D$241,"&gt;="&amp;$A19,Summary!$D$5:$D$241,"&lt;"&amp;$A19+7))</f>
        <v>0</v>
      </c>
      <c r="AJ19">
        <f>IF(AJ5="","",COUNTIFS(Summary!$E$5:$E$241,AJ5,Summary!$D$5:$D$241,"&gt;="&amp;$A19,Summary!$D$5:$D$241,"&lt;"&amp;$A19+7))</f>
        <v>0</v>
      </c>
      <c r="AK19">
        <f>IF(AK5="","",COUNTIFS(Summary!$E$5:$E$241,AK5,Summary!$D$5:$D$241,"&gt;="&amp;$A19,Summary!$D$5:$D$241,"&lt;"&amp;$A19+7))</f>
        <v>0</v>
      </c>
      <c r="AL19">
        <f>IF(AL5="","",COUNTIFS(Summary!$E$5:$E$241,AL5,Summary!$D$5:$D$241,"&gt;="&amp;$A19,Summary!$D$5:$D$241,"&lt;"&amp;$A19+7))</f>
        <v>0</v>
      </c>
      <c r="AM19">
        <f>IF(AM5="","",COUNTIFS(Summary!$E$5:$E$241,AM5,Summary!$D$5:$D$241,"&gt;="&amp;$A19,Summary!$D$5:$D$241,"&lt;"&amp;$A19+7))</f>
        <v>0</v>
      </c>
      <c r="AN19">
        <f>IF(AN5="","",COUNTIFS(Summary!$E$5:$E$241,AN5,Summary!$D$5:$D$241,"&gt;="&amp;$A19,Summary!$D$5:$D$241,"&lt;"&amp;$A19+7))</f>
        <v>0</v>
      </c>
      <c r="AO19">
        <f>IF(AO5="","",COUNTIFS(Summary!$E$5:$E$241,AO5,Summary!$D$5:$D$241,"&gt;="&amp;$A19,Summary!$D$5:$D$241,"&lt;"&amp;$A19+7))</f>
        <v>0</v>
      </c>
      <c r="AP19">
        <f>IF(AP5="","",COUNTIFS(Summary!$E$5:$E$241,AP5,Summary!$D$5:$D$241,"&gt;="&amp;$A19,Summary!$D$5:$D$241,"&lt;"&amp;$A19+7))</f>
        <v>0</v>
      </c>
      <c r="AQ19">
        <f>IF(AQ5="","",COUNTIFS(Summary!$E$5:$E$241,AQ5,Summary!$D$5:$D$241,"&gt;="&amp;$A19,Summary!$D$5:$D$241,"&lt;"&amp;$A19+7))</f>
        <v>0</v>
      </c>
      <c r="AR19">
        <f>IF(AR5="","",COUNTIFS(Summary!$E$5:$E$241,AR5,Summary!$D$5:$D$241,"&gt;="&amp;$A19,Summary!$D$5:$D$241,"&lt;"&amp;$A19+7))</f>
        <v>0</v>
      </c>
      <c r="AS19">
        <f>IF(AS5="","",COUNTIFS(Summary!$E$5:$E$241,AS5,Summary!$D$5:$D$241,"&gt;="&amp;$A19,Summary!$D$5:$D$241,"&lt;"&amp;$A19+7))</f>
        <v>0</v>
      </c>
      <c r="AT19">
        <f>IF(AT5="","",COUNTIFS(Summary!$E$5:$E$241,AT5,Summary!$D$5:$D$241,"&gt;="&amp;$A19,Summary!$D$5:$D$241,"&lt;"&amp;$A19+7))</f>
        <v>0</v>
      </c>
      <c r="AU19">
        <f>IF(AU5="","",COUNTIFS(Summary!$E$5:$E$241,AU5,Summary!$D$5:$D$241,"&gt;="&amp;$A19,Summary!$D$5:$D$241,"&lt;"&amp;$A19+7))</f>
        <v>0</v>
      </c>
      <c r="AV19">
        <f>IF(AV5="","",COUNTIFS(Summary!$E$5:$E$241,AV5,Summary!$D$5:$D$241,"&gt;="&amp;$A19,Summary!$D$5:$D$241,"&lt;"&amp;$A19+7))</f>
        <v>0</v>
      </c>
      <c r="AW19">
        <f>IF(AW5="","",COUNTIFS(Summary!$E$5:$E$241,AW5,Summary!$D$5:$D$241,"&gt;="&amp;$A19,Summary!$D$5:$D$241,"&lt;"&amp;$A19+7))</f>
        <v>0</v>
      </c>
      <c r="AX19">
        <f>IF(AX5="","",COUNTIFS(Summary!$E$5:$E$241,AX5,Summary!$D$5:$D$241,"&gt;="&amp;$A19,Summary!$D$5:$D$241,"&lt;"&amp;$A19+7))</f>
        <v>0</v>
      </c>
      <c r="AY19">
        <f>IF(AY5="","",COUNTIFS(Summary!$E$5:$E$241,AY5,Summary!$D$5:$D$241,"&gt;="&amp;$A19,Summary!$D$5:$D$241,"&lt;"&amp;$A19+7))</f>
        <v>0</v>
      </c>
      <c r="AZ19">
        <f>IF(AZ5="","",COUNTIFS(Summary!$E$5:$E$241,AZ5,Summary!$D$5:$D$241,"&gt;="&amp;$A19,Summary!$D$5:$D$241,"&lt;"&amp;$A19+7))</f>
        <v>0</v>
      </c>
      <c r="BA19">
        <f>IF(BA5="","",COUNTIFS(Summary!$E$5:$E$241,BA5,Summary!$D$5:$D$241,"&gt;="&amp;$A19,Summary!$D$5:$D$241,"&lt;"&amp;$A19+7))</f>
        <v>0</v>
      </c>
      <c r="BB19">
        <f>IF(BB5="","",COUNTIFS(Summary!$E$5:$E$241,BB5,Summary!$D$5:$D$241,"&gt;="&amp;$A19,Summary!$D$5:$D$241,"&lt;"&amp;$A19+7))</f>
        <v>0</v>
      </c>
      <c r="BC19">
        <f>IF(BC5="","",COUNTIFS(Summary!$E$5:$E$241,BC5,Summary!$D$5:$D$241,"&gt;="&amp;$A19,Summary!$D$5:$D$241,"&lt;"&amp;$A19+7))</f>
        <v>0</v>
      </c>
      <c r="BD19">
        <f>IF(BD5="","",COUNTIFS(Summary!$E$5:$E$241,BD5,Summary!$D$5:$D$241,"&gt;="&amp;$A19,Summary!$D$5:$D$241,"&lt;"&amp;$A19+7))</f>
        <v>0</v>
      </c>
      <c r="BE19">
        <f>IF(BE5="","",COUNTIFS(Summary!$E$5:$E$241,BE5,Summary!$D$5:$D$241,"&gt;="&amp;$A19,Summary!$D$5:$D$241,"&lt;"&amp;$A19+7))</f>
        <v>0</v>
      </c>
      <c r="BF19" s="28">
        <f>IF(BF5="","",COUNTIFS(Summary!$E$5:$E$241,BF5,Summary!$D$5:$D$241,"&gt;="&amp;$A19,Summary!$D$5:$D$241,"&lt;"&amp;$A19+7))</f>
        <v>0</v>
      </c>
    </row>
    <row r="20" spans="1:58">
      <c r="A20" s="18">
        <f t="shared" si="1"/>
        <v>46181</v>
      </c>
      <c r="B20" s="2" t="str">
        <f t="shared" si="0"/>
        <v>Jun 8</v>
      </c>
      <c r="C20">
        <f>IF(C5="","",COUNTIFS(Summary!$E$5:$E$241,C5,Summary!$D$5:$D$241,"&gt;="&amp;$A20,Summary!$D$5:$D$241,"&lt;"&amp;$A20+7))</f>
        <v>0</v>
      </c>
      <c r="D20">
        <f>IF(D5="","",COUNTIFS(Summary!$E$5:$E$241,D5,Summary!$D$5:$D$241,"&gt;="&amp;$A20,Summary!$D$5:$D$241,"&lt;"&amp;$A20+7))</f>
        <v>0</v>
      </c>
      <c r="E20">
        <f>IF(E5="","",COUNTIFS(Summary!$E$5:$E$241,E5,Summary!$D$5:$D$241,"&gt;="&amp;$A20,Summary!$D$5:$D$241,"&lt;"&amp;$A20+7))</f>
        <v>0</v>
      </c>
      <c r="F20">
        <f>IF(F5="","",COUNTIFS(Summary!$E$5:$E$241,F5,Summary!$D$5:$D$241,"&gt;="&amp;$A20,Summary!$D$5:$D$241,"&lt;"&amp;$A20+7))</f>
        <v>0</v>
      </c>
      <c r="G20">
        <f>IF(G5="","",COUNTIFS(Summary!$E$5:$E$241,G5,Summary!$D$5:$D$241,"&gt;="&amp;$A20,Summary!$D$5:$D$241,"&lt;"&amp;$A20+7))</f>
        <v>0</v>
      </c>
      <c r="H20">
        <f>IF(H5="","",COUNTIFS(Summary!$E$5:$E$241,H5,Summary!$D$5:$D$241,"&gt;="&amp;$A20,Summary!$D$5:$D$241,"&lt;"&amp;$A20+7))</f>
        <v>0</v>
      </c>
      <c r="I20">
        <f>IF(I5="","",COUNTIFS(Summary!$E$5:$E$241,I5,Summary!$D$5:$D$241,"&gt;="&amp;$A20,Summary!$D$5:$D$241,"&lt;"&amp;$A20+7))</f>
        <v>1</v>
      </c>
      <c r="J20">
        <f>IF(J5="","",COUNTIFS(Summary!$E$5:$E$241,J5,Summary!$D$5:$D$241,"&gt;="&amp;$A20,Summary!$D$5:$D$241,"&lt;"&amp;$A20+7))</f>
        <v>0</v>
      </c>
      <c r="K20">
        <f>IF(K5="","",COUNTIFS(Summary!$E$5:$E$241,K5,Summary!$D$5:$D$241,"&gt;="&amp;$A20,Summary!$D$5:$D$241,"&lt;"&amp;$A20+7))</f>
        <v>0</v>
      </c>
      <c r="L20">
        <f>IF(L5="","",COUNTIFS(Summary!$E$5:$E$241,L5,Summary!$D$5:$D$241,"&gt;="&amp;$A20,Summary!$D$5:$D$241,"&lt;"&amp;$A20+7))</f>
        <v>0</v>
      </c>
      <c r="M20">
        <f>IF(M5="","",COUNTIFS(Summary!$E$5:$E$241,M5,Summary!$D$5:$D$241,"&gt;="&amp;$A20,Summary!$D$5:$D$241,"&lt;"&amp;$A20+7))</f>
        <v>0</v>
      </c>
      <c r="N20">
        <f>IF(N5="","",COUNTIFS(Summary!$E$5:$E$241,N5,Summary!$D$5:$D$241,"&gt;="&amp;$A20,Summary!$D$5:$D$241,"&lt;"&amp;$A20+7))</f>
        <v>0</v>
      </c>
      <c r="O20">
        <f>IF(O5="","",COUNTIFS(Summary!$E$5:$E$241,O5,Summary!$D$5:$D$241,"&gt;="&amp;$A20,Summary!$D$5:$D$241,"&lt;"&amp;$A20+7))</f>
        <v>1</v>
      </c>
      <c r="P20">
        <f>IF(P5="","",COUNTIFS(Summary!$E$5:$E$241,P5,Summary!$D$5:$D$241,"&gt;="&amp;$A20,Summary!$D$5:$D$241,"&lt;"&amp;$A20+7))</f>
        <v>0</v>
      </c>
      <c r="Q20">
        <f>IF(Q5="","",COUNTIFS(Summary!$E$5:$E$241,Q5,Summary!$D$5:$D$241,"&gt;="&amp;$A20,Summary!$D$5:$D$241,"&lt;"&amp;$A20+7))</f>
        <v>0</v>
      </c>
      <c r="R20">
        <f>IF(R5="","",COUNTIFS(Summary!$E$5:$E$241,R5,Summary!$D$5:$D$241,"&gt;="&amp;$A20,Summary!$D$5:$D$241,"&lt;"&amp;$A20+7))</f>
        <v>0</v>
      </c>
      <c r="S20">
        <f>IF(S5="","",COUNTIFS(Summary!$E$5:$E$241,S5,Summary!$D$5:$D$241,"&gt;="&amp;$A20,Summary!$D$5:$D$241,"&lt;"&amp;$A20+7))</f>
        <v>0</v>
      </c>
      <c r="T20">
        <f>IF(T5="","",COUNTIFS(Summary!$E$5:$E$241,T5,Summary!$D$5:$D$241,"&gt;="&amp;$A20,Summary!$D$5:$D$241,"&lt;"&amp;$A20+7))</f>
        <v>0</v>
      </c>
      <c r="U20">
        <f>IF(U5="","",COUNTIFS(Summary!$E$5:$E$241,U5,Summary!$D$5:$D$241,"&gt;="&amp;$A20,Summary!$D$5:$D$241,"&lt;"&amp;$A20+7))</f>
        <v>0</v>
      </c>
      <c r="V20">
        <f>IF(V5="","",COUNTIFS(Summary!$E$5:$E$241,V5,Summary!$D$5:$D$241,"&gt;="&amp;$A20,Summary!$D$5:$D$241,"&lt;"&amp;$A20+7))</f>
        <v>0</v>
      </c>
      <c r="W20">
        <f>IF(W5="","",COUNTIFS(Summary!$E$5:$E$241,W5,Summary!$D$5:$D$241,"&gt;="&amp;$A20,Summary!$D$5:$D$241,"&lt;"&amp;$A20+7))</f>
        <v>0</v>
      </c>
      <c r="X20">
        <f>IF(X5="","",COUNTIFS(Summary!$E$5:$E$241,X5,Summary!$D$5:$D$241,"&gt;="&amp;$A20,Summary!$D$5:$D$241,"&lt;"&amp;$A20+7))</f>
        <v>0</v>
      </c>
      <c r="Y20">
        <f>IF(Y5="","",COUNTIFS(Summary!$E$5:$E$241,Y5,Summary!$D$5:$D$241,"&gt;="&amp;$A20,Summary!$D$5:$D$241,"&lt;"&amp;$A20+7))</f>
        <v>0</v>
      </c>
      <c r="Z20">
        <f>IF(Z5="","",COUNTIFS(Summary!$E$5:$E$241,Z5,Summary!$D$5:$D$241,"&gt;="&amp;$A20,Summary!$D$5:$D$241,"&lt;"&amp;$A20+7))</f>
        <v>0</v>
      </c>
      <c r="AA20">
        <f>IF(AA5="","",COUNTIFS(Summary!$E$5:$E$241,AA5,Summary!$D$5:$D$241,"&gt;="&amp;$A20,Summary!$D$5:$D$241,"&lt;"&amp;$A20+7))</f>
        <v>0</v>
      </c>
      <c r="AB20">
        <f>IF(AB5="","",COUNTIFS(Summary!$E$5:$E$241,AB5,Summary!$D$5:$D$241,"&gt;="&amp;$A20,Summary!$D$5:$D$241,"&lt;"&amp;$A20+7))</f>
        <v>0</v>
      </c>
      <c r="AC20">
        <f>IF(AC5="","",COUNTIFS(Summary!$E$5:$E$241,AC5,Summary!$D$5:$D$241,"&gt;="&amp;$A20,Summary!$D$5:$D$241,"&lt;"&amp;$A20+7))</f>
        <v>0</v>
      </c>
      <c r="AD20">
        <f>IF(AD5="","",COUNTIFS(Summary!$E$5:$E$241,AD5,Summary!$D$5:$D$241,"&gt;="&amp;$A20,Summary!$D$5:$D$241,"&lt;"&amp;$A20+7))</f>
        <v>0</v>
      </c>
      <c r="AE20">
        <f>IF(AE5="","",COUNTIFS(Summary!$E$5:$E$241,AE5,Summary!$D$5:$D$241,"&gt;="&amp;$A20,Summary!$D$5:$D$241,"&lt;"&amp;$A20+7))</f>
        <v>0</v>
      </c>
      <c r="AF20">
        <f>IF(AF5="","",COUNTIFS(Summary!$E$5:$E$241,AF5,Summary!$D$5:$D$241,"&gt;="&amp;$A20,Summary!$D$5:$D$241,"&lt;"&amp;$A20+7))</f>
        <v>0</v>
      </c>
      <c r="AG20">
        <f>IF(AG5="","",COUNTIFS(Summary!$E$5:$E$241,AG5,Summary!$D$5:$D$241,"&gt;="&amp;$A20,Summary!$D$5:$D$241,"&lt;"&amp;$A20+7))</f>
        <v>0</v>
      </c>
      <c r="AH20">
        <f>IF(AH5="","",COUNTIFS(Summary!$E$5:$E$241,AH5,Summary!$D$5:$D$241,"&gt;="&amp;$A20,Summary!$D$5:$D$241,"&lt;"&amp;$A20+7))</f>
        <v>0</v>
      </c>
      <c r="AI20">
        <f>IF(AI5="","",COUNTIFS(Summary!$E$5:$E$241,AI5,Summary!$D$5:$D$241,"&gt;="&amp;$A20,Summary!$D$5:$D$241,"&lt;"&amp;$A20+7))</f>
        <v>0</v>
      </c>
      <c r="AJ20">
        <f>IF(AJ5="","",COUNTIFS(Summary!$E$5:$E$241,AJ5,Summary!$D$5:$D$241,"&gt;="&amp;$A20,Summary!$D$5:$D$241,"&lt;"&amp;$A20+7))</f>
        <v>0</v>
      </c>
      <c r="AK20">
        <f>IF(AK5="","",COUNTIFS(Summary!$E$5:$E$241,AK5,Summary!$D$5:$D$241,"&gt;="&amp;$A20,Summary!$D$5:$D$241,"&lt;"&amp;$A20+7))</f>
        <v>0</v>
      </c>
      <c r="AL20">
        <f>IF(AL5="","",COUNTIFS(Summary!$E$5:$E$241,AL5,Summary!$D$5:$D$241,"&gt;="&amp;$A20,Summary!$D$5:$D$241,"&lt;"&amp;$A20+7))</f>
        <v>0</v>
      </c>
      <c r="AM20">
        <f>IF(AM5="","",COUNTIFS(Summary!$E$5:$E$241,AM5,Summary!$D$5:$D$241,"&gt;="&amp;$A20,Summary!$D$5:$D$241,"&lt;"&amp;$A20+7))</f>
        <v>0</v>
      </c>
      <c r="AN20">
        <f>IF(AN5="","",COUNTIFS(Summary!$E$5:$E$241,AN5,Summary!$D$5:$D$241,"&gt;="&amp;$A20,Summary!$D$5:$D$241,"&lt;"&amp;$A20+7))</f>
        <v>0</v>
      </c>
      <c r="AO20">
        <f>IF(AO5="","",COUNTIFS(Summary!$E$5:$E$241,AO5,Summary!$D$5:$D$241,"&gt;="&amp;$A20,Summary!$D$5:$D$241,"&lt;"&amp;$A20+7))</f>
        <v>0</v>
      </c>
      <c r="AP20">
        <f>IF(AP5="","",COUNTIFS(Summary!$E$5:$E$241,AP5,Summary!$D$5:$D$241,"&gt;="&amp;$A20,Summary!$D$5:$D$241,"&lt;"&amp;$A20+7))</f>
        <v>0</v>
      </c>
      <c r="AQ20">
        <f>IF(AQ5="","",COUNTIFS(Summary!$E$5:$E$241,AQ5,Summary!$D$5:$D$241,"&gt;="&amp;$A20,Summary!$D$5:$D$241,"&lt;"&amp;$A20+7))</f>
        <v>0</v>
      </c>
      <c r="AR20">
        <f>IF(AR5="","",COUNTIFS(Summary!$E$5:$E$241,AR5,Summary!$D$5:$D$241,"&gt;="&amp;$A20,Summary!$D$5:$D$241,"&lt;"&amp;$A20+7))</f>
        <v>0</v>
      </c>
      <c r="AS20">
        <f>IF(AS5="","",COUNTIFS(Summary!$E$5:$E$241,AS5,Summary!$D$5:$D$241,"&gt;="&amp;$A20,Summary!$D$5:$D$241,"&lt;"&amp;$A20+7))</f>
        <v>0</v>
      </c>
      <c r="AT20">
        <f>IF(AT5="","",COUNTIFS(Summary!$E$5:$E$241,AT5,Summary!$D$5:$D$241,"&gt;="&amp;$A20,Summary!$D$5:$D$241,"&lt;"&amp;$A20+7))</f>
        <v>0</v>
      </c>
      <c r="AU20">
        <f>IF(AU5="","",COUNTIFS(Summary!$E$5:$E$241,AU5,Summary!$D$5:$D$241,"&gt;="&amp;$A20,Summary!$D$5:$D$241,"&lt;"&amp;$A20+7))</f>
        <v>0</v>
      </c>
      <c r="AV20">
        <f>IF(AV5="","",COUNTIFS(Summary!$E$5:$E$241,AV5,Summary!$D$5:$D$241,"&gt;="&amp;$A20,Summary!$D$5:$D$241,"&lt;"&amp;$A20+7))</f>
        <v>0</v>
      </c>
      <c r="AW20">
        <f>IF(AW5="","",COUNTIFS(Summary!$E$5:$E$241,AW5,Summary!$D$5:$D$241,"&gt;="&amp;$A20,Summary!$D$5:$D$241,"&lt;"&amp;$A20+7))</f>
        <v>0</v>
      </c>
      <c r="AX20">
        <f>IF(AX5="","",COUNTIFS(Summary!$E$5:$E$241,AX5,Summary!$D$5:$D$241,"&gt;="&amp;$A20,Summary!$D$5:$D$241,"&lt;"&amp;$A20+7))</f>
        <v>0</v>
      </c>
      <c r="AY20">
        <f>IF(AY5="","",COUNTIFS(Summary!$E$5:$E$241,AY5,Summary!$D$5:$D$241,"&gt;="&amp;$A20,Summary!$D$5:$D$241,"&lt;"&amp;$A20+7))</f>
        <v>0</v>
      </c>
      <c r="AZ20">
        <f>IF(AZ5="","",COUNTIFS(Summary!$E$5:$E$241,AZ5,Summary!$D$5:$D$241,"&gt;="&amp;$A20,Summary!$D$5:$D$241,"&lt;"&amp;$A20+7))</f>
        <v>0</v>
      </c>
      <c r="BA20">
        <f>IF(BA5="","",COUNTIFS(Summary!$E$5:$E$241,BA5,Summary!$D$5:$D$241,"&gt;="&amp;$A20,Summary!$D$5:$D$241,"&lt;"&amp;$A20+7))</f>
        <v>0</v>
      </c>
      <c r="BB20">
        <f>IF(BB5="","",COUNTIFS(Summary!$E$5:$E$241,BB5,Summary!$D$5:$D$241,"&gt;="&amp;$A20,Summary!$D$5:$D$241,"&lt;"&amp;$A20+7))</f>
        <v>0</v>
      </c>
      <c r="BC20">
        <f>IF(BC5="","",COUNTIFS(Summary!$E$5:$E$241,BC5,Summary!$D$5:$D$241,"&gt;="&amp;$A20,Summary!$D$5:$D$241,"&lt;"&amp;$A20+7))</f>
        <v>0</v>
      </c>
      <c r="BD20">
        <f>IF(BD5="","",COUNTIFS(Summary!$E$5:$E$241,BD5,Summary!$D$5:$D$241,"&gt;="&amp;$A20,Summary!$D$5:$D$241,"&lt;"&amp;$A20+7))</f>
        <v>0</v>
      </c>
      <c r="BE20">
        <f>IF(BE5="","",COUNTIFS(Summary!$E$5:$E$241,BE5,Summary!$D$5:$D$241,"&gt;="&amp;$A20,Summary!$D$5:$D$241,"&lt;"&amp;$A20+7))</f>
        <v>0</v>
      </c>
      <c r="BF20" s="28">
        <f>IF(BF5="","",COUNTIFS(Summary!$E$5:$E$241,BF5,Summary!$D$5:$D$241,"&gt;="&amp;$A20,Summary!$D$5:$D$241,"&lt;"&amp;$A20+7))</f>
        <v>0</v>
      </c>
    </row>
    <row r="21" spans="1:58">
      <c r="A21" s="18">
        <f t="shared" si="1"/>
        <v>46188</v>
      </c>
      <c r="B21" s="2" t="str">
        <f t="shared" si="0"/>
        <v>Jun 15</v>
      </c>
      <c r="C21">
        <f>IF(C5="","",COUNTIFS(Summary!$E$5:$E$241,C5,Summary!$D$5:$D$241,"&gt;="&amp;$A21,Summary!$D$5:$D$241,"&lt;"&amp;$A21+7))</f>
        <v>0</v>
      </c>
      <c r="D21">
        <f>IF(D5="","",COUNTIFS(Summary!$E$5:$E$241,D5,Summary!$D$5:$D$241,"&gt;="&amp;$A21,Summary!$D$5:$D$241,"&lt;"&amp;$A21+7))</f>
        <v>1</v>
      </c>
      <c r="E21">
        <f>IF(E5="","",COUNTIFS(Summary!$E$5:$E$241,E5,Summary!$D$5:$D$241,"&gt;="&amp;$A21,Summary!$D$5:$D$241,"&lt;"&amp;$A21+7))</f>
        <v>0</v>
      </c>
      <c r="F21">
        <f>IF(F5="","",COUNTIFS(Summary!$E$5:$E$241,F5,Summary!$D$5:$D$241,"&gt;="&amp;$A21,Summary!$D$5:$D$241,"&lt;"&amp;$A21+7))</f>
        <v>0</v>
      </c>
      <c r="G21">
        <f>IF(G5="","",COUNTIFS(Summary!$E$5:$E$241,G5,Summary!$D$5:$D$241,"&gt;="&amp;$A21,Summary!$D$5:$D$241,"&lt;"&amp;$A21+7))</f>
        <v>0</v>
      </c>
      <c r="H21">
        <f>IF(H5="","",COUNTIFS(Summary!$E$5:$E$241,H5,Summary!$D$5:$D$241,"&gt;="&amp;$A21,Summary!$D$5:$D$241,"&lt;"&amp;$A21+7))</f>
        <v>1</v>
      </c>
      <c r="I21">
        <f>IF(I5="","",COUNTIFS(Summary!$E$5:$E$241,I5,Summary!$D$5:$D$241,"&gt;="&amp;$A21,Summary!$D$5:$D$241,"&lt;"&amp;$A21+7))</f>
        <v>0</v>
      </c>
      <c r="J21">
        <f>IF(J5="","",COUNTIFS(Summary!$E$5:$E$241,J5,Summary!$D$5:$D$241,"&gt;="&amp;$A21,Summary!$D$5:$D$241,"&lt;"&amp;$A21+7))</f>
        <v>0</v>
      </c>
      <c r="K21">
        <f>IF(K5="","",COUNTIFS(Summary!$E$5:$E$241,K5,Summary!$D$5:$D$241,"&gt;="&amp;$A21,Summary!$D$5:$D$241,"&lt;"&amp;$A21+7))</f>
        <v>0</v>
      </c>
      <c r="L21">
        <f>IF(L5="","",COUNTIFS(Summary!$E$5:$E$241,L5,Summary!$D$5:$D$241,"&gt;="&amp;$A21,Summary!$D$5:$D$241,"&lt;"&amp;$A21+7))</f>
        <v>0</v>
      </c>
      <c r="M21">
        <f>IF(M5="","",COUNTIFS(Summary!$E$5:$E$241,M5,Summary!$D$5:$D$241,"&gt;="&amp;$A21,Summary!$D$5:$D$241,"&lt;"&amp;$A21+7))</f>
        <v>2</v>
      </c>
      <c r="N21">
        <f>IF(N5="","",COUNTIFS(Summary!$E$5:$E$241,N5,Summary!$D$5:$D$241,"&gt;="&amp;$A21,Summary!$D$5:$D$241,"&lt;"&amp;$A21+7))</f>
        <v>0</v>
      </c>
      <c r="O21">
        <f>IF(O5="","",COUNTIFS(Summary!$E$5:$E$241,O5,Summary!$D$5:$D$241,"&gt;="&amp;$A21,Summary!$D$5:$D$241,"&lt;"&amp;$A21+7))</f>
        <v>1</v>
      </c>
      <c r="P21">
        <f>IF(P5="","",COUNTIFS(Summary!$E$5:$E$241,P5,Summary!$D$5:$D$241,"&gt;="&amp;$A21,Summary!$D$5:$D$241,"&lt;"&amp;$A21+7))</f>
        <v>0</v>
      </c>
      <c r="Q21">
        <f>IF(Q5="","",COUNTIFS(Summary!$E$5:$E$241,Q5,Summary!$D$5:$D$241,"&gt;="&amp;$A21,Summary!$D$5:$D$241,"&lt;"&amp;$A21+7))</f>
        <v>2</v>
      </c>
      <c r="R21">
        <f>IF(R5="","",COUNTIFS(Summary!$E$5:$E$241,R5,Summary!$D$5:$D$241,"&gt;="&amp;$A21,Summary!$D$5:$D$241,"&lt;"&amp;$A21+7))</f>
        <v>0</v>
      </c>
      <c r="S21">
        <f>IF(S5="","",COUNTIFS(Summary!$E$5:$E$241,S5,Summary!$D$5:$D$241,"&gt;="&amp;$A21,Summary!$D$5:$D$241,"&lt;"&amp;$A21+7))</f>
        <v>1</v>
      </c>
      <c r="T21">
        <f>IF(T5="","",COUNTIFS(Summary!$E$5:$E$241,T5,Summary!$D$5:$D$241,"&gt;="&amp;$A21,Summary!$D$5:$D$241,"&lt;"&amp;$A21+7))</f>
        <v>0</v>
      </c>
      <c r="U21">
        <f>IF(U5="","",COUNTIFS(Summary!$E$5:$E$241,U5,Summary!$D$5:$D$241,"&gt;="&amp;$A21,Summary!$D$5:$D$241,"&lt;"&amp;$A21+7))</f>
        <v>0</v>
      </c>
      <c r="V21">
        <f>IF(V5="","",COUNTIFS(Summary!$E$5:$E$241,V5,Summary!$D$5:$D$241,"&gt;="&amp;$A21,Summary!$D$5:$D$241,"&lt;"&amp;$A21+7))</f>
        <v>0</v>
      </c>
      <c r="W21">
        <f>IF(W5="","",COUNTIFS(Summary!$E$5:$E$241,W5,Summary!$D$5:$D$241,"&gt;="&amp;$A21,Summary!$D$5:$D$241,"&lt;"&amp;$A21+7))</f>
        <v>0</v>
      </c>
      <c r="X21">
        <f>IF(X5="","",COUNTIFS(Summary!$E$5:$E$241,X5,Summary!$D$5:$D$241,"&gt;="&amp;$A21,Summary!$D$5:$D$241,"&lt;"&amp;$A21+7))</f>
        <v>0</v>
      </c>
      <c r="Y21">
        <f>IF(Y5="","",COUNTIFS(Summary!$E$5:$E$241,Y5,Summary!$D$5:$D$241,"&gt;="&amp;$A21,Summary!$D$5:$D$241,"&lt;"&amp;$A21+7))</f>
        <v>0</v>
      </c>
      <c r="Z21">
        <f>IF(Z5="","",COUNTIFS(Summary!$E$5:$E$241,Z5,Summary!$D$5:$D$241,"&gt;="&amp;$A21,Summary!$D$5:$D$241,"&lt;"&amp;$A21+7))</f>
        <v>0</v>
      </c>
      <c r="AA21">
        <f>IF(AA5="","",COUNTIFS(Summary!$E$5:$E$241,AA5,Summary!$D$5:$D$241,"&gt;="&amp;$A21,Summary!$D$5:$D$241,"&lt;"&amp;$A21+7))</f>
        <v>0</v>
      </c>
      <c r="AB21">
        <f>IF(AB5="","",COUNTIFS(Summary!$E$5:$E$241,AB5,Summary!$D$5:$D$241,"&gt;="&amp;$A21,Summary!$D$5:$D$241,"&lt;"&amp;$A21+7))</f>
        <v>0</v>
      </c>
      <c r="AC21">
        <f>IF(AC5="","",COUNTIFS(Summary!$E$5:$E$241,AC5,Summary!$D$5:$D$241,"&gt;="&amp;$A21,Summary!$D$5:$D$241,"&lt;"&amp;$A21+7))</f>
        <v>0</v>
      </c>
      <c r="AD21">
        <f>IF(AD5="","",COUNTIFS(Summary!$E$5:$E$241,AD5,Summary!$D$5:$D$241,"&gt;="&amp;$A21,Summary!$D$5:$D$241,"&lt;"&amp;$A21+7))</f>
        <v>0</v>
      </c>
      <c r="AE21">
        <f>IF(AE5="","",COUNTIFS(Summary!$E$5:$E$241,AE5,Summary!$D$5:$D$241,"&gt;="&amp;$A21,Summary!$D$5:$D$241,"&lt;"&amp;$A21+7))</f>
        <v>0</v>
      </c>
      <c r="AF21">
        <f>IF(AF5="","",COUNTIFS(Summary!$E$5:$E$241,AF5,Summary!$D$5:$D$241,"&gt;="&amp;$A21,Summary!$D$5:$D$241,"&lt;"&amp;$A21+7))</f>
        <v>0</v>
      </c>
      <c r="AG21">
        <f>IF(AG5="","",COUNTIFS(Summary!$E$5:$E$241,AG5,Summary!$D$5:$D$241,"&gt;="&amp;$A21,Summary!$D$5:$D$241,"&lt;"&amp;$A21+7))</f>
        <v>0</v>
      </c>
      <c r="AH21">
        <f>IF(AH5="","",COUNTIFS(Summary!$E$5:$E$241,AH5,Summary!$D$5:$D$241,"&gt;="&amp;$A21,Summary!$D$5:$D$241,"&lt;"&amp;$A21+7))</f>
        <v>0</v>
      </c>
      <c r="AI21">
        <f>IF(AI5="","",COUNTIFS(Summary!$E$5:$E$241,AI5,Summary!$D$5:$D$241,"&gt;="&amp;$A21,Summary!$D$5:$D$241,"&lt;"&amp;$A21+7))</f>
        <v>0</v>
      </c>
      <c r="AJ21">
        <f>IF(AJ5="","",COUNTIFS(Summary!$E$5:$E$241,AJ5,Summary!$D$5:$D$241,"&gt;="&amp;$A21,Summary!$D$5:$D$241,"&lt;"&amp;$A21+7))</f>
        <v>0</v>
      </c>
      <c r="AK21">
        <f>IF(AK5="","",COUNTIFS(Summary!$E$5:$E$241,AK5,Summary!$D$5:$D$241,"&gt;="&amp;$A21,Summary!$D$5:$D$241,"&lt;"&amp;$A21+7))</f>
        <v>0</v>
      </c>
      <c r="AL21">
        <f>IF(AL5="","",COUNTIFS(Summary!$E$5:$E$241,AL5,Summary!$D$5:$D$241,"&gt;="&amp;$A21,Summary!$D$5:$D$241,"&lt;"&amp;$A21+7))</f>
        <v>0</v>
      </c>
      <c r="AM21">
        <f>IF(AM5="","",COUNTIFS(Summary!$E$5:$E$241,AM5,Summary!$D$5:$D$241,"&gt;="&amp;$A21,Summary!$D$5:$D$241,"&lt;"&amp;$A21+7))</f>
        <v>0</v>
      </c>
      <c r="AN21">
        <f>IF(AN5="","",COUNTIFS(Summary!$E$5:$E$241,AN5,Summary!$D$5:$D$241,"&gt;="&amp;$A21,Summary!$D$5:$D$241,"&lt;"&amp;$A21+7))</f>
        <v>0</v>
      </c>
      <c r="AO21">
        <f>IF(AO5="","",COUNTIFS(Summary!$E$5:$E$241,AO5,Summary!$D$5:$D$241,"&gt;="&amp;$A21,Summary!$D$5:$D$241,"&lt;"&amp;$A21+7))</f>
        <v>0</v>
      </c>
      <c r="AP21">
        <f>IF(AP5="","",COUNTIFS(Summary!$E$5:$E$241,AP5,Summary!$D$5:$D$241,"&gt;="&amp;$A21,Summary!$D$5:$D$241,"&lt;"&amp;$A21+7))</f>
        <v>0</v>
      </c>
      <c r="AQ21">
        <f>IF(AQ5="","",COUNTIFS(Summary!$E$5:$E$241,AQ5,Summary!$D$5:$D$241,"&gt;="&amp;$A21,Summary!$D$5:$D$241,"&lt;"&amp;$A21+7))</f>
        <v>0</v>
      </c>
      <c r="AR21">
        <f>IF(AR5="","",COUNTIFS(Summary!$E$5:$E$241,AR5,Summary!$D$5:$D$241,"&gt;="&amp;$A21,Summary!$D$5:$D$241,"&lt;"&amp;$A21+7))</f>
        <v>0</v>
      </c>
      <c r="AS21">
        <f>IF(AS5="","",COUNTIFS(Summary!$E$5:$E$241,AS5,Summary!$D$5:$D$241,"&gt;="&amp;$A21,Summary!$D$5:$D$241,"&lt;"&amp;$A21+7))</f>
        <v>0</v>
      </c>
      <c r="AT21">
        <f>IF(AT5="","",COUNTIFS(Summary!$E$5:$E$241,AT5,Summary!$D$5:$D$241,"&gt;="&amp;$A21,Summary!$D$5:$D$241,"&lt;"&amp;$A21+7))</f>
        <v>0</v>
      </c>
      <c r="AU21">
        <f>IF(AU5="","",COUNTIFS(Summary!$E$5:$E$241,AU5,Summary!$D$5:$D$241,"&gt;="&amp;$A21,Summary!$D$5:$D$241,"&lt;"&amp;$A21+7))</f>
        <v>0</v>
      </c>
      <c r="AV21">
        <f>IF(AV5="","",COUNTIFS(Summary!$E$5:$E$241,AV5,Summary!$D$5:$D$241,"&gt;="&amp;$A21,Summary!$D$5:$D$241,"&lt;"&amp;$A21+7))</f>
        <v>0</v>
      </c>
      <c r="AW21">
        <f>IF(AW5="","",COUNTIFS(Summary!$E$5:$E$241,AW5,Summary!$D$5:$D$241,"&gt;="&amp;$A21,Summary!$D$5:$D$241,"&lt;"&amp;$A21+7))</f>
        <v>0</v>
      </c>
      <c r="AX21">
        <f>IF(AX5="","",COUNTIFS(Summary!$E$5:$E$241,AX5,Summary!$D$5:$D$241,"&gt;="&amp;$A21,Summary!$D$5:$D$241,"&lt;"&amp;$A21+7))</f>
        <v>0</v>
      </c>
      <c r="AY21">
        <f>IF(AY5="","",COUNTIFS(Summary!$E$5:$E$241,AY5,Summary!$D$5:$D$241,"&gt;="&amp;$A21,Summary!$D$5:$D$241,"&lt;"&amp;$A21+7))</f>
        <v>0</v>
      </c>
      <c r="AZ21">
        <f>IF(AZ5="","",COUNTIFS(Summary!$E$5:$E$241,AZ5,Summary!$D$5:$D$241,"&gt;="&amp;$A21,Summary!$D$5:$D$241,"&lt;"&amp;$A21+7))</f>
        <v>0</v>
      </c>
      <c r="BA21">
        <f>IF(BA5="","",COUNTIFS(Summary!$E$5:$E$241,BA5,Summary!$D$5:$D$241,"&gt;="&amp;$A21,Summary!$D$5:$D$241,"&lt;"&amp;$A21+7))</f>
        <v>0</v>
      </c>
      <c r="BB21">
        <f>IF(BB5="","",COUNTIFS(Summary!$E$5:$E$241,BB5,Summary!$D$5:$D$241,"&gt;="&amp;$A21,Summary!$D$5:$D$241,"&lt;"&amp;$A21+7))</f>
        <v>0</v>
      </c>
      <c r="BC21">
        <f>IF(BC5="","",COUNTIFS(Summary!$E$5:$E$241,BC5,Summary!$D$5:$D$241,"&gt;="&amp;$A21,Summary!$D$5:$D$241,"&lt;"&amp;$A21+7))</f>
        <v>0</v>
      </c>
      <c r="BD21">
        <f>IF(BD5="","",COUNTIFS(Summary!$E$5:$E$241,BD5,Summary!$D$5:$D$241,"&gt;="&amp;$A21,Summary!$D$5:$D$241,"&lt;"&amp;$A21+7))</f>
        <v>0</v>
      </c>
      <c r="BE21">
        <f>IF(BE5="","",COUNTIFS(Summary!$E$5:$E$241,BE5,Summary!$D$5:$D$241,"&gt;="&amp;$A21,Summary!$D$5:$D$241,"&lt;"&amp;$A21+7))</f>
        <v>0</v>
      </c>
      <c r="BF21" s="28">
        <f>IF(BF5="","",COUNTIFS(Summary!$E$5:$E$241,BF5,Summary!$D$5:$D$241,"&gt;="&amp;$A21,Summary!$D$5:$D$241,"&lt;"&amp;$A21+7))</f>
        <v>0</v>
      </c>
    </row>
    <row r="22" spans="1:58">
      <c r="A22" s="18">
        <f t="shared" si="1"/>
        <v>46195</v>
      </c>
      <c r="B22" s="2" t="str">
        <f t="shared" si="0"/>
        <v>Jun 22</v>
      </c>
      <c r="C22">
        <f>IF(C5="","",COUNTIFS(Summary!$E$5:$E$241,C5,Summary!$D$5:$D$241,"&gt;="&amp;$A22,Summary!$D$5:$D$241,"&lt;"&amp;$A22+7))</f>
        <v>0</v>
      </c>
      <c r="D22">
        <f>IF(D5="","",COUNTIFS(Summary!$E$5:$E$241,D5,Summary!$D$5:$D$241,"&gt;="&amp;$A22,Summary!$D$5:$D$241,"&lt;"&amp;$A22+7))</f>
        <v>0</v>
      </c>
      <c r="E22">
        <f>IF(E5="","",COUNTIFS(Summary!$E$5:$E$241,E5,Summary!$D$5:$D$241,"&gt;="&amp;$A22,Summary!$D$5:$D$241,"&lt;"&amp;$A22+7))</f>
        <v>0</v>
      </c>
      <c r="F22">
        <f>IF(F5="","",COUNTIFS(Summary!$E$5:$E$241,F5,Summary!$D$5:$D$241,"&gt;="&amp;$A22,Summary!$D$5:$D$241,"&lt;"&amp;$A22+7))</f>
        <v>0</v>
      </c>
      <c r="G22">
        <f>IF(G5="","",COUNTIFS(Summary!$E$5:$E$241,G5,Summary!$D$5:$D$241,"&gt;="&amp;$A22,Summary!$D$5:$D$241,"&lt;"&amp;$A22+7))</f>
        <v>0</v>
      </c>
      <c r="H22">
        <f>IF(H5="","",COUNTIFS(Summary!$E$5:$E$241,H5,Summary!$D$5:$D$241,"&gt;="&amp;$A22,Summary!$D$5:$D$241,"&lt;"&amp;$A22+7))</f>
        <v>0</v>
      </c>
      <c r="I22">
        <f>IF(I5="","",COUNTIFS(Summary!$E$5:$E$241,I5,Summary!$D$5:$D$241,"&gt;="&amp;$A22,Summary!$D$5:$D$241,"&lt;"&amp;$A22+7))</f>
        <v>0</v>
      </c>
      <c r="J22">
        <f>IF(J5="","",COUNTIFS(Summary!$E$5:$E$241,J5,Summary!$D$5:$D$241,"&gt;="&amp;$A22,Summary!$D$5:$D$241,"&lt;"&amp;$A22+7))</f>
        <v>0</v>
      </c>
      <c r="K22">
        <f>IF(K5="","",COUNTIFS(Summary!$E$5:$E$241,K5,Summary!$D$5:$D$241,"&gt;="&amp;$A22,Summary!$D$5:$D$241,"&lt;"&amp;$A22+7))</f>
        <v>0</v>
      </c>
      <c r="L22">
        <f>IF(L5="","",COUNTIFS(Summary!$E$5:$E$241,L5,Summary!$D$5:$D$241,"&gt;="&amp;$A22,Summary!$D$5:$D$241,"&lt;"&amp;$A22+7))</f>
        <v>0</v>
      </c>
      <c r="M22">
        <f>IF(M5="","",COUNTIFS(Summary!$E$5:$E$241,M5,Summary!$D$5:$D$241,"&gt;="&amp;$A22,Summary!$D$5:$D$241,"&lt;"&amp;$A22+7))</f>
        <v>0</v>
      </c>
      <c r="N22">
        <f>IF(N5="","",COUNTIFS(Summary!$E$5:$E$241,N5,Summary!$D$5:$D$241,"&gt;="&amp;$A22,Summary!$D$5:$D$241,"&lt;"&amp;$A22+7))</f>
        <v>0</v>
      </c>
      <c r="O22">
        <f>IF(O5="","",COUNTIFS(Summary!$E$5:$E$241,O5,Summary!$D$5:$D$241,"&gt;="&amp;$A22,Summary!$D$5:$D$241,"&lt;"&amp;$A22+7))</f>
        <v>0</v>
      </c>
      <c r="P22">
        <f>IF(P5="","",COUNTIFS(Summary!$E$5:$E$241,P5,Summary!$D$5:$D$241,"&gt;="&amp;$A22,Summary!$D$5:$D$241,"&lt;"&amp;$A22+7))</f>
        <v>0</v>
      </c>
      <c r="Q22">
        <f>IF(Q5="","",COUNTIFS(Summary!$E$5:$E$241,Q5,Summary!$D$5:$D$241,"&gt;="&amp;$A22,Summary!$D$5:$D$241,"&lt;"&amp;$A22+7))</f>
        <v>2</v>
      </c>
      <c r="R22">
        <f>IF(R5="","",COUNTIFS(Summary!$E$5:$E$241,R5,Summary!$D$5:$D$241,"&gt;="&amp;$A22,Summary!$D$5:$D$241,"&lt;"&amp;$A22+7))</f>
        <v>0</v>
      </c>
      <c r="S22">
        <f>IF(S5="","",COUNTIFS(Summary!$E$5:$E$241,S5,Summary!$D$5:$D$241,"&gt;="&amp;$A22,Summary!$D$5:$D$241,"&lt;"&amp;$A22+7))</f>
        <v>2</v>
      </c>
      <c r="T22">
        <f>IF(T5="","",COUNTIFS(Summary!$E$5:$E$241,T5,Summary!$D$5:$D$241,"&gt;="&amp;$A22,Summary!$D$5:$D$241,"&lt;"&amp;$A22+7))</f>
        <v>0</v>
      </c>
      <c r="U22">
        <f>IF(U5="","",COUNTIFS(Summary!$E$5:$E$241,U5,Summary!$D$5:$D$241,"&gt;="&amp;$A22,Summary!$D$5:$D$241,"&lt;"&amp;$A22+7))</f>
        <v>0</v>
      </c>
      <c r="V22">
        <f>IF(V5="","",COUNTIFS(Summary!$E$5:$E$241,V5,Summary!$D$5:$D$241,"&gt;="&amp;$A22,Summary!$D$5:$D$241,"&lt;"&amp;$A22+7))</f>
        <v>0</v>
      </c>
      <c r="W22">
        <f>IF(W5="","",COUNTIFS(Summary!$E$5:$E$241,W5,Summary!$D$5:$D$241,"&gt;="&amp;$A22,Summary!$D$5:$D$241,"&lt;"&amp;$A22+7))</f>
        <v>0</v>
      </c>
      <c r="X22">
        <f>IF(X5="","",COUNTIFS(Summary!$E$5:$E$241,X5,Summary!$D$5:$D$241,"&gt;="&amp;$A22,Summary!$D$5:$D$241,"&lt;"&amp;$A22+7))</f>
        <v>0</v>
      </c>
      <c r="Y22">
        <f>IF(Y5="","",COUNTIFS(Summary!$E$5:$E$241,Y5,Summary!$D$5:$D$241,"&gt;="&amp;$A22,Summary!$D$5:$D$241,"&lt;"&amp;$A22+7))</f>
        <v>0</v>
      </c>
      <c r="Z22">
        <f>IF(Z5="","",COUNTIFS(Summary!$E$5:$E$241,Z5,Summary!$D$5:$D$241,"&gt;="&amp;$A22,Summary!$D$5:$D$241,"&lt;"&amp;$A22+7))</f>
        <v>0</v>
      </c>
      <c r="AA22">
        <f>IF(AA5="","",COUNTIFS(Summary!$E$5:$E$241,AA5,Summary!$D$5:$D$241,"&gt;="&amp;$A22,Summary!$D$5:$D$241,"&lt;"&amp;$A22+7))</f>
        <v>0</v>
      </c>
      <c r="AB22">
        <f>IF(AB5="","",COUNTIFS(Summary!$E$5:$E$241,AB5,Summary!$D$5:$D$241,"&gt;="&amp;$A22,Summary!$D$5:$D$241,"&lt;"&amp;$A22+7))</f>
        <v>0</v>
      </c>
      <c r="AC22">
        <f>IF(AC5="","",COUNTIFS(Summary!$E$5:$E$241,AC5,Summary!$D$5:$D$241,"&gt;="&amp;$A22,Summary!$D$5:$D$241,"&lt;"&amp;$A22+7))</f>
        <v>0</v>
      </c>
      <c r="AD22">
        <f>IF(AD5="","",COUNTIFS(Summary!$E$5:$E$241,AD5,Summary!$D$5:$D$241,"&gt;="&amp;$A22,Summary!$D$5:$D$241,"&lt;"&amp;$A22+7))</f>
        <v>0</v>
      </c>
      <c r="AE22">
        <f>IF(AE5="","",COUNTIFS(Summary!$E$5:$E$241,AE5,Summary!$D$5:$D$241,"&gt;="&amp;$A22,Summary!$D$5:$D$241,"&lt;"&amp;$A22+7))</f>
        <v>0</v>
      </c>
      <c r="AF22">
        <f>IF(AF5="","",COUNTIFS(Summary!$E$5:$E$241,AF5,Summary!$D$5:$D$241,"&gt;="&amp;$A22,Summary!$D$5:$D$241,"&lt;"&amp;$A22+7))</f>
        <v>0</v>
      </c>
      <c r="AG22">
        <f>IF(AG5="","",COUNTIFS(Summary!$E$5:$E$241,AG5,Summary!$D$5:$D$241,"&gt;="&amp;$A22,Summary!$D$5:$D$241,"&lt;"&amp;$A22+7))</f>
        <v>0</v>
      </c>
      <c r="AH22">
        <f>IF(AH5="","",COUNTIFS(Summary!$E$5:$E$241,AH5,Summary!$D$5:$D$241,"&gt;="&amp;$A22,Summary!$D$5:$D$241,"&lt;"&amp;$A22+7))</f>
        <v>0</v>
      </c>
      <c r="AI22">
        <f>IF(AI5="","",COUNTIFS(Summary!$E$5:$E$241,AI5,Summary!$D$5:$D$241,"&gt;="&amp;$A22,Summary!$D$5:$D$241,"&lt;"&amp;$A22+7))</f>
        <v>0</v>
      </c>
      <c r="AJ22">
        <f>IF(AJ5="","",COUNTIFS(Summary!$E$5:$E$241,AJ5,Summary!$D$5:$D$241,"&gt;="&amp;$A22,Summary!$D$5:$D$241,"&lt;"&amp;$A22+7))</f>
        <v>0</v>
      </c>
      <c r="AK22">
        <f>IF(AK5="","",COUNTIFS(Summary!$E$5:$E$241,AK5,Summary!$D$5:$D$241,"&gt;="&amp;$A22,Summary!$D$5:$D$241,"&lt;"&amp;$A22+7))</f>
        <v>0</v>
      </c>
      <c r="AL22">
        <f>IF(AL5="","",COUNTIFS(Summary!$E$5:$E$241,AL5,Summary!$D$5:$D$241,"&gt;="&amp;$A22,Summary!$D$5:$D$241,"&lt;"&amp;$A22+7))</f>
        <v>0</v>
      </c>
      <c r="AM22">
        <f>IF(AM5="","",COUNTIFS(Summary!$E$5:$E$241,AM5,Summary!$D$5:$D$241,"&gt;="&amp;$A22,Summary!$D$5:$D$241,"&lt;"&amp;$A22+7))</f>
        <v>0</v>
      </c>
      <c r="AN22">
        <f>IF(AN5="","",COUNTIFS(Summary!$E$5:$E$241,AN5,Summary!$D$5:$D$241,"&gt;="&amp;$A22,Summary!$D$5:$D$241,"&lt;"&amp;$A22+7))</f>
        <v>0</v>
      </c>
      <c r="AO22">
        <f>IF(AO5="","",COUNTIFS(Summary!$E$5:$E$241,AO5,Summary!$D$5:$D$241,"&gt;="&amp;$A22,Summary!$D$5:$D$241,"&lt;"&amp;$A22+7))</f>
        <v>0</v>
      </c>
      <c r="AP22">
        <f>IF(AP5="","",COUNTIFS(Summary!$E$5:$E$241,AP5,Summary!$D$5:$D$241,"&gt;="&amp;$A22,Summary!$D$5:$D$241,"&lt;"&amp;$A22+7))</f>
        <v>0</v>
      </c>
      <c r="AQ22">
        <f>IF(AQ5="","",COUNTIFS(Summary!$E$5:$E$241,AQ5,Summary!$D$5:$D$241,"&gt;="&amp;$A22,Summary!$D$5:$D$241,"&lt;"&amp;$A22+7))</f>
        <v>0</v>
      </c>
      <c r="AR22">
        <f>IF(AR5="","",COUNTIFS(Summary!$E$5:$E$241,AR5,Summary!$D$5:$D$241,"&gt;="&amp;$A22,Summary!$D$5:$D$241,"&lt;"&amp;$A22+7))</f>
        <v>0</v>
      </c>
      <c r="AS22">
        <f>IF(AS5="","",COUNTIFS(Summary!$E$5:$E$241,AS5,Summary!$D$5:$D$241,"&gt;="&amp;$A22,Summary!$D$5:$D$241,"&lt;"&amp;$A22+7))</f>
        <v>0</v>
      </c>
      <c r="AT22">
        <f>IF(AT5="","",COUNTIFS(Summary!$E$5:$E$241,AT5,Summary!$D$5:$D$241,"&gt;="&amp;$A22,Summary!$D$5:$D$241,"&lt;"&amp;$A22+7))</f>
        <v>0</v>
      </c>
      <c r="AU22">
        <f>IF(AU5="","",COUNTIFS(Summary!$E$5:$E$241,AU5,Summary!$D$5:$D$241,"&gt;="&amp;$A22,Summary!$D$5:$D$241,"&lt;"&amp;$A22+7))</f>
        <v>0</v>
      </c>
      <c r="AV22">
        <f>IF(AV5="","",COUNTIFS(Summary!$E$5:$E$241,AV5,Summary!$D$5:$D$241,"&gt;="&amp;$A22,Summary!$D$5:$D$241,"&lt;"&amp;$A22+7))</f>
        <v>0</v>
      </c>
      <c r="AW22">
        <f>IF(AW5="","",COUNTIFS(Summary!$E$5:$E$241,AW5,Summary!$D$5:$D$241,"&gt;="&amp;$A22,Summary!$D$5:$D$241,"&lt;"&amp;$A22+7))</f>
        <v>0</v>
      </c>
      <c r="AX22">
        <f>IF(AX5="","",COUNTIFS(Summary!$E$5:$E$241,AX5,Summary!$D$5:$D$241,"&gt;="&amp;$A22,Summary!$D$5:$D$241,"&lt;"&amp;$A22+7))</f>
        <v>0</v>
      </c>
      <c r="AY22">
        <f>IF(AY5="","",COUNTIFS(Summary!$E$5:$E$241,AY5,Summary!$D$5:$D$241,"&gt;="&amp;$A22,Summary!$D$5:$D$241,"&lt;"&amp;$A22+7))</f>
        <v>0</v>
      </c>
      <c r="AZ22">
        <f>IF(AZ5="","",COUNTIFS(Summary!$E$5:$E$241,AZ5,Summary!$D$5:$D$241,"&gt;="&amp;$A22,Summary!$D$5:$D$241,"&lt;"&amp;$A22+7))</f>
        <v>0</v>
      </c>
      <c r="BA22">
        <f>IF(BA5="","",COUNTIFS(Summary!$E$5:$E$241,BA5,Summary!$D$5:$D$241,"&gt;="&amp;$A22,Summary!$D$5:$D$241,"&lt;"&amp;$A22+7))</f>
        <v>0</v>
      </c>
      <c r="BB22">
        <f>IF(BB5="","",COUNTIFS(Summary!$E$5:$E$241,BB5,Summary!$D$5:$D$241,"&gt;="&amp;$A22,Summary!$D$5:$D$241,"&lt;"&amp;$A22+7))</f>
        <v>0</v>
      </c>
      <c r="BC22">
        <f>IF(BC5="","",COUNTIFS(Summary!$E$5:$E$241,BC5,Summary!$D$5:$D$241,"&gt;="&amp;$A22,Summary!$D$5:$D$241,"&lt;"&amp;$A22+7))</f>
        <v>0</v>
      </c>
      <c r="BD22">
        <f>IF(BD5="","",COUNTIFS(Summary!$E$5:$E$241,BD5,Summary!$D$5:$D$241,"&gt;="&amp;$A22,Summary!$D$5:$D$241,"&lt;"&amp;$A22+7))</f>
        <v>0</v>
      </c>
      <c r="BE22">
        <f>IF(BE5="","",COUNTIFS(Summary!$E$5:$E$241,BE5,Summary!$D$5:$D$241,"&gt;="&amp;$A22,Summary!$D$5:$D$241,"&lt;"&amp;$A22+7))</f>
        <v>0</v>
      </c>
      <c r="BF22" s="28">
        <f>IF(BF5="","",COUNTIFS(Summary!$E$5:$E$241,BF5,Summary!$D$5:$D$241,"&gt;="&amp;$A22,Summary!$D$5:$D$241,"&lt;"&amp;$A22+7))</f>
        <v>0</v>
      </c>
    </row>
    <row r="23" spans="1:58">
      <c r="A23" s="18">
        <f t="shared" si="1"/>
        <v>46202</v>
      </c>
      <c r="B23" s="2" t="str">
        <f t="shared" si="0"/>
        <v>Jun 29</v>
      </c>
      <c r="C23">
        <f>IF(C5="","",COUNTIFS(Summary!$E$5:$E$241,C5,Summary!$D$5:$D$241,"&gt;="&amp;$A23,Summary!$D$5:$D$241,"&lt;"&amp;$A23+7))</f>
        <v>0</v>
      </c>
      <c r="D23">
        <f>IF(D5="","",COUNTIFS(Summary!$E$5:$E$241,D5,Summary!$D$5:$D$241,"&gt;="&amp;$A23,Summary!$D$5:$D$241,"&lt;"&amp;$A23+7))</f>
        <v>0</v>
      </c>
      <c r="E23">
        <f>IF(E5="","",COUNTIFS(Summary!$E$5:$E$241,E5,Summary!$D$5:$D$241,"&gt;="&amp;$A23,Summary!$D$5:$D$241,"&lt;"&amp;$A23+7))</f>
        <v>0</v>
      </c>
      <c r="F23">
        <f>IF(F5="","",COUNTIFS(Summary!$E$5:$E$241,F5,Summary!$D$5:$D$241,"&gt;="&amp;$A23,Summary!$D$5:$D$241,"&lt;"&amp;$A23+7))</f>
        <v>0</v>
      </c>
      <c r="G23">
        <f>IF(G5="","",COUNTIFS(Summary!$E$5:$E$241,G5,Summary!$D$5:$D$241,"&gt;="&amp;$A23,Summary!$D$5:$D$241,"&lt;"&amp;$A23+7))</f>
        <v>1</v>
      </c>
      <c r="H23">
        <f>IF(H5="","",COUNTIFS(Summary!$E$5:$E$241,H5,Summary!$D$5:$D$241,"&gt;="&amp;$A23,Summary!$D$5:$D$241,"&lt;"&amp;$A23+7))</f>
        <v>0</v>
      </c>
      <c r="I23">
        <f>IF(I5="","",COUNTIFS(Summary!$E$5:$E$241,I5,Summary!$D$5:$D$241,"&gt;="&amp;$A23,Summary!$D$5:$D$241,"&lt;"&amp;$A23+7))</f>
        <v>0</v>
      </c>
      <c r="J23">
        <f>IF(J5="","",COUNTIFS(Summary!$E$5:$E$241,J5,Summary!$D$5:$D$241,"&gt;="&amp;$A23,Summary!$D$5:$D$241,"&lt;"&amp;$A23+7))</f>
        <v>0</v>
      </c>
      <c r="K23">
        <f>IF(K5="","",COUNTIFS(Summary!$E$5:$E$241,K5,Summary!$D$5:$D$241,"&gt;="&amp;$A23,Summary!$D$5:$D$241,"&lt;"&amp;$A23+7))</f>
        <v>1</v>
      </c>
      <c r="L23">
        <f>IF(L5="","",COUNTIFS(Summary!$E$5:$E$241,L5,Summary!$D$5:$D$241,"&gt;="&amp;$A23,Summary!$D$5:$D$241,"&lt;"&amp;$A23+7))</f>
        <v>1</v>
      </c>
      <c r="M23">
        <f>IF(M5="","",COUNTIFS(Summary!$E$5:$E$241,M5,Summary!$D$5:$D$241,"&gt;="&amp;$A23,Summary!$D$5:$D$241,"&lt;"&amp;$A23+7))</f>
        <v>0</v>
      </c>
      <c r="N23">
        <f>IF(N5="","",COUNTIFS(Summary!$E$5:$E$241,N5,Summary!$D$5:$D$241,"&gt;="&amp;$A23,Summary!$D$5:$D$241,"&lt;"&amp;$A23+7))</f>
        <v>0</v>
      </c>
      <c r="O23">
        <f>IF(O5="","",COUNTIFS(Summary!$E$5:$E$241,O5,Summary!$D$5:$D$241,"&gt;="&amp;$A23,Summary!$D$5:$D$241,"&lt;"&amp;$A23+7))</f>
        <v>0</v>
      </c>
      <c r="P23">
        <f>IF(P5="","",COUNTIFS(Summary!$E$5:$E$241,P5,Summary!$D$5:$D$241,"&gt;="&amp;$A23,Summary!$D$5:$D$241,"&lt;"&amp;$A23+7))</f>
        <v>0</v>
      </c>
      <c r="Q23">
        <f>IF(Q5="","",COUNTIFS(Summary!$E$5:$E$241,Q5,Summary!$D$5:$D$241,"&gt;="&amp;$A23,Summary!$D$5:$D$241,"&lt;"&amp;$A23+7))</f>
        <v>0</v>
      </c>
      <c r="R23">
        <f>IF(R5="","",COUNTIFS(Summary!$E$5:$E$241,R5,Summary!$D$5:$D$241,"&gt;="&amp;$A23,Summary!$D$5:$D$241,"&lt;"&amp;$A23+7))</f>
        <v>0</v>
      </c>
      <c r="S23">
        <f>IF(S5="","",COUNTIFS(Summary!$E$5:$E$241,S5,Summary!$D$5:$D$241,"&gt;="&amp;$A23,Summary!$D$5:$D$241,"&lt;"&amp;$A23+7))</f>
        <v>0</v>
      </c>
      <c r="T23">
        <f>IF(T5="","",COUNTIFS(Summary!$E$5:$E$241,T5,Summary!$D$5:$D$241,"&gt;="&amp;$A23,Summary!$D$5:$D$241,"&lt;"&amp;$A23+7))</f>
        <v>0</v>
      </c>
      <c r="U23">
        <f>IF(U5="","",COUNTIFS(Summary!$E$5:$E$241,U5,Summary!$D$5:$D$241,"&gt;="&amp;$A23,Summary!$D$5:$D$241,"&lt;"&amp;$A23+7))</f>
        <v>0</v>
      </c>
      <c r="V23">
        <f>IF(V5="","",COUNTIFS(Summary!$E$5:$E$241,V5,Summary!$D$5:$D$241,"&gt;="&amp;$A23,Summary!$D$5:$D$241,"&lt;"&amp;$A23+7))</f>
        <v>0</v>
      </c>
      <c r="W23">
        <f>IF(W5="","",COUNTIFS(Summary!$E$5:$E$241,W5,Summary!$D$5:$D$241,"&gt;="&amp;$A23,Summary!$D$5:$D$241,"&lt;"&amp;$A23+7))</f>
        <v>0</v>
      </c>
      <c r="X23">
        <f>IF(X5="","",COUNTIFS(Summary!$E$5:$E$241,X5,Summary!$D$5:$D$241,"&gt;="&amp;$A23,Summary!$D$5:$D$241,"&lt;"&amp;$A23+7))</f>
        <v>0</v>
      </c>
      <c r="Y23">
        <f>IF(Y5="","",COUNTIFS(Summary!$E$5:$E$241,Y5,Summary!$D$5:$D$241,"&gt;="&amp;$A23,Summary!$D$5:$D$241,"&lt;"&amp;$A23+7))</f>
        <v>0</v>
      </c>
      <c r="Z23">
        <f>IF(Z5="","",COUNTIFS(Summary!$E$5:$E$241,Z5,Summary!$D$5:$D$241,"&gt;="&amp;$A23,Summary!$D$5:$D$241,"&lt;"&amp;$A23+7))</f>
        <v>1</v>
      </c>
      <c r="AA23">
        <f>IF(AA5="","",COUNTIFS(Summary!$E$5:$E$241,AA5,Summary!$D$5:$D$241,"&gt;="&amp;$A23,Summary!$D$5:$D$241,"&lt;"&amp;$A23+7))</f>
        <v>0</v>
      </c>
      <c r="AB23">
        <f>IF(AB5="","",COUNTIFS(Summary!$E$5:$E$241,AB5,Summary!$D$5:$D$241,"&gt;="&amp;$A23,Summary!$D$5:$D$241,"&lt;"&amp;$A23+7))</f>
        <v>0</v>
      </c>
      <c r="AC23">
        <f>IF(AC5="","",COUNTIFS(Summary!$E$5:$E$241,AC5,Summary!$D$5:$D$241,"&gt;="&amp;$A23,Summary!$D$5:$D$241,"&lt;"&amp;$A23+7))</f>
        <v>0</v>
      </c>
      <c r="AD23">
        <f>IF(AD5="","",COUNTIFS(Summary!$E$5:$E$241,AD5,Summary!$D$5:$D$241,"&gt;="&amp;$A23,Summary!$D$5:$D$241,"&lt;"&amp;$A23+7))</f>
        <v>0</v>
      </c>
      <c r="AE23">
        <f>IF(AE5="","",COUNTIFS(Summary!$E$5:$E$241,AE5,Summary!$D$5:$D$241,"&gt;="&amp;$A23,Summary!$D$5:$D$241,"&lt;"&amp;$A23+7))</f>
        <v>0</v>
      </c>
      <c r="AF23">
        <f>IF(AF5="","",COUNTIFS(Summary!$E$5:$E$241,AF5,Summary!$D$5:$D$241,"&gt;="&amp;$A23,Summary!$D$5:$D$241,"&lt;"&amp;$A23+7))</f>
        <v>0</v>
      </c>
      <c r="AG23">
        <f>IF(AG5="","",COUNTIFS(Summary!$E$5:$E$241,AG5,Summary!$D$5:$D$241,"&gt;="&amp;$A23,Summary!$D$5:$D$241,"&lt;"&amp;$A23+7))</f>
        <v>0</v>
      </c>
      <c r="AH23">
        <f>IF(AH5="","",COUNTIFS(Summary!$E$5:$E$241,AH5,Summary!$D$5:$D$241,"&gt;="&amp;$A23,Summary!$D$5:$D$241,"&lt;"&amp;$A23+7))</f>
        <v>0</v>
      </c>
      <c r="AI23">
        <f>IF(AI5="","",COUNTIFS(Summary!$E$5:$E$241,AI5,Summary!$D$5:$D$241,"&gt;="&amp;$A23,Summary!$D$5:$D$241,"&lt;"&amp;$A23+7))</f>
        <v>0</v>
      </c>
      <c r="AJ23">
        <f>IF(AJ5="","",COUNTIFS(Summary!$E$5:$E$241,AJ5,Summary!$D$5:$D$241,"&gt;="&amp;$A23,Summary!$D$5:$D$241,"&lt;"&amp;$A23+7))</f>
        <v>0</v>
      </c>
      <c r="AK23">
        <f>IF(AK5="","",COUNTIFS(Summary!$E$5:$E$241,AK5,Summary!$D$5:$D$241,"&gt;="&amp;$A23,Summary!$D$5:$D$241,"&lt;"&amp;$A23+7))</f>
        <v>0</v>
      </c>
      <c r="AL23">
        <f>IF(AL5="","",COUNTIFS(Summary!$E$5:$E$241,AL5,Summary!$D$5:$D$241,"&gt;="&amp;$A23,Summary!$D$5:$D$241,"&lt;"&amp;$A23+7))</f>
        <v>0</v>
      </c>
      <c r="AM23">
        <f>IF(AM5="","",COUNTIFS(Summary!$E$5:$E$241,AM5,Summary!$D$5:$D$241,"&gt;="&amp;$A23,Summary!$D$5:$D$241,"&lt;"&amp;$A23+7))</f>
        <v>0</v>
      </c>
      <c r="AN23">
        <f>IF(AN5="","",COUNTIFS(Summary!$E$5:$E$241,AN5,Summary!$D$5:$D$241,"&gt;="&amp;$A23,Summary!$D$5:$D$241,"&lt;"&amp;$A23+7))</f>
        <v>0</v>
      </c>
      <c r="AO23">
        <f>IF(AO5="","",COUNTIFS(Summary!$E$5:$E$241,AO5,Summary!$D$5:$D$241,"&gt;="&amp;$A23,Summary!$D$5:$D$241,"&lt;"&amp;$A23+7))</f>
        <v>0</v>
      </c>
      <c r="AP23">
        <f>IF(AP5="","",COUNTIFS(Summary!$E$5:$E$241,AP5,Summary!$D$5:$D$241,"&gt;="&amp;$A23,Summary!$D$5:$D$241,"&lt;"&amp;$A23+7))</f>
        <v>0</v>
      </c>
      <c r="AQ23">
        <f>IF(AQ5="","",COUNTIFS(Summary!$E$5:$E$241,AQ5,Summary!$D$5:$D$241,"&gt;="&amp;$A23,Summary!$D$5:$D$241,"&lt;"&amp;$A23+7))</f>
        <v>0</v>
      </c>
      <c r="AR23">
        <f>IF(AR5="","",COUNTIFS(Summary!$E$5:$E$241,AR5,Summary!$D$5:$D$241,"&gt;="&amp;$A23,Summary!$D$5:$D$241,"&lt;"&amp;$A23+7))</f>
        <v>0</v>
      </c>
      <c r="AS23">
        <f>IF(AS5="","",COUNTIFS(Summary!$E$5:$E$241,AS5,Summary!$D$5:$D$241,"&gt;="&amp;$A23,Summary!$D$5:$D$241,"&lt;"&amp;$A23+7))</f>
        <v>0</v>
      </c>
      <c r="AT23">
        <f>IF(AT5="","",COUNTIFS(Summary!$E$5:$E$241,AT5,Summary!$D$5:$D$241,"&gt;="&amp;$A23,Summary!$D$5:$D$241,"&lt;"&amp;$A23+7))</f>
        <v>0</v>
      </c>
      <c r="AU23">
        <f>IF(AU5="","",COUNTIFS(Summary!$E$5:$E$241,AU5,Summary!$D$5:$D$241,"&gt;="&amp;$A23,Summary!$D$5:$D$241,"&lt;"&amp;$A23+7))</f>
        <v>0</v>
      </c>
      <c r="AV23">
        <f>IF(AV5="","",COUNTIFS(Summary!$E$5:$E$241,AV5,Summary!$D$5:$D$241,"&gt;="&amp;$A23,Summary!$D$5:$D$241,"&lt;"&amp;$A23+7))</f>
        <v>0</v>
      </c>
      <c r="AW23">
        <f>IF(AW5="","",COUNTIFS(Summary!$E$5:$E$241,AW5,Summary!$D$5:$D$241,"&gt;="&amp;$A23,Summary!$D$5:$D$241,"&lt;"&amp;$A23+7))</f>
        <v>0</v>
      </c>
      <c r="AX23">
        <f>IF(AX5="","",COUNTIFS(Summary!$E$5:$E$241,AX5,Summary!$D$5:$D$241,"&gt;="&amp;$A23,Summary!$D$5:$D$241,"&lt;"&amp;$A23+7))</f>
        <v>0</v>
      </c>
      <c r="AY23">
        <f>IF(AY5="","",COUNTIFS(Summary!$E$5:$E$241,AY5,Summary!$D$5:$D$241,"&gt;="&amp;$A23,Summary!$D$5:$D$241,"&lt;"&amp;$A23+7))</f>
        <v>0</v>
      </c>
      <c r="AZ23">
        <f>IF(AZ5="","",COUNTIFS(Summary!$E$5:$E$241,AZ5,Summary!$D$5:$D$241,"&gt;="&amp;$A23,Summary!$D$5:$D$241,"&lt;"&amp;$A23+7))</f>
        <v>0</v>
      </c>
      <c r="BA23">
        <f>IF(BA5="","",COUNTIFS(Summary!$E$5:$E$241,BA5,Summary!$D$5:$D$241,"&gt;="&amp;$A23,Summary!$D$5:$D$241,"&lt;"&amp;$A23+7))</f>
        <v>0</v>
      </c>
      <c r="BB23">
        <f>IF(BB5="","",COUNTIFS(Summary!$E$5:$E$241,BB5,Summary!$D$5:$D$241,"&gt;="&amp;$A23,Summary!$D$5:$D$241,"&lt;"&amp;$A23+7))</f>
        <v>0</v>
      </c>
      <c r="BC23">
        <f>IF(BC5="","",COUNTIFS(Summary!$E$5:$E$241,BC5,Summary!$D$5:$D$241,"&gt;="&amp;$A23,Summary!$D$5:$D$241,"&lt;"&amp;$A23+7))</f>
        <v>0</v>
      </c>
      <c r="BD23">
        <f>IF(BD5="","",COUNTIFS(Summary!$E$5:$E$241,BD5,Summary!$D$5:$D$241,"&gt;="&amp;$A23,Summary!$D$5:$D$241,"&lt;"&amp;$A23+7))</f>
        <v>0</v>
      </c>
      <c r="BE23">
        <f>IF(BE5="","",COUNTIFS(Summary!$E$5:$E$241,BE5,Summary!$D$5:$D$241,"&gt;="&amp;$A23,Summary!$D$5:$D$241,"&lt;"&amp;$A23+7))</f>
        <v>0</v>
      </c>
      <c r="BF23" s="28">
        <f>IF(BF5="","",COUNTIFS(Summary!$E$5:$E$241,BF5,Summary!$D$5:$D$241,"&gt;="&amp;$A23,Summary!$D$5:$D$241,"&lt;"&amp;$A23+7))</f>
        <v>0</v>
      </c>
    </row>
    <row r="24" spans="1:58">
      <c r="A24" s="18">
        <f t="shared" si="1"/>
        <v>46209</v>
      </c>
      <c r="B24" s="2" t="str">
        <f t="shared" si="0"/>
        <v>Jul 6</v>
      </c>
      <c r="C24">
        <f>IF(C5="","",COUNTIFS(Summary!$E$5:$E$241,C5,Summary!$D$5:$D$241,"&gt;="&amp;$A24,Summary!$D$5:$D$241,"&lt;"&amp;$A24+7))</f>
        <v>0</v>
      </c>
      <c r="D24">
        <f>IF(D5="","",COUNTIFS(Summary!$E$5:$E$241,D5,Summary!$D$5:$D$241,"&gt;="&amp;$A24,Summary!$D$5:$D$241,"&lt;"&amp;$A24+7))</f>
        <v>0</v>
      </c>
      <c r="E24">
        <f>IF(E5="","",COUNTIFS(Summary!$E$5:$E$241,E5,Summary!$D$5:$D$241,"&gt;="&amp;$A24,Summary!$D$5:$D$241,"&lt;"&amp;$A24+7))</f>
        <v>0</v>
      </c>
      <c r="F24">
        <f>IF(F5="","",COUNTIFS(Summary!$E$5:$E$241,F5,Summary!$D$5:$D$241,"&gt;="&amp;$A24,Summary!$D$5:$D$241,"&lt;"&amp;$A24+7))</f>
        <v>0</v>
      </c>
      <c r="G24">
        <f>IF(G5="","",COUNTIFS(Summary!$E$5:$E$241,G5,Summary!$D$5:$D$241,"&gt;="&amp;$A24,Summary!$D$5:$D$241,"&lt;"&amp;$A24+7))</f>
        <v>0</v>
      </c>
      <c r="H24">
        <f>IF(H5="","",COUNTIFS(Summary!$E$5:$E$241,H5,Summary!$D$5:$D$241,"&gt;="&amp;$A24,Summary!$D$5:$D$241,"&lt;"&amp;$A24+7))</f>
        <v>1</v>
      </c>
      <c r="I24">
        <f>IF(I5="","",COUNTIFS(Summary!$E$5:$E$241,I5,Summary!$D$5:$D$241,"&gt;="&amp;$A24,Summary!$D$5:$D$241,"&lt;"&amp;$A24+7))</f>
        <v>0</v>
      </c>
      <c r="J24">
        <f>IF(J5="","",COUNTIFS(Summary!$E$5:$E$241,J5,Summary!$D$5:$D$241,"&gt;="&amp;$A24,Summary!$D$5:$D$241,"&lt;"&amp;$A24+7))</f>
        <v>1</v>
      </c>
      <c r="K24">
        <f>IF(K5="","",COUNTIFS(Summary!$E$5:$E$241,K5,Summary!$D$5:$D$241,"&gt;="&amp;$A24,Summary!$D$5:$D$241,"&lt;"&amp;$A24+7))</f>
        <v>0</v>
      </c>
      <c r="L24">
        <f>IF(L5="","",COUNTIFS(Summary!$E$5:$E$241,L5,Summary!$D$5:$D$241,"&gt;="&amp;$A24,Summary!$D$5:$D$241,"&lt;"&amp;$A24+7))</f>
        <v>0</v>
      </c>
      <c r="M24">
        <f>IF(M5="","",COUNTIFS(Summary!$E$5:$E$241,M5,Summary!$D$5:$D$241,"&gt;="&amp;$A24,Summary!$D$5:$D$241,"&lt;"&amp;$A24+7))</f>
        <v>2</v>
      </c>
      <c r="N24">
        <f>IF(N5="","",COUNTIFS(Summary!$E$5:$E$241,N5,Summary!$D$5:$D$241,"&gt;="&amp;$A24,Summary!$D$5:$D$241,"&lt;"&amp;$A24+7))</f>
        <v>0</v>
      </c>
      <c r="O24">
        <f>IF(O5="","",COUNTIFS(Summary!$E$5:$E$241,O5,Summary!$D$5:$D$241,"&gt;="&amp;$A24,Summary!$D$5:$D$241,"&lt;"&amp;$A24+7))</f>
        <v>0</v>
      </c>
      <c r="P24">
        <f>IF(P5="","",COUNTIFS(Summary!$E$5:$E$241,P5,Summary!$D$5:$D$241,"&gt;="&amp;$A24,Summary!$D$5:$D$241,"&lt;"&amp;$A24+7))</f>
        <v>0</v>
      </c>
      <c r="Q24">
        <f>IF(Q5="","",COUNTIFS(Summary!$E$5:$E$241,Q5,Summary!$D$5:$D$241,"&gt;="&amp;$A24,Summary!$D$5:$D$241,"&lt;"&amp;$A24+7))</f>
        <v>0</v>
      </c>
      <c r="R24">
        <f>IF(R5="","",COUNTIFS(Summary!$E$5:$E$241,R5,Summary!$D$5:$D$241,"&gt;="&amp;$A24,Summary!$D$5:$D$241,"&lt;"&amp;$A24+7))</f>
        <v>0</v>
      </c>
      <c r="S24">
        <f>IF(S5="","",COUNTIFS(Summary!$E$5:$E$241,S5,Summary!$D$5:$D$241,"&gt;="&amp;$A24,Summary!$D$5:$D$241,"&lt;"&amp;$A24+7))</f>
        <v>0</v>
      </c>
      <c r="T24">
        <f>IF(T5="","",COUNTIFS(Summary!$E$5:$E$241,T5,Summary!$D$5:$D$241,"&gt;="&amp;$A24,Summary!$D$5:$D$241,"&lt;"&amp;$A24+7))</f>
        <v>0</v>
      </c>
      <c r="U24">
        <f>IF(U5="","",COUNTIFS(Summary!$E$5:$E$241,U5,Summary!$D$5:$D$241,"&gt;="&amp;$A24,Summary!$D$5:$D$241,"&lt;"&amp;$A24+7))</f>
        <v>0</v>
      </c>
      <c r="V24">
        <f>IF(V5="","",COUNTIFS(Summary!$E$5:$E$241,V5,Summary!$D$5:$D$241,"&gt;="&amp;$A24,Summary!$D$5:$D$241,"&lt;"&amp;$A24+7))</f>
        <v>0</v>
      </c>
      <c r="W24">
        <f>IF(W5="","",COUNTIFS(Summary!$E$5:$E$241,W5,Summary!$D$5:$D$241,"&gt;="&amp;$A24,Summary!$D$5:$D$241,"&lt;"&amp;$A24+7))</f>
        <v>0</v>
      </c>
      <c r="X24">
        <f>IF(X5="","",COUNTIFS(Summary!$E$5:$E$241,X5,Summary!$D$5:$D$241,"&gt;="&amp;$A24,Summary!$D$5:$D$241,"&lt;"&amp;$A24+7))</f>
        <v>0</v>
      </c>
      <c r="Y24">
        <f>IF(Y5="","",COUNTIFS(Summary!$E$5:$E$241,Y5,Summary!$D$5:$D$241,"&gt;="&amp;$A24,Summary!$D$5:$D$241,"&lt;"&amp;$A24+7))</f>
        <v>1</v>
      </c>
      <c r="Z24">
        <f>IF(Z5="","",COUNTIFS(Summary!$E$5:$E$241,Z5,Summary!$D$5:$D$241,"&gt;="&amp;$A24,Summary!$D$5:$D$241,"&lt;"&amp;$A24+7))</f>
        <v>0</v>
      </c>
      <c r="AA24">
        <f>IF(AA5="","",COUNTIFS(Summary!$E$5:$E$241,AA5,Summary!$D$5:$D$241,"&gt;="&amp;$A24,Summary!$D$5:$D$241,"&lt;"&amp;$A24+7))</f>
        <v>0</v>
      </c>
      <c r="AB24">
        <f>IF(AB5="","",COUNTIFS(Summary!$E$5:$E$241,AB5,Summary!$D$5:$D$241,"&gt;="&amp;$A24,Summary!$D$5:$D$241,"&lt;"&amp;$A24+7))</f>
        <v>1</v>
      </c>
      <c r="AC24">
        <f>IF(AC5="","",COUNTIFS(Summary!$E$5:$E$241,AC5,Summary!$D$5:$D$241,"&gt;="&amp;$A24,Summary!$D$5:$D$241,"&lt;"&amp;$A24+7))</f>
        <v>0</v>
      </c>
      <c r="AD24">
        <f>IF(AD5="","",COUNTIFS(Summary!$E$5:$E$241,AD5,Summary!$D$5:$D$241,"&gt;="&amp;$A24,Summary!$D$5:$D$241,"&lt;"&amp;$A24+7))</f>
        <v>0</v>
      </c>
      <c r="AE24">
        <f>IF(AE5="","",COUNTIFS(Summary!$E$5:$E$241,AE5,Summary!$D$5:$D$241,"&gt;="&amp;$A24,Summary!$D$5:$D$241,"&lt;"&amp;$A24+7))</f>
        <v>0</v>
      </c>
      <c r="AF24">
        <f>IF(AF5="","",COUNTIFS(Summary!$E$5:$E$241,AF5,Summary!$D$5:$D$241,"&gt;="&amp;$A24,Summary!$D$5:$D$241,"&lt;"&amp;$A24+7))</f>
        <v>0</v>
      </c>
      <c r="AG24">
        <f>IF(AG5="","",COUNTIFS(Summary!$E$5:$E$241,AG5,Summary!$D$5:$D$241,"&gt;="&amp;$A24,Summary!$D$5:$D$241,"&lt;"&amp;$A24+7))</f>
        <v>0</v>
      </c>
      <c r="AH24">
        <f>IF(AH5="","",COUNTIFS(Summary!$E$5:$E$241,AH5,Summary!$D$5:$D$241,"&gt;="&amp;$A24,Summary!$D$5:$D$241,"&lt;"&amp;$A24+7))</f>
        <v>0</v>
      </c>
      <c r="AI24">
        <f>IF(AI5="","",COUNTIFS(Summary!$E$5:$E$241,AI5,Summary!$D$5:$D$241,"&gt;="&amp;$A24,Summary!$D$5:$D$241,"&lt;"&amp;$A24+7))</f>
        <v>0</v>
      </c>
      <c r="AJ24">
        <f>IF(AJ5="","",COUNTIFS(Summary!$E$5:$E$241,AJ5,Summary!$D$5:$D$241,"&gt;="&amp;$A24,Summary!$D$5:$D$241,"&lt;"&amp;$A24+7))</f>
        <v>0</v>
      </c>
      <c r="AK24">
        <f>IF(AK5="","",COUNTIFS(Summary!$E$5:$E$241,AK5,Summary!$D$5:$D$241,"&gt;="&amp;$A24,Summary!$D$5:$D$241,"&lt;"&amp;$A24+7))</f>
        <v>0</v>
      </c>
      <c r="AL24">
        <f>IF(AL5="","",COUNTIFS(Summary!$E$5:$E$241,AL5,Summary!$D$5:$D$241,"&gt;="&amp;$A24,Summary!$D$5:$D$241,"&lt;"&amp;$A24+7))</f>
        <v>0</v>
      </c>
      <c r="AM24">
        <f>IF(AM5="","",COUNTIFS(Summary!$E$5:$E$241,AM5,Summary!$D$5:$D$241,"&gt;="&amp;$A24,Summary!$D$5:$D$241,"&lt;"&amp;$A24+7))</f>
        <v>0</v>
      </c>
      <c r="AN24">
        <f>IF(AN5="","",COUNTIFS(Summary!$E$5:$E$241,AN5,Summary!$D$5:$D$241,"&gt;="&amp;$A24,Summary!$D$5:$D$241,"&lt;"&amp;$A24+7))</f>
        <v>0</v>
      </c>
      <c r="AO24">
        <f>IF(AO5="","",COUNTIFS(Summary!$E$5:$E$241,AO5,Summary!$D$5:$D$241,"&gt;="&amp;$A24,Summary!$D$5:$D$241,"&lt;"&amp;$A24+7))</f>
        <v>0</v>
      </c>
      <c r="AP24">
        <f>IF(AP5="","",COUNTIFS(Summary!$E$5:$E$241,AP5,Summary!$D$5:$D$241,"&gt;="&amp;$A24,Summary!$D$5:$D$241,"&lt;"&amp;$A24+7))</f>
        <v>0</v>
      </c>
      <c r="AQ24">
        <f>IF(AQ5="","",COUNTIFS(Summary!$E$5:$E$241,AQ5,Summary!$D$5:$D$241,"&gt;="&amp;$A24,Summary!$D$5:$D$241,"&lt;"&amp;$A24+7))</f>
        <v>0</v>
      </c>
      <c r="AR24">
        <f>IF(AR5="","",COUNTIFS(Summary!$E$5:$E$241,AR5,Summary!$D$5:$D$241,"&gt;="&amp;$A24,Summary!$D$5:$D$241,"&lt;"&amp;$A24+7))</f>
        <v>0</v>
      </c>
      <c r="AS24">
        <f>IF(AS5="","",COUNTIFS(Summary!$E$5:$E$241,AS5,Summary!$D$5:$D$241,"&gt;="&amp;$A24,Summary!$D$5:$D$241,"&lt;"&amp;$A24+7))</f>
        <v>0</v>
      </c>
      <c r="AT24">
        <f>IF(AT5="","",COUNTIFS(Summary!$E$5:$E$241,AT5,Summary!$D$5:$D$241,"&gt;="&amp;$A24,Summary!$D$5:$D$241,"&lt;"&amp;$A24+7))</f>
        <v>0</v>
      </c>
      <c r="AU24">
        <f>IF(AU5="","",COUNTIFS(Summary!$E$5:$E$241,AU5,Summary!$D$5:$D$241,"&gt;="&amp;$A24,Summary!$D$5:$D$241,"&lt;"&amp;$A24+7))</f>
        <v>0</v>
      </c>
      <c r="AV24">
        <f>IF(AV5="","",COUNTIFS(Summary!$E$5:$E$241,AV5,Summary!$D$5:$D$241,"&gt;="&amp;$A24,Summary!$D$5:$D$241,"&lt;"&amp;$A24+7))</f>
        <v>0</v>
      </c>
      <c r="AW24">
        <f>IF(AW5="","",COUNTIFS(Summary!$E$5:$E$241,AW5,Summary!$D$5:$D$241,"&gt;="&amp;$A24,Summary!$D$5:$D$241,"&lt;"&amp;$A24+7))</f>
        <v>0</v>
      </c>
      <c r="AX24">
        <f>IF(AX5="","",COUNTIFS(Summary!$E$5:$E$241,AX5,Summary!$D$5:$D$241,"&gt;="&amp;$A24,Summary!$D$5:$D$241,"&lt;"&amp;$A24+7))</f>
        <v>0</v>
      </c>
      <c r="AY24">
        <f>IF(AY5="","",COUNTIFS(Summary!$E$5:$E$241,AY5,Summary!$D$5:$D$241,"&gt;="&amp;$A24,Summary!$D$5:$D$241,"&lt;"&amp;$A24+7))</f>
        <v>0</v>
      </c>
      <c r="AZ24">
        <f>IF(AZ5="","",COUNTIFS(Summary!$E$5:$E$241,AZ5,Summary!$D$5:$D$241,"&gt;="&amp;$A24,Summary!$D$5:$D$241,"&lt;"&amp;$A24+7))</f>
        <v>0</v>
      </c>
      <c r="BA24">
        <f>IF(BA5="","",COUNTIFS(Summary!$E$5:$E$241,BA5,Summary!$D$5:$D$241,"&gt;="&amp;$A24,Summary!$D$5:$D$241,"&lt;"&amp;$A24+7))</f>
        <v>0</v>
      </c>
      <c r="BB24">
        <f>IF(BB5="","",COUNTIFS(Summary!$E$5:$E$241,BB5,Summary!$D$5:$D$241,"&gt;="&amp;$A24,Summary!$D$5:$D$241,"&lt;"&amp;$A24+7))</f>
        <v>0</v>
      </c>
      <c r="BC24">
        <f>IF(BC5="","",COUNTIFS(Summary!$E$5:$E$241,BC5,Summary!$D$5:$D$241,"&gt;="&amp;$A24,Summary!$D$5:$D$241,"&lt;"&amp;$A24+7))</f>
        <v>0</v>
      </c>
      <c r="BD24">
        <f>IF(BD5="","",COUNTIFS(Summary!$E$5:$E$241,BD5,Summary!$D$5:$D$241,"&gt;="&amp;$A24,Summary!$D$5:$D$241,"&lt;"&amp;$A24+7))</f>
        <v>0</v>
      </c>
      <c r="BE24">
        <f>IF(BE5="","",COUNTIFS(Summary!$E$5:$E$241,BE5,Summary!$D$5:$D$241,"&gt;="&amp;$A24,Summary!$D$5:$D$241,"&lt;"&amp;$A24+7))</f>
        <v>0</v>
      </c>
      <c r="BF24" s="28">
        <f>IF(BF5="","",COUNTIFS(Summary!$E$5:$E$241,BF5,Summary!$D$5:$D$241,"&gt;="&amp;$A24,Summary!$D$5:$D$241,"&lt;"&amp;$A24+7))</f>
        <v>0</v>
      </c>
    </row>
    <row r="25" spans="1:58">
      <c r="A25" s="18">
        <f t="shared" si="1"/>
        <v>46216</v>
      </c>
      <c r="B25" s="2" t="str">
        <f t="shared" si="0"/>
        <v>Jul 13</v>
      </c>
      <c r="C25">
        <f>IF(C5="","",COUNTIFS(Summary!$E$5:$E$241,C5,Summary!$D$5:$D$241,"&gt;="&amp;$A25,Summary!$D$5:$D$241,"&lt;"&amp;$A25+7))</f>
        <v>0</v>
      </c>
      <c r="D25">
        <f>IF(D5="","",COUNTIFS(Summary!$E$5:$E$241,D5,Summary!$D$5:$D$241,"&gt;="&amp;$A25,Summary!$D$5:$D$241,"&lt;"&amp;$A25+7))</f>
        <v>0</v>
      </c>
      <c r="E25">
        <f>IF(E5="","",COUNTIFS(Summary!$E$5:$E$241,E5,Summary!$D$5:$D$241,"&gt;="&amp;$A25,Summary!$D$5:$D$241,"&lt;"&amp;$A25+7))</f>
        <v>0</v>
      </c>
      <c r="F25">
        <f>IF(F5="","",COUNTIFS(Summary!$E$5:$E$241,F5,Summary!$D$5:$D$241,"&gt;="&amp;$A25,Summary!$D$5:$D$241,"&lt;"&amp;$A25+7))</f>
        <v>0</v>
      </c>
      <c r="G25">
        <f>IF(G5="","",COUNTIFS(Summary!$E$5:$E$241,G5,Summary!$D$5:$D$241,"&gt;="&amp;$A25,Summary!$D$5:$D$241,"&lt;"&amp;$A25+7))</f>
        <v>0</v>
      </c>
      <c r="H25">
        <f>IF(H5="","",COUNTIFS(Summary!$E$5:$E$241,H5,Summary!$D$5:$D$241,"&gt;="&amp;$A25,Summary!$D$5:$D$241,"&lt;"&amp;$A25+7))</f>
        <v>0</v>
      </c>
      <c r="I25">
        <f>IF(I5="","",COUNTIFS(Summary!$E$5:$E$241,I5,Summary!$D$5:$D$241,"&gt;="&amp;$A25,Summary!$D$5:$D$241,"&lt;"&amp;$A25+7))</f>
        <v>0</v>
      </c>
      <c r="J25">
        <f>IF(J5="","",COUNTIFS(Summary!$E$5:$E$241,J5,Summary!$D$5:$D$241,"&gt;="&amp;$A25,Summary!$D$5:$D$241,"&lt;"&amp;$A25+7))</f>
        <v>0</v>
      </c>
      <c r="K25">
        <f>IF(K5="","",COUNTIFS(Summary!$E$5:$E$241,K5,Summary!$D$5:$D$241,"&gt;="&amp;$A25,Summary!$D$5:$D$241,"&lt;"&amp;$A25+7))</f>
        <v>0</v>
      </c>
      <c r="L25">
        <f>IF(L5="","",COUNTIFS(Summary!$E$5:$E$241,L5,Summary!$D$5:$D$241,"&gt;="&amp;$A25,Summary!$D$5:$D$241,"&lt;"&amp;$A25+7))</f>
        <v>0</v>
      </c>
      <c r="M25">
        <f>IF(M5="","",COUNTIFS(Summary!$E$5:$E$241,M5,Summary!$D$5:$D$241,"&gt;="&amp;$A25,Summary!$D$5:$D$241,"&lt;"&amp;$A25+7))</f>
        <v>0</v>
      </c>
      <c r="N25">
        <f>IF(N5="","",COUNTIFS(Summary!$E$5:$E$241,N5,Summary!$D$5:$D$241,"&gt;="&amp;$A25,Summary!$D$5:$D$241,"&lt;"&amp;$A25+7))</f>
        <v>0</v>
      </c>
      <c r="O25">
        <f>IF(O5="","",COUNTIFS(Summary!$E$5:$E$241,O5,Summary!$D$5:$D$241,"&gt;="&amp;$A25,Summary!$D$5:$D$241,"&lt;"&amp;$A25+7))</f>
        <v>0</v>
      </c>
      <c r="P25">
        <f>IF(P5="","",COUNTIFS(Summary!$E$5:$E$241,P5,Summary!$D$5:$D$241,"&gt;="&amp;$A25,Summary!$D$5:$D$241,"&lt;"&amp;$A25+7))</f>
        <v>0</v>
      </c>
      <c r="Q25">
        <f>IF(Q5="","",COUNTIFS(Summary!$E$5:$E$241,Q5,Summary!$D$5:$D$241,"&gt;="&amp;$A25,Summary!$D$5:$D$241,"&lt;"&amp;$A25+7))</f>
        <v>0</v>
      </c>
      <c r="R25">
        <f>IF(R5="","",COUNTIFS(Summary!$E$5:$E$241,R5,Summary!$D$5:$D$241,"&gt;="&amp;$A25,Summary!$D$5:$D$241,"&lt;"&amp;$A25+7))</f>
        <v>0</v>
      </c>
      <c r="S25">
        <f>IF(S5="","",COUNTIFS(Summary!$E$5:$E$241,S5,Summary!$D$5:$D$241,"&gt;="&amp;$A25,Summary!$D$5:$D$241,"&lt;"&amp;$A25+7))</f>
        <v>0</v>
      </c>
      <c r="T25">
        <f>IF(T5="","",COUNTIFS(Summary!$E$5:$E$241,T5,Summary!$D$5:$D$241,"&gt;="&amp;$A25,Summary!$D$5:$D$241,"&lt;"&amp;$A25+7))</f>
        <v>0</v>
      </c>
      <c r="U25">
        <f>IF(U5="","",COUNTIFS(Summary!$E$5:$E$241,U5,Summary!$D$5:$D$241,"&gt;="&amp;$A25,Summary!$D$5:$D$241,"&lt;"&amp;$A25+7))</f>
        <v>0</v>
      </c>
      <c r="V25">
        <f>IF(V5="","",COUNTIFS(Summary!$E$5:$E$241,V5,Summary!$D$5:$D$241,"&gt;="&amp;$A25,Summary!$D$5:$D$241,"&lt;"&amp;$A25+7))</f>
        <v>0</v>
      </c>
      <c r="W25">
        <f>IF(W5="","",COUNTIFS(Summary!$E$5:$E$241,W5,Summary!$D$5:$D$241,"&gt;="&amp;$A25,Summary!$D$5:$D$241,"&lt;"&amp;$A25+7))</f>
        <v>0</v>
      </c>
      <c r="X25">
        <f>IF(X5="","",COUNTIFS(Summary!$E$5:$E$241,X5,Summary!$D$5:$D$241,"&gt;="&amp;$A25,Summary!$D$5:$D$241,"&lt;"&amp;$A25+7))</f>
        <v>0</v>
      </c>
      <c r="Y25">
        <f>IF(Y5="","",COUNTIFS(Summary!$E$5:$E$241,Y5,Summary!$D$5:$D$241,"&gt;="&amp;$A25,Summary!$D$5:$D$241,"&lt;"&amp;$A25+7))</f>
        <v>0</v>
      </c>
      <c r="Z25">
        <f>IF(Z5="","",COUNTIFS(Summary!$E$5:$E$241,Z5,Summary!$D$5:$D$241,"&gt;="&amp;$A25,Summary!$D$5:$D$241,"&lt;"&amp;$A25+7))</f>
        <v>0</v>
      </c>
      <c r="AA25">
        <f>IF(AA5="","",COUNTIFS(Summary!$E$5:$E$241,AA5,Summary!$D$5:$D$241,"&gt;="&amp;$A25,Summary!$D$5:$D$241,"&lt;"&amp;$A25+7))</f>
        <v>0</v>
      </c>
      <c r="AB25">
        <f>IF(AB5="","",COUNTIFS(Summary!$E$5:$E$241,AB5,Summary!$D$5:$D$241,"&gt;="&amp;$A25,Summary!$D$5:$D$241,"&lt;"&amp;$A25+7))</f>
        <v>0</v>
      </c>
      <c r="AC25">
        <f>IF(AC5="","",COUNTIFS(Summary!$E$5:$E$241,AC5,Summary!$D$5:$D$241,"&gt;="&amp;$A25,Summary!$D$5:$D$241,"&lt;"&amp;$A25+7))</f>
        <v>0</v>
      </c>
      <c r="AD25">
        <f>IF(AD5="","",COUNTIFS(Summary!$E$5:$E$241,AD5,Summary!$D$5:$D$241,"&gt;="&amp;$A25,Summary!$D$5:$D$241,"&lt;"&amp;$A25+7))</f>
        <v>0</v>
      </c>
      <c r="AE25">
        <f>IF(AE5="","",COUNTIFS(Summary!$E$5:$E$241,AE5,Summary!$D$5:$D$241,"&gt;="&amp;$A25,Summary!$D$5:$D$241,"&lt;"&amp;$A25+7))</f>
        <v>0</v>
      </c>
      <c r="AF25">
        <f>IF(AF5="","",COUNTIFS(Summary!$E$5:$E$241,AF5,Summary!$D$5:$D$241,"&gt;="&amp;$A25,Summary!$D$5:$D$241,"&lt;"&amp;$A25+7))</f>
        <v>0</v>
      </c>
      <c r="AG25">
        <f>IF(AG5="","",COUNTIFS(Summary!$E$5:$E$241,AG5,Summary!$D$5:$D$241,"&gt;="&amp;$A25,Summary!$D$5:$D$241,"&lt;"&amp;$A25+7))</f>
        <v>0</v>
      </c>
      <c r="AH25">
        <f>IF(AH5="","",COUNTIFS(Summary!$E$5:$E$241,AH5,Summary!$D$5:$D$241,"&gt;="&amp;$A25,Summary!$D$5:$D$241,"&lt;"&amp;$A25+7))</f>
        <v>0</v>
      </c>
      <c r="AI25">
        <f>IF(AI5="","",COUNTIFS(Summary!$E$5:$E$241,AI5,Summary!$D$5:$D$241,"&gt;="&amp;$A25,Summary!$D$5:$D$241,"&lt;"&amp;$A25+7))</f>
        <v>0</v>
      </c>
      <c r="AJ25">
        <f>IF(AJ5="","",COUNTIFS(Summary!$E$5:$E$241,AJ5,Summary!$D$5:$D$241,"&gt;="&amp;$A25,Summary!$D$5:$D$241,"&lt;"&amp;$A25+7))</f>
        <v>0</v>
      </c>
      <c r="AK25">
        <f>IF(AK5="","",COUNTIFS(Summary!$E$5:$E$241,AK5,Summary!$D$5:$D$241,"&gt;="&amp;$A25,Summary!$D$5:$D$241,"&lt;"&amp;$A25+7))</f>
        <v>0</v>
      </c>
      <c r="AL25">
        <f>IF(AL5="","",COUNTIFS(Summary!$E$5:$E$241,AL5,Summary!$D$5:$D$241,"&gt;="&amp;$A25,Summary!$D$5:$D$241,"&lt;"&amp;$A25+7))</f>
        <v>0</v>
      </c>
      <c r="AM25">
        <f>IF(AM5="","",COUNTIFS(Summary!$E$5:$E$241,AM5,Summary!$D$5:$D$241,"&gt;="&amp;$A25,Summary!$D$5:$D$241,"&lt;"&amp;$A25+7))</f>
        <v>0</v>
      </c>
      <c r="AN25">
        <f>IF(AN5="","",COUNTIFS(Summary!$E$5:$E$241,AN5,Summary!$D$5:$D$241,"&gt;="&amp;$A25,Summary!$D$5:$D$241,"&lt;"&amp;$A25+7))</f>
        <v>0</v>
      </c>
      <c r="AO25">
        <f>IF(AO5="","",COUNTIFS(Summary!$E$5:$E$241,AO5,Summary!$D$5:$D$241,"&gt;="&amp;$A25,Summary!$D$5:$D$241,"&lt;"&amp;$A25+7))</f>
        <v>0</v>
      </c>
      <c r="AP25">
        <f>IF(AP5="","",COUNTIFS(Summary!$E$5:$E$241,AP5,Summary!$D$5:$D$241,"&gt;="&amp;$A25,Summary!$D$5:$D$241,"&lt;"&amp;$A25+7))</f>
        <v>0</v>
      </c>
      <c r="AQ25">
        <f>IF(AQ5="","",COUNTIFS(Summary!$E$5:$E$241,AQ5,Summary!$D$5:$D$241,"&gt;="&amp;$A25,Summary!$D$5:$D$241,"&lt;"&amp;$A25+7))</f>
        <v>0</v>
      </c>
      <c r="AR25">
        <f>IF(AR5="","",COUNTIFS(Summary!$E$5:$E$241,AR5,Summary!$D$5:$D$241,"&gt;="&amp;$A25,Summary!$D$5:$D$241,"&lt;"&amp;$A25+7))</f>
        <v>0</v>
      </c>
      <c r="AS25">
        <f>IF(AS5="","",COUNTIFS(Summary!$E$5:$E$241,AS5,Summary!$D$5:$D$241,"&gt;="&amp;$A25,Summary!$D$5:$D$241,"&lt;"&amp;$A25+7))</f>
        <v>0</v>
      </c>
      <c r="AT25">
        <f>IF(AT5="","",COUNTIFS(Summary!$E$5:$E$241,AT5,Summary!$D$5:$D$241,"&gt;="&amp;$A25,Summary!$D$5:$D$241,"&lt;"&amp;$A25+7))</f>
        <v>0</v>
      </c>
      <c r="AU25">
        <f>IF(AU5="","",COUNTIFS(Summary!$E$5:$E$241,AU5,Summary!$D$5:$D$241,"&gt;="&amp;$A25,Summary!$D$5:$D$241,"&lt;"&amp;$A25+7))</f>
        <v>0</v>
      </c>
      <c r="AV25">
        <f>IF(AV5="","",COUNTIFS(Summary!$E$5:$E$241,AV5,Summary!$D$5:$D$241,"&gt;="&amp;$A25,Summary!$D$5:$D$241,"&lt;"&amp;$A25+7))</f>
        <v>0</v>
      </c>
      <c r="AW25">
        <f>IF(AW5="","",COUNTIFS(Summary!$E$5:$E$241,AW5,Summary!$D$5:$D$241,"&gt;="&amp;$A25,Summary!$D$5:$D$241,"&lt;"&amp;$A25+7))</f>
        <v>0</v>
      </c>
      <c r="AX25">
        <f>IF(AX5="","",COUNTIFS(Summary!$E$5:$E$241,AX5,Summary!$D$5:$D$241,"&gt;="&amp;$A25,Summary!$D$5:$D$241,"&lt;"&amp;$A25+7))</f>
        <v>0</v>
      </c>
      <c r="AY25">
        <f>IF(AY5="","",COUNTIFS(Summary!$E$5:$E$241,AY5,Summary!$D$5:$D$241,"&gt;="&amp;$A25,Summary!$D$5:$D$241,"&lt;"&amp;$A25+7))</f>
        <v>0</v>
      </c>
      <c r="AZ25">
        <f>IF(AZ5="","",COUNTIFS(Summary!$E$5:$E$241,AZ5,Summary!$D$5:$D$241,"&gt;="&amp;$A25,Summary!$D$5:$D$241,"&lt;"&amp;$A25+7))</f>
        <v>0</v>
      </c>
      <c r="BA25">
        <f>IF(BA5="","",COUNTIFS(Summary!$E$5:$E$241,BA5,Summary!$D$5:$D$241,"&gt;="&amp;$A25,Summary!$D$5:$D$241,"&lt;"&amp;$A25+7))</f>
        <v>0</v>
      </c>
      <c r="BB25">
        <f>IF(BB5="","",COUNTIFS(Summary!$E$5:$E$241,BB5,Summary!$D$5:$D$241,"&gt;="&amp;$A25,Summary!$D$5:$D$241,"&lt;"&amp;$A25+7))</f>
        <v>0</v>
      </c>
      <c r="BC25">
        <f>IF(BC5="","",COUNTIFS(Summary!$E$5:$E$241,BC5,Summary!$D$5:$D$241,"&gt;="&amp;$A25,Summary!$D$5:$D$241,"&lt;"&amp;$A25+7))</f>
        <v>0</v>
      </c>
      <c r="BD25">
        <f>IF(BD5="","",COUNTIFS(Summary!$E$5:$E$241,BD5,Summary!$D$5:$D$241,"&gt;="&amp;$A25,Summary!$D$5:$D$241,"&lt;"&amp;$A25+7))</f>
        <v>0</v>
      </c>
      <c r="BE25">
        <f>IF(BE5="","",COUNTIFS(Summary!$E$5:$E$241,BE5,Summary!$D$5:$D$241,"&gt;="&amp;$A25,Summary!$D$5:$D$241,"&lt;"&amp;$A25+7))</f>
        <v>0</v>
      </c>
      <c r="BF25" s="28">
        <f>IF(BF5="","",COUNTIFS(Summary!$E$5:$E$241,BF5,Summary!$D$5:$D$241,"&gt;="&amp;$A25,Summary!$D$5:$D$241,"&lt;"&amp;$A25+7))</f>
        <v>0</v>
      </c>
    </row>
    <row r="26" spans="1:58">
      <c r="A26" s="18">
        <f t="shared" si="1"/>
        <v>46223</v>
      </c>
      <c r="B26" s="2" t="str">
        <f t="shared" si="0"/>
        <v>Jul 20</v>
      </c>
      <c r="C26">
        <f>IF(C5="","",COUNTIFS(Summary!$E$5:$E$241,C5,Summary!$D$5:$D$241,"&gt;="&amp;$A26,Summary!$D$5:$D$241,"&lt;"&amp;$A26+7))</f>
        <v>0</v>
      </c>
      <c r="D26">
        <f>IF(D5="","",COUNTIFS(Summary!$E$5:$E$241,D5,Summary!$D$5:$D$241,"&gt;="&amp;$A26,Summary!$D$5:$D$241,"&lt;"&amp;$A26+7))</f>
        <v>0</v>
      </c>
      <c r="E26">
        <f>IF(E5="","",COUNTIFS(Summary!$E$5:$E$241,E5,Summary!$D$5:$D$241,"&gt;="&amp;$A26,Summary!$D$5:$D$241,"&lt;"&amp;$A26+7))</f>
        <v>0</v>
      </c>
      <c r="F26">
        <f>IF(F5="","",COUNTIFS(Summary!$E$5:$E$241,F5,Summary!$D$5:$D$241,"&gt;="&amp;$A26,Summary!$D$5:$D$241,"&lt;"&amp;$A26+7))</f>
        <v>0</v>
      </c>
      <c r="G26">
        <f>IF(G5="","",COUNTIFS(Summary!$E$5:$E$241,G5,Summary!$D$5:$D$241,"&gt;="&amp;$A26,Summary!$D$5:$D$241,"&lt;"&amp;$A26+7))</f>
        <v>0</v>
      </c>
      <c r="H26">
        <f>IF(H5="","",COUNTIFS(Summary!$E$5:$E$241,H5,Summary!$D$5:$D$241,"&gt;="&amp;$A26,Summary!$D$5:$D$241,"&lt;"&amp;$A26+7))</f>
        <v>0</v>
      </c>
      <c r="I26">
        <f>IF(I5="","",COUNTIFS(Summary!$E$5:$E$241,I5,Summary!$D$5:$D$241,"&gt;="&amp;$A26,Summary!$D$5:$D$241,"&lt;"&amp;$A26+7))</f>
        <v>0</v>
      </c>
      <c r="J26">
        <f>IF(J5="","",COUNTIFS(Summary!$E$5:$E$241,J5,Summary!$D$5:$D$241,"&gt;="&amp;$A26,Summary!$D$5:$D$241,"&lt;"&amp;$A26+7))</f>
        <v>0</v>
      </c>
      <c r="K26">
        <f>IF(K5="","",COUNTIFS(Summary!$E$5:$E$241,K5,Summary!$D$5:$D$241,"&gt;="&amp;$A26,Summary!$D$5:$D$241,"&lt;"&amp;$A26+7))</f>
        <v>0</v>
      </c>
      <c r="L26">
        <f>IF(L5="","",COUNTIFS(Summary!$E$5:$E$241,L5,Summary!$D$5:$D$241,"&gt;="&amp;$A26,Summary!$D$5:$D$241,"&lt;"&amp;$A26+7))</f>
        <v>0</v>
      </c>
      <c r="M26">
        <f>IF(M5="","",COUNTIFS(Summary!$E$5:$E$241,M5,Summary!$D$5:$D$241,"&gt;="&amp;$A26,Summary!$D$5:$D$241,"&lt;"&amp;$A26+7))</f>
        <v>0</v>
      </c>
      <c r="N26">
        <f>IF(N5="","",COUNTIFS(Summary!$E$5:$E$241,N5,Summary!$D$5:$D$241,"&gt;="&amp;$A26,Summary!$D$5:$D$241,"&lt;"&amp;$A26+7))</f>
        <v>0</v>
      </c>
      <c r="O26">
        <f>IF(O5="","",COUNTIFS(Summary!$E$5:$E$241,O5,Summary!$D$5:$D$241,"&gt;="&amp;$A26,Summary!$D$5:$D$241,"&lt;"&amp;$A26+7))</f>
        <v>0</v>
      </c>
      <c r="P26">
        <f>IF(P5="","",COUNTIFS(Summary!$E$5:$E$241,P5,Summary!$D$5:$D$241,"&gt;="&amp;$A26,Summary!$D$5:$D$241,"&lt;"&amp;$A26+7))</f>
        <v>0</v>
      </c>
      <c r="Q26">
        <f>IF(Q5="","",COUNTIFS(Summary!$E$5:$E$241,Q5,Summary!$D$5:$D$241,"&gt;="&amp;$A26,Summary!$D$5:$D$241,"&lt;"&amp;$A26+7))</f>
        <v>0</v>
      </c>
      <c r="R26">
        <f>IF(R5="","",COUNTIFS(Summary!$E$5:$E$241,R5,Summary!$D$5:$D$241,"&gt;="&amp;$A26,Summary!$D$5:$D$241,"&lt;"&amp;$A26+7))</f>
        <v>0</v>
      </c>
      <c r="S26">
        <f>IF(S5="","",COUNTIFS(Summary!$E$5:$E$241,S5,Summary!$D$5:$D$241,"&gt;="&amp;$A26,Summary!$D$5:$D$241,"&lt;"&amp;$A26+7))</f>
        <v>0</v>
      </c>
      <c r="T26">
        <f>IF(T5="","",COUNTIFS(Summary!$E$5:$E$241,T5,Summary!$D$5:$D$241,"&gt;="&amp;$A26,Summary!$D$5:$D$241,"&lt;"&amp;$A26+7))</f>
        <v>0</v>
      </c>
      <c r="U26">
        <f>IF(U5="","",COUNTIFS(Summary!$E$5:$E$241,U5,Summary!$D$5:$D$241,"&gt;="&amp;$A26,Summary!$D$5:$D$241,"&lt;"&amp;$A26+7))</f>
        <v>0</v>
      </c>
      <c r="V26">
        <f>IF(V5="","",COUNTIFS(Summary!$E$5:$E$241,V5,Summary!$D$5:$D$241,"&gt;="&amp;$A26,Summary!$D$5:$D$241,"&lt;"&amp;$A26+7))</f>
        <v>0</v>
      </c>
      <c r="W26">
        <f>IF(W5="","",COUNTIFS(Summary!$E$5:$E$241,W5,Summary!$D$5:$D$241,"&gt;="&amp;$A26,Summary!$D$5:$D$241,"&lt;"&amp;$A26+7))</f>
        <v>0</v>
      </c>
      <c r="X26">
        <f>IF(X5="","",COUNTIFS(Summary!$E$5:$E$241,X5,Summary!$D$5:$D$241,"&gt;="&amp;$A26,Summary!$D$5:$D$241,"&lt;"&amp;$A26+7))</f>
        <v>0</v>
      </c>
      <c r="Y26">
        <f>IF(Y5="","",COUNTIFS(Summary!$E$5:$E$241,Y5,Summary!$D$5:$D$241,"&gt;="&amp;$A26,Summary!$D$5:$D$241,"&lt;"&amp;$A26+7))</f>
        <v>0</v>
      </c>
      <c r="Z26">
        <f>IF(Z5="","",COUNTIFS(Summary!$E$5:$E$241,Z5,Summary!$D$5:$D$241,"&gt;="&amp;$A26,Summary!$D$5:$D$241,"&lt;"&amp;$A26+7))</f>
        <v>0</v>
      </c>
      <c r="AA26">
        <f>IF(AA5="","",COUNTIFS(Summary!$E$5:$E$241,AA5,Summary!$D$5:$D$241,"&gt;="&amp;$A26,Summary!$D$5:$D$241,"&lt;"&amp;$A26+7))</f>
        <v>0</v>
      </c>
      <c r="AB26">
        <f>IF(AB5="","",COUNTIFS(Summary!$E$5:$E$241,AB5,Summary!$D$5:$D$241,"&gt;="&amp;$A26,Summary!$D$5:$D$241,"&lt;"&amp;$A26+7))</f>
        <v>0</v>
      </c>
      <c r="AC26">
        <f>IF(AC5="","",COUNTIFS(Summary!$E$5:$E$241,AC5,Summary!$D$5:$D$241,"&gt;="&amp;$A26,Summary!$D$5:$D$241,"&lt;"&amp;$A26+7))</f>
        <v>0</v>
      </c>
      <c r="AD26">
        <f>IF(AD5="","",COUNTIFS(Summary!$E$5:$E$241,AD5,Summary!$D$5:$D$241,"&gt;="&amp;$A26,Summary!$D$5:$D$241,"&lt;"&amp;$A26+7))</f>
        <v>0</v>
      </c>
      <c r="AE26">
        <f>IF(AE5="","",COUNTIFS(Summary!$E$5:$E$241,AE5,Summary!$D$5:$D$241,"&gt;="&amp;$A26,Summary!$D$5:$D$241,"&lt;"&amp;$A26+7))</f>
        <v>0</v>
      </c>
      <c r="AF26">
        <f>IF(AF5="","",COUNTIFS(Summary!$E$5:$E$241,AF5,Summary!$D$5:$D$241,"&gt;="&amp;$A26,Summary!$D$5:$D$241,"&lt;"&amp;$A26+7))</f>
        <v>0</v>
      </c>
      <c r="AG26">
        <f>IF(AG5="","",COUNTIFS(Summary!$E$5:$E$241,AG5,Summary!$D$5:$D$241,"&gt;="&amp;$A26,Summary!$D$5:$D$241,"&lt;"&amp;$A26+7))</f>
        <v>0</v>
      </c>
      <c r="AH26">
        <f>IF(AH5="","",COUNTIFS(Summary!$E$5:$E$241,AH5,Summary!$D$5:$D$241,"&gt;="&amp;$A26,Summary!$D$5:$D$241,"&lt;"&amp;$A26+7))</f>
        <v>0</v>
      </c>
      <c r="AI26">
        <f>IF(AI5="","",COUNTIFS(Summary!$E$5:$E$241,AI5,Summary!$D$5:$D$241,"&gt;="&amp;$A26,Summary!$D$5:$D$241,"&lt;"&amp;$A26+7))</f>
        <v>0</v>
      </c>
      <c r="AJ26">
        <f>IF(AJ5="","",COUNTIFS(Summary!$E$5:$E$241,AJ5,Summary!$D$5:$D$241,"&gt;="&amp;$A26,Summary!$D$5:$D$241,"&lt;"&amp;$A26+7))</f>
        <v>0</v>
      </c>
      <c r="AK26">
        <f>IF(AK5="","",COUNTIFS(Summary!$E$5:$E$241,AK5,Summary!$D$5:$D$241,"&gt;="&amp;$A26,Summary!$D$5:$D$241,"&lt;"&amp;$A26+7))</f>
        <v>0</v>
      </c>
      <c r="AL26">
        <f>IF(AL5="","",COUNTIFS(Summary!$E$5:$E$241,AL5,Summary!$D$5:$D$241,"&gt;="&amp;$A26,Summary!$D$5:$D$241,"&lt;"&amp;$A26+7))</f>
        <v>0</v>
      </c>
      <c r="AM26">
        <f>IF(AM5="","",COUNTIFS(Summary!$E$5:$E$241,AM5,Summary!$D$5:$D$241,"&gt;="&amp;$A26,Summary!$D$5:$D$241,"&lt;"&amp;$A26+7))</f>
        <v>0</v>
      </c>
      <c r="AN26">
        <f>IF(AN5="","",COUNTIFS(Summary!$E$5:$E$241,AN5,Summary!$D$5:$D$241,"&gt;="&amp;$A26,Summary!$D$5:$D$241,"&lt;"&amp;$A26+7))</f>
        <v>0</v>
      </c>
      <c r="AO26">
        <f>IF(AO5="","",COUNTIFS(Summary!$E$5:$E$241,AO5,Summary!$D$5:$D$241,"&gt;="&amp;$A26,Summary!$D$5:$D$241,"&lt;"&amp;$A26+7))</f>
        <v>0</v>
      </c>
      <c r="AP26">
        <f>IF(AP5="","",COUNTIFS(Summary!$E$5:$E$241,AP5,Summary!$D$5:$D$241,"&gt;="&amp;$A26,Summary!$D$5:$D$241,"&lt;"&amp;$A26+7))</f>
        <v>0</v>
      </c>
      <c r="AQ26">
        <f>IF(AQ5="","",COUNTIFS(Summary!$E$5:$E$241,AQ5,Summary!$D$5:$D$241,"&gt;="&amp;$A26,Summary!$D$5:$D$241,"&lt;"&amp;$A26+7))</f>
        <v>0</v>
      </c>
      <c r="AR26">
        <f>IF(AR5="","",COUNTIFS(Summary!$E$5:$E$241,AR5,Summary!$D$5:$D$241,"&gt;="&amp;$A26,Summary!$D$5:$D$241,"&lt;"&amp;$A26+7))</f>
        <v>0</v>
      </c>
      <c r="AS26">
        <f>IF(AS5="","",COUNTIFS(Summary!$E$5:$E$241,AS5,Summary!$D$5:$D$241,"&gt;="&amp;$A26,Summary!$D$5:$D$241,"&lt;"&amp;$A26+7))</f>
        <v>0</v>
      </c>
      <c r="AT26">
        <f>IF(AT5="","",COUNTIFS(Summary!$E$5:$E$241,AT5,Summary!$D$5:$D$241,"&gt;="&amp;$A26,Summary!$D$5:$D$241,"&lt;"&amp;$A26+7))</f>
        <v>0</v>
      </c>
      <c r="AU26">
        <f>IF(AU5="","",COUNTIFS(Summary!$E$5:$E$241,AU5,Summary!$D$5:$D$241,"&gt;="&amp;$A26,Summary!$D$5:$D$241,"&lt;"&amp;$A26+7))</f>
        <v>0</v>
      </c>
      <c r="AV26">
        <f>IF(AV5="","",COUNTIFS(Summary!$E$5:$E$241,AV5,Summary!$D$5:$D$241,"&gt;="&amp;$A26,Summary!$D$5:$D$241,"&lt;"&amp;$A26+7))</f>
        <v>0</v>
      </c>
      <c r="AW26">
        <f>IF(AW5="","",COUNTIFS(Summary!$E$5:$E$241,AW5,Summary!$D$5:$D$241,"&gt;="&amp;$A26,Summary!$D$5:$D$241,"&lt;"&amp;$A26+7))</f>
        <v>0</v>
      </c>
      <c r="AX26">
        <f>IF(AX5="","",COUNTIFS(Summary!$E$5:$E$241,AX5,Summary!$D$5:$D$241,"&gt;="&amp;$A26,Summary!$D$5:$D$241,"&lt;"&amp;$A26+7))</f>
        <v>0</v>
      </c>
      <c r="AY26">
        <f>IF(AY5="","",COUNTIFS(Summary!$E$5:$E$241,AY5,Summary!$D$5:$D$241,"&gt;="&amp;$A26,Summary!$D$5:$D$241,"&lt;"&amp;$A26+7))</f>
        <v>0</v>
      </c>
      <c r="AZ26">
        <f>IF(AZ5="","",COUNTIFS(Summary!$E$5:$E$241,AZ5,Summary!$D$5:$D$241,"&gt;="&amp;$A26,Summary!$D$5:$D$241,"&lt;"&amp;$A26+7))</f>
        <v>0</v>
      </c>
      <c r="BA26">
        <f>IF(BA5="","",COUNTIFS(Summary!$E$5:$E$241,BA5,Summary!$D$5:$D$241,"&gt;="&amp;$A26,Summary!$D$5:$D$241,"&lt;"&amp;$A26+7))</f>
        <v>0</v>
      </c>
      <c r="BB26">
        <f>IF(BB5="","",COUNTIFS(Summary!$E$5:$E$241,BB5,Summary!$D$5:$D$241,"&gt;="&amp;$A26,Summary!$D$5:$D$241,"&lt;"&amp;$A26+7))</f>
        <v>0</v>
      </c>
      <c r="BC26">
        <f>IF(BC5="","",COUNTIFS(Summary!$E$5:$E$241,BC5,Summary!$D$5:$D$241,"&gt;="&amp;$A26,Summary!$D$5:$D$241,"&lt;"&amp;$A26+7))</f>
        <v>0</v>
      </c>
      <c r="BD26">
        <f>IF(BD5="","",COUNTIFS(Summary!$E$5:$E$241,BD5,Summary!$D$5:$D$241,"&gt;="&amp;$A26,Summary!$D$5:$D$241,"&lt;"&amp;$A26+7))</f>
        <v>0</v>
      </c>
      <c r="BE26">
        <f>IF(BE5="","",COUNTIFS(Summary!$E$5:$E$241,BE5,Summary!$D$5:$D$241,"&gt;="&amp;$A26,Summary!$D$5:$D$241,"&lt;"&amp;$A26+7))</f>
        <v>0</v>
      </c>
      <c r="BF26" s="28">
        <f>IF(BF5="","",COUNTIFS(Summary!$E$5:$E$241,BF5,Summary!$D$5:$D$241,"&gt;="&amp;$A26,Summary!$D$5:$D$241,"&lt;"&amp;$A26+7))</f>
        <v>0</v>
      </c>
    </row>
    <row r="27" spans="1:58">
      <c r="A27" s="18">
        <f t="shared" si="1"/>
        <v>46230</v>
      </c>
      <c r="B27" s="2" t="str">
        <f t="shared" si="0"/>
        <v>Jul 27</v>
      </c>
      <c r="C27">
        <f>IF(C5="","",COUNTIFS(Summary!$E$5:$E$241,C5,Summary!$D$5:$D$241,"&gt;="&amp;$A27,Summary!$D$5:$D$241,"&lt;"&amp;$A27+7))</f>
        <v>0</v>
      </c>
      <c r="D27">
        <f>IF(D5="","",COUNTIFS(Summary!$E$5:$E$241,D5,Summary!$D$5:$D$241,"&gt;="&amp;$A27,Summary!$D$5:$D$241,"&lt;"&amp;$A27+7))</f>
        <v>0</v>
      </c>
      <c r="E27">
        <f>IF(E5="","",COUNTIFS(Summary!$E$5:$E$241,E5,Summary!$D$5:$D$241,"&gt;="&amp;$A27,Summary!$D$5:$D$241,"&lt;"&amp;$A27+7))</f>
        <v>0</v>
      </c>
      <c r="F27">
        <f>IF(F5="","",COUNTIFS(Summary!$E$5:$E$241,F5,Summary!$D$5:$D$241,"&gt;="&amp;$A27,Summary!$D$5:$D$241,"&lt;"&amp;$A27+7))</f>
        <v>0</v>
      </c>
      <c r="G27">
        <f>IF(G5="","",COUNTIFS(Summary!$E$5:$E$241,G5,Summary!$D$5:$D$241,"&gt;="&amp;$A27,Summary!$D$5:$D$241,"&lt;"&amp;$A27+7))</f>
        <v>0</v>
      </c>
      <c r="H27">
        <f>IF(H5="","",COUNTIFS(Summary!$E$5:$E$241,H5,Summary!$D$5:$D$241,"&gt;="&amp;$A27,Summary!$D$5:$D$241,"&lt;"&amp;$A27+7))</f>
        <v>0</v>
      </c>
      <c r="I27">
        <f>IF(I5="","",COUNTIFS(Summary!$E$5:$E$241,I5,Summary!$D$5:$D$241,"&gt;="&amp;$A27,Summary!$D$5:$D$241,"&lt;"&amp;$A27+7))</f>
        <v>0</v>
      </c>
      <c r="J27">
        <f>IF(J5="","",COUNTIFS(Summary!$E$5:$E$241,J5,Summary!$D$5:$D$241,"&gt;="&amp;$A27,Summary!$D$5:$D$241,"&lt;"&amp;$A27+7))</f>
        <v>0</v>
      </c>
      <c r="K27">
        <f>IF(K5="","",COUNTIFS(Summary!$E$5:$E$241,K5,Summary!$D$5:$D$241,"&gt;="&amp;$A27,Summary!$D$5:$D$241,"&lt;"&amp;$A27+7))</f>
        <v>0</v>
      </c>
      <c r="L27">
        <f>IF(L5="","",COUNTIFS(Summary!$E$5:$E$241,L5,Summary!$D$5:$D$241,"&gt;="&amp;$A27,Summary!$D$5:$D$241,"&lt;"&amp;$A27+7))</f>
        <v>0</v>
      </c>
      <c r="M27">
        <f>IF(M5="","",COUNTIFS(Summary!$E$5:$E$241,M5,Summary!$D$5:$D$241,"&gt;="&amp;$A27,Summary!$D$5:$D$241,"&lt;"&amp;$A27+7))</f>
        <v>0</v>
      </c>
      <c r="N27">
        <f>IF(N5="","",COUNTIFS(Summary!$E$5:$E$241,N5,Summary!$D$5:$D$241,"&gt;="&amp;$A27,Summary!$D$5:$D$241,"&lt;"&amp;$A27+7))</f>
        <v>0</v>
      </c>
      <c r="O27">
        <f>IF(O5="","",COUNTIFS(Summary!$E$5:$E$241,O5,Summary!$D$5:$D$241,"&gt;="&amp;$A27,Summary!$D$5:$D$241,"&lt;"&amp;$A27+7))</f>
        <v>0</v>
      </c>
      <c r="P27">
        <f>IF(P5="","",COUNTIFS(Summary!$E$5:$E$241,P5,Summary!$D$5:$D$241,"&gt;="&amp;$A27,Summary!$D$5:$D$241,"&lt;"&amp;$A27+7))</f>
        <v>0</v>
      </c>
      <c r="Q27">
        <f>IF(Q5="","",COUNTIFS(Summary!$E$5:$E$241,Q5,Summary!$D$5:$D$241,"&gt;="&amp;$A27,Summary!$D$5:$D$241,"&lt;"&amp;$A27+7))</f>
        <v>0</v>
      </c>
      <c r="R27">
        <f>IF(R5="","",COUNTIFS(Summary!$E$5:$E$241,R5,Summary!$D$5:$D$241,"&gt;="&amp;$A27,Summary!$D$5:$D$241,"&lt;"&amp;$A27+7))</f>
        <v>0</v>
      </c>
      <c r="S27">
        <f>IF(S5="","",COUNTIFS(Summary!$E$5:$E$241,S5,Summary!$D$5:$D$241,"&gt;="&amp;$A27,Summary!$D$5:$D$241,"&lt;"&amp;$A27+7))</f>
        <v>0</v>
      </c>
      <c r="T27">
        <f>IF(T5="","",COUNTIFS(Summary!$E$5:$E$241,T5,Summary!$D$5:$D$241,"&gt;="&amp;$A27,Summary!$D$5:$D$241,"&lt;"&amp;$A27+7))</f>
        <v>0</v>
      </c>
      <c r="U27">
        <f>IF(U5="","",COUNTIFS(Summary!$E$5:$E$241,U5,Summary!$D$5:$D$241,"&gt;="&amp;$A27,Summary!$D$5:$D$241,"&lt;"&amp;$A27+7))</f>
        <v>0</v>
      </c>
      <c r="V27">
        <f>IF(V5="","",COUNTIFS(Summary!$E$5:$E$241,V5,Summary!$D$5:$D$241,"&gt;="&amp;$A27,Summary!$D$5:$D$241,"&lt;"&amp;$A27+7))</f>
        <v>0</v>
      </c>
      <c r="W27">
        <f>IF(W5="","",COUNTIFS(Summary!$E$5:$E$241,W5,Summary!$D$5:$D$241,"&gt;="&amp;$A27,Summary!$D$5:$D$241,"&lt;"&amp;$A27+7))</f>
        <v>0</v>
      </c>
      <c r="X27">
        <f>IF(X5="","",COUNTIFS(Summary!$E$5:$E$241,X5,Summary!$D$5:$D$241,"&gt;="&amp;$A27,Summary!$D$5:$D$241,"&lt;"&amp;$A27+7))</f>
        <v>0</v>
      </c>
      <c r="Y27">
        <f>IF(Y5="","",COUNTIFS(Summary!$E$5:$E$241,Y5,Summary!$D$5:$D$241,"&gt;="&amp;$A27,Summary!$D$5:$D$241,"&lt;"&amp;$A27+7))</f>
        <v>0</v>
      </c>
      <c r="Z27">
        <f>IF(Z5="","",COUNTIFS(Summary!$E$5:$E$241,Z5,Summary!$D$5:$D$241,"&gt;="&amp;$A27,Summary!$D$5:$D$241,"&lt;"&amp;$A27+7))</f>
        <v>0</v>
      </c>
      <c r="AA27">
        <f>IF(AA5="","",COUNTIFS(Summary!$E$5:$E$241,AA5,Summary!$D$5:$D$241,"&gt;="&amp;$A27,Summary!$D$5:$D$241,"&lt;"&amp;$A27+7))</f>
        <v>0</v>
      </c>
      <c r="AB27">
        <f>IF(AB5="","",COUNTIFS(Summary!$E$5:$E$241,AB5,Summary!$D$5:$D$241,"&gt;="&amp;$A27,Summary!$D$5:$D$241,"&lt;"&amp;$A27+7))</f>
        <v>0</v>
      </c>
      <c r="AC27">
        <f>IF(AC5="","",COUNTIFS(Summary!$E$5:$E$241,AC5,Summary!$D$5:$D$241,"&gt;="&amp;$A27,Summary!$D$5:$D$241,"&lt;"&amp;$A27+7))</f>
        <v>0</v>
      </c>
      <c r="AD27">
        <f>IF(AD5="","",COUNTIFS(Summary!$E$5:$E$241,AD5,Summary!$D$5:$D$241,"&gt;="&amp;$A27,Summary!$D$5:$D$241,"&lt;"&amp;$A27+7))</f>
        <v>0</v>
      </c>
      <c r="AE27">
        <f>IF(AE5="","",COUNTIFS(Summary!$E$5:$E$241,AE5,Summary!$D$5:$D$241,"&gt;="&amp;$A27,Summary!$D$5:$D$241,"&lt;"&amp;$A27+7))</f>
        <v>0</v>
      </c>
      <c r="AF27">
        <f>IF(AF5="","",COUNTIFS(Summary!$E$5:$E$241,AF5,Summary!$D$5:$D$241,"&gt;="&amp;$A27,Summary!$D$5:$D$241,"&lt;"&amp;$A27+7))</f>
        <v>0</v>
      </c>
      <c r="AG27">
        <f>IF(AG5="","",COUNTIFS(Summary!$E$5:$E$241,AG5,Summary!$D$5:$D$241,"&gt;="&amp;$A27,Summary!$D$5:$D$241,"&lt;"&amp;$A27+7))</f>
        <v>0</v>
      </c>
      <c r="AH27">
        <f>IF(AH5="","",COUNTIFS(Summary!$E$5:$E$241,AH5,Summary!$D$5:$D$241,"&gt;="&amp;$A27,Summary!$D$5:$D$241,"&lt;"&amp;$A27+7))</f>
        <v>0</v>
      </c>
      <c r="AI27">
        <f>IF(AI5="","",COUNTIFS(Summary!$E$5:$E$241,AI5,Summary!$D$5:$D$241,"&gt;="&amp;$A27,Summary!$D$5:$D$241,"&lt;"&amp;$A27+7))</f>
        <v>0</v>
      </c>
      <c r="AJ27">
        <f>IF(AJ5="","",COUNTIFS(Summary!$E$5:$E$241,AJ5,Summary!$D$5:$D$241,"&gt;="&amp;$A27,Summary!$D$5:$D$241,"&lt;"&amp;$A27+7))</f>
        <v>0</v>
      </c>
      <c r="AK27">
        <f>IF(AK5="","",COUNTIFS(Summary!$E$5:$E$241,AK5,Summary!$D$5:$D$241,"&gt;="&amp;$A27,Summary!$D$5:$D$241,"&lt;"&amp;$A27+7))</f>
        <v>0</v>
      </c>
      <c r="AL27">
        <f>IF(AL5="","",COUNTIFS(Summary!$E$5:$E$241,AL5,Summary!$D$5:$D$241,"&gt;="&amp;$A27,Summary!$D$5:$D$241,"&lt;"&amp;$A27+7))</f>
        <v>0</v>
      </c>
      <c r="AM27">
        <f>IF(AM5="","",COUNTIFS(Summary!$E$5:$E$241,AM5,Summary!$D$5:$D$241,"&gt;="&amp;$A27,Summary!$D$5:$D$241,"&lt;"&amp;$A27+7))</f>
        <v>0</v>
      </c>
      <c r="AN27">
        <f>IF(AN5="","",COUNTIFS(Summary!$E$5:$E$241,AN5,Summary!$D$5:$D$241,"&gt;="&amp;$A27,Summary!$D$5:$D$241,"&lt;"&amp;$A27+7))</f>
        <v>0</v>
      </c>
      <c r="AO27">
        <f>IF(AO5="","",COUNTIFS(Summary!$E$5:$E$241,AO5,Summary!$D$5:$D$241,"&gt;="&amp;$A27,Summary!$D$5:$D$241,"&lt;"&amp;$A27+7))</f>
        <v>0</v>
      </c>
      <c r="AP27">
        <f>IF(AP5="","",COUNTIFS(Summary!$E$5:$E$241,AP5,Summary!$D$5:$D$241,"&gt;="&amp;$A27,Summary!$D$5:$D$241,"&lt;"&amp;$A27+7))</f>
        <v>0</v>
      </c>
      <c r="AQ27">
        <f>IF(AQ5="","",COUNTIFS(Summary!$E$5:$E$241,AQ5,Summary!$D$5:$D$241,"&gt;="&amp;$A27,Summary!$D$5:$D$241,"&lt;"&amp;$A27+7))</f>
        <v>0</v>
      </c>
      <c r="AR27">
        <f>IF(AR5="","",COUNTIFS(Summary!$E$5:$E$241,AR5,Summary!$D$5:$D$241,"&gt;="&amp;$A27,Summary!$D$5:$D$241,"&lt;"&amp;$A27+7))</f>
        <v>0</v>
      </c>
      <c r="AS27">
        <f>IF(AS5="","",COUNTIFS(Summary!$E$5:$E$241,AS5,Summary!$D$5:$D$241,"&gt;="&amp;$A27,Summary!$D$5:$D$241,"&lt;"&amp;$A27+7))</f>
        <v>0</v>
      </c>
      <c r="AT27">
        <f>IF(AT5="","",COUNTIFS(Summary!$E$5:$E$241,AT5,Summary!$D$5:$D$241,"&gt;="&amp;$A27,Summary!$D$5:$D$241,"&lt;"&amp;$A27+7))</f>
        <v>0</v>
      </c>
      <c r="AU27">
        <f>IF(AU5="","",COUNTIFS(Summary!$E$5:$E$241,AU5,Summary!$D$5:$D$241,"&gt;="&amp;$A27,Summary!$D$5:$D$241,"&lt;"&amp;$A27+7))</f>
        <v>0</v>
      </c>
      <c r="AV27">
        <f>IF(AV5="","",COUNTIFS(Summary!$E$5:$E$241,AV5,Summary!$D$5:$D$241,"&gt;="&amp;$A27,Summary!$D$5:$D$241,"&lt;"&amp;$A27+7))</f>
        <v>0</v>
      </c>
      <c r="AW27">
        <f>IF(AW5="","",COUNTIFS(Summary!$E$5:$E$241,AW5,Summary!$D$5:$D$241,"&gt;="&amp;$A27,Summary!$D$5:$D$241,"&lt;"&amp;$A27+7))</f>
        <v>0</v>
      </c>
      <c r="AX27">
        <f>IF(AX5="","",COUNTIFS(Summary!$E$5:$E$241,AX5,Summary!$D$5:$D$241,"&gt;="&amp;$A27,Summary!$D$5:$D$241,"&lt;"&amp;$A27+7))</f>
        <v>0</v>
      </c>
      <c r="AY27">
        <f>IF(AY5="","",COUNTIFS(Summary!$E$5:$E$241,AY5,Summary!$D$5:$D$241,"&gt;="&amp;$A27,Summary!$D$5:$D$241,"&lt;"&amp;$A27+7))</f>
        <v>0</v>
      </c>
      <c r="AZ27">
        <f>IF(AZ5="","",COUNTIFS(Summary!$E$5:$E$241,AZ5,Summary!$D$5:$D$241,"&gt;="&amp;$A27,Summary!$D$5:$D$241,"&lt;"&amp;$A27+7))</f>
        <v>0</v>
      </c>
      <c r="BA27">
        <f>IF(BA5="","",COUNTIFS(Summary!$E$5:$E$241,BA5,Summary!$D$5:$D$241,"&gt;="&amp;$A27,Summary!$D$5:$D$241,"&lt;"&amp;$A27+7))</f>
        <v>0</v>
      </c>
      <c r="BB27">
        <f>IF(BB5="","",COUNTIFS(Summary!$E$5:$E$241,BB5,Summary!$D$5:$D$241,"&gt;="&amp;$A27,Summary!$D$5:$D$241,"&lt;"&amp;$A27+7))</f>
        <v>0</v>
      </c>
      <c r="BC27">
        <f>IF(BC5="","",COUNTIFS(Summary!$E$5:$E$241,BC5,Summary!$D$5:$D$241,"&gt;="&amp;$A27,Summary!$D$5:$D$241,"&lt;"&amp;$A27+7))</f>
        <v>0</v>
      </c>
      <c r="BD27">
        <f>IF(BD5="","",COUNTIFS(Summary!$E$5:$E$241,BD5,Summary!$D$5:$D$241,"&gt;="&amp;$A27,Summary!$D$5:$D$241,"&lt;"&amp;$A27+7))</f>
        <v>0</v>
      </c>
      <c r="BE27">
        <f>IF(BE5="","",COUNTIFS(Summary!$E$5:$E$241,BE5,Summary!$D$5:$D$241,"&gt;="&amp;$A27,Summary!$D$5:$D$241,"&lt;"&amp;$A27+7))</f>
        <v>0</v>
      </c>
      <c r="BF27" s="28">
        <f>IF(BF5="","",COUNTIFS(Summary!$E$5:$E$241,BF5,Summary!$D$5:$D$241,"&gt;="&amp;$A27,Summary!$D$5:$D$241,"&lt;"&amp;$A27+7))</f>
        <v>0</v>
      </c>
    </row>
    <row r="28" spans="1:58">
      <c r="A28" s="18">
        <f t="shared" si="1"/>
        <v>46237</v>
      </c>
      <c r="B28" s="2" t="str">
        <f t="shared" si="0"/>
        <v>Aug 3</v>
      </c>
      <c r="C28">
        <f>IF(C5="","",COUNTIFS(Summary!$E$5:$E$241,C5,Summary!$D$5:$D$241,"&gt;="&amp;$A28,Summary!$D$5:$D$241,"&lt;"&amp;$A28+7))</f>
        <v>0</v>
      </c>
      <c r="D28">
        <f>IF(D5="","",COUNTIFS(Summary!$E$5:$E$241,D5,Summary!$D$5:$D$241,"&gt;="&amp;$A28,Summary!$D$5:$D$241,"&lt;"&amp;$A28+7))</f>
        <v>0</v>
      </c>
      <c r="E28">
        <f>IF(E5="","",COUNTIFS(Summary!$E$5:$E$241,E5,Summary!$D$5:$D$241,"&gt;="&amp;$A28,Summary!$D$5:$D$241,"&lt;"&amp;$A28+7))</f>
        <v>0</v>
      </c>
      <c r="F28">
        <f>IF(F5="","",COUNTIFS(Summary!$E$5:$E$241,F5,Summary!$D$5:$D$241,"&gt;="&amp;$A28,Summary!$D$5:$D$241,"&lt;"&amp;$A28+7))</f>
        <v>0</v>
      </c>
      <c r="G28">
        <f>IF(G5="","",COUNTIFS(Summary!$E$5:$E$241,G5,Summary!$D$5:$D$241,"&gt;="&amp;$A28,Summary!$D$5:$D$241,"&lt;"&amp;$A28+7))</f>
        <v>0</v>
      </c>
      <c r="H28">
        <f>IF(H5="","",COUNTIFS(Summary!$E$5:$E$241,H5,Summary!$D$5:$D$241,"&gt;="&amp;$A28,Summary!$D$5:$D$241,"&lt;"&amp;$A28+7))</f>
        <v>0</v>
      </c>
      <c r="I28">
        <f>IF(I5="","",COUNTIFS(Summary!$E$5:$E$241,I5,Summary!$D$5:$D$241,"&gt;="&amp;$A28,Summary!$D$5:$D$241,"&lt;"&amp;$A28+7))</f>
        <v>0</v>
      </c>
      <c r="J28">
        <f>IF(J5="","",COUNTIFS(Summary!$E$5:$E$241,J5,Summary!$D$5:$D$241,"&gt;="&amp;$A28,Summary!$D$5:$D$241,"&lt;"&amp;$A28+7))</f>
        <v>0</v>
      </c>
      <c r="K28">
        <f>IF(K5="","",COUNTIFS(Summary!$E$5:$E$241,K5,Summary!$D$5:$D$241,"&gt;="&amp;$A28,Summary!$D$5:$D$241,"&lt;"&amp;$A28+7))</f>
        <v>0</v>
      </c>
      <c r="L28">
        <f>IF(L5="","",COUNTIFS(Summary!$E$5:$E$241,L5,Summary!$D$5:$D$241,"&gt;="&amp;$A28,Summary!$D$5:$D$241,"&lt;"&amp;$A28+7))</f>
        <v>0</v>
      </c>
      <c r="M28">
        <f>IF(M5="","",COUNTIFS(Summary!$E$5:$E$241,M5,Summary!$D$5:$D$241,"&gt;="&amp;$A28,Summary!$D$5:$D$241,"&lt;"&amp;$A28+7))</f>
        <v>0</v>
      </c>
      <c r="N28">
        <f>IF(N5="","",COUNTIFS(Summary!$E$5:$E$241,N5,Summary!$D$5:$D$241,"&gt;="&amp;$A28,Summary!$D$5:$D$241,"&lt;"&amp;$A28+7))</f>
        <v>0</v>
      </c>
      <c r="O28">
        <f>IF(O5="","",COUNTIFS(Summary!$E$5:$E$241,O5,Summary!$D$5:$D$241,"&gt;="&amp;$A28,Summary!$D$5:$D$241,"&lt;"&amp;$A28+7))</f>
        <v>0</v>
      </c>
      <c r="P28">
        <f>IF(P5="","",COUNTIFS(Summary!$E$5:$E$241,P5,Summary!$D$5:$D$241,"&gt;="&amp;$A28,Summary!$D$5:$D$241,"&lt;"&amp;$A28+7))</f>
        <v>0</v>
      </c>
      <c r="Q28">
        <f>IF(Q5="","",COUNTIFS(Summary!$E$5:$E$241,Q5,Summary!$D$5:$D$241,"&gt;="&amp;$A28,Summary!$D$5:$D$241,"&lt;"&amp;$A28+7))</f>
        <v>0</v>
      </c>
      <c r="R28">
        <f>IF(R5="","",COUNTIFS(Summary!$E$5:$E$241,R5,Summary!$D$5:$D$241,"&gt;="&amp;$A28,Summary!$D$5:$D$241,"&lt;"&amp;$A28+7))</f>
        <v>0</v>
      </c>
      <c r="S28">
        <f>IF(S5="","",COUNTIFS(Summary!$E$5:$E$241,S5,Summary!$D$5:$D$241,"&gt;="&amp;$A28,Summary!$D$5:$D$241,"&lt;"&amp;$A28+7))</f>
        <v>0</v>
      </c>
      <c r="T28">
        <f>IF(T5="","",COUNTIFS(Summary!$E$5:$E$241,T5,Summary!$D$5:$D$241,"&gt;="&amp;$A28,Summary!$D$5:$D$241,"&lt;"&amp;$A28+7))</f>
        <v>0</v>
      </c>
      <c r="U28">
        <f>IF(U5="","",COUNTIFS(Summary!$E$5:$E$241,U5,Summary!$D$5:$D$241,"&gt;="&amp;$A28,Summary!$D$5:$D$241,"&lt;"&amp;$A28+7))</f>
        <v>0</v>
      </c>
      <c r="V28">
        <f>IF(V5="","",COUNTIFS(Summary!$E$5:$E$241,V5,Summary!$D$5:$D$241,"&gt;="&amp;$A28,Summary!$D$5:$D$241,"&lt;"&amp;$A28+7))</f>
        <v>0</v>
      </c>
      <c r="W28">
        <f>IF(W5="","",COUNTIFS(Summary!$E$5:$E$241,W5,Summary!$D$5:$D$241,"&gt;="&amp;$A28,Summary!$D$5:$D$241,"&lt;"&amp;$A28+7))</f>
        <v>0</v>
      </c>
      <c r="X28">
        <f>IF(X5="","",COUNTIFS(Summary!$E$5:$E$241,X5,Summary!$D$5:$D$241,"&gt;="&amp;$A28,Summary!$D$5:$D$241,"&lt;"&amp;$A28+7))</f>
        <v>0</v>
      </c>
      <c r="Y28">
        <f>IF(Y5="","",COUNTIFS(Summary!$E$5:$E$241,Y5,Summary!$D$5:$D$241,"&gt;="&amp;$A28,Summary!$D$5:$D$241,"&lt;"&amp;$A28+7))</f>
        <v>0</v>
      </c>
      <c r="Z28">
        <f>IF(Z5="","",COUNTIFS(Summary!$E$5:$E$241,Z5,Summary!$D$5:$D$241,"&gt;="&amp;$A28,Summary!$D$5:$D$241,"&lt;"&amp;$A28+7))</f>
        <v>0</v>
      </c>
      <c r="AA28">
        <f>IF(AA5="","",COUNTIFS(Summary!$E$5:$E$241,AA5,Summary!$D$5:$D$241,"&gt;="&amp;$A28,Summary!$D$5:$D$241,"&lt;"&amp;$A28+7))</f>
        <v>0</v>
      </c>
      <c r="AB28">
        <f>IF(AB5="","",COUNTIFS(Summary!$E$5:$E$241,AB5,Summary!$D$5:$D$241,"&gt;="&amp;$A28,Summary!$D$5:$D$241,"&lt;"&amp;$A28+7))</f>
        <v>0</v>
      </c>
      <c r="AC28">
        <f>IF(AC5="","",COUNTIFS(Summary!$E$5:$E$241,AC5,Summary!$D$5:$D$241,"&gt;="&amp;$A28,Summary!$D$5:$D$241,"&lt;"&amp;$A28+7))</f>
        <v>0</v>
      </c>
      <c r="AD28">
        <f>IF(AD5="","",COUNTIFS(Summary!$E$5:$E$241,AD5,Summary!$D$5:$D$241,"&gt;="&amp;$A28,Summary!$D$5:$D$241,"&lt;"&amp;$A28+7))</f>
        <v>0</v>
      </c>
      <c r="AE28">
        <f>IF(AE5="","",COUNTIFS(Summary!$E$5:$E$241,AE5,Summary!$D$5:$D$241,"&gt;="&amp;$A28,Summary!$D$5:$D$241,"&lt;"&amp;$A28+7))</f>
        <v>0</v>
      </c>
      <c r="AF28">
        <f>IF(AF5="","",COUNTIFS(Summary!$E$5:$E$241,AF5,Summary!$D$5:$D$241,"&gt;="&amp;$A28,Summary!$D$5:$D$241,"&lt;"&amp;$A28+7))</f>
        <v>0</v>
      </c>
      <c r="AG28">
        <f>IF(AG5="","",COUNTIFS(Summary!$E$5:$E$241,AG5,Summary!$D$5:$D$241,"&gt;="&amp;$A28,Summary!$D$5:$D$241,"&lt;"&amp;$A28+7))</f>
        <v>0</v>
      </c>
      <c r="AH28">
        <f>IF(AH5="","",COUNTIFS(Summary!$E$5:$E$241,AH5,Summary!$D$5:$D$241,"&gt;="&amp;$A28,Summary!$D$5:$D$241,"&lt;"&amp;$A28+7))</f>
        <v>0</v>
      </c>
      <c r="AI28">
        <f>IF(AI5="","",COUNTIFS(Summary!$E$5:$E$241,AI5,Summary!$D$5:$D$241,"&gt;="&amp;$A28,Summary!$D$5:$D$241,"&lt;"&amp;$A28+7))</f>
        <v>0</v>
      </c>
      <c r="AJ28">
        <f>IF(AJ5="","",COUNTIFS(Summary!$E$5:$E$241,AJ5,Summary!$D$5:$D$241,"&gt;="&amp;$A28,Summary!$D$5:$D$241,"&lt;"&amp;$A28+7))</f>
        <v>0</v>
      </c>
      <c r="AK28">
        <f>IF(AK5="","",COUNTIFS(Summary!$E$5:$E$241,AK5,Summary!$D$5:$D$241,"&gt;="&amp;$A28,Summary!$D$5:$D$241,"&lt;"&amp;$A28+7))</f>
        <v>0</v>
      </c>
      <c r="AL28">
        <f>IF(AL5="","",COUNTIFS(Summary!$E$5:$E$241,AL5,Summary!$D$5:$D$241,"&gt;="&amp;$A28,Summary!$D$5:$D$241,"&lt;"&amp;$A28+7))</f>
        <v>0</v>
      </c>
      <c r="AM28">
        <f>IF(AM5="","",COUNTIFS(Summary!$E$5:$E$241,AM5,Summary!$D$5:$D$241,"&gt;="&amp;$A28,Summary!$D$5:$D$241,"&lt;"&amp;$A28+7))</f>
        <v>0</v>
      </c>
      <c r="AN28">
        <f>IF(AN5="","",COUNTIFS(Summary!$E$5:$E$241,AN5,Summary!$D$5:$D$241,"&gt;="&amp;$A28,Summary!$D$5:$D$241,"&lt;"&amp;$A28+7))</f>
        <v>0</v>
      </c>
      <c r="AO28">
        <f>IF(AO5="","",COUNTIFS(Summary!$E$5:$E$241,AO5,Summary!$D$5:$D$241,"&gt;="&amp;$A28,Summary!$D$5:$D$241,"&lt;"&amp;$A28+7))</f>
        <v>0</v>
      </c>
      <c r="AP28">
        <f>IF(AP5="","",COUNTIFS(Summary!$E$5:$E$241,AP5,Summary!$D$5:$D$241,"&gt;="&amp;$A28,Summary!$D$5:$D$241,"&lt;"&amp;$A28+7))</f>
        <v>0</v>
      </c>
      <c r="AQ28">
        <f>IF(AQ5="","",COUNTIFS(Summary!$E$5:$E$241,AQ5,Summary!$D$5:$D$241,"&gt;="&amp;$A28,Summary!$D$5:$D$241,"&lt;"&amp;$A28+7))</f>
        <v>0</v>
      </c>
      <c r="AR28">
        <f>IF(AR5="","",COUNTIFS(Summary!$E$5:$E$241,AR5,Summary!$D$5:$D$241,"&gt;="&amp;$A28,Summary!$D$5:$D$241,"&lt;"&amp;$A28+7))</f>
        <v>0</v>
      </c>
      <c r="AS28">
        <f>IF(AS5="","",COUNTIFS(Summary!$E$5:$E$241,AS5,Summary!$D$5:$D$241,"&gt;="&amp;$A28,Summary!$D$5:$D$241,"&lt;"&amp;$A28+7))</f>
        <v>0</v>
      </c>
      <c r="AT28">
        <f>IF(AT5="","",COUNTIFS(Summary!$E$5:$E$241,AT5,Summary!$D$5:$D$241,"&gt;="&amp;$A28,Summary!$D$5:$D$241,"&lt;"&amp;$A28+7))</f>
        <v>0</v>
      </c>
      <c r="AU28">
        <f>IF(AU5="","",COUNTIFS(Summary!$E$5:$E$241,AU5,Summary!$D$5:$D$241,"&gt;="&amp;$A28,Summary!$D$5:$D$241,"&lt;"&amp;$A28+7))</f>
        <v>0</v>
      </c>
      <c r="AV28">
        <f>IF(AV5="","",COUNTIFS(Summary!$E$5:$E$241,AV5,Summary!$D$5:$D$241,"&gt;="&amp;$A28,Summary!$D$5:$D$241,"&lt;"&amp;$A28+7))</f>
        <v>0</v>
      </c>
      <c r="AW28">
        <f>IF(AW5="","",COUNTIFS(Summary!$E$5:$E$241,AW5,Summary!$D$5:$D$241,"&gt;="&amp;$A28,Summary!$D$5:$D$241,"&lt;"&amp;$A28+7))</f>
        <v>0</v>
      </c>
      <c r="AX28">
        <f>IF(AX5="","",COUNTIFS(Summary!$E$5:$E$241,AX5,Summary!$D$5:$D$241,"&gt;="&amp;$A28,Summary!$D$5:$D$241,"&lt;"&amp;$A28+7))</f>
        <v>0</v>
      </c>
      <c r="AY28">
        <f>IF(AY5="","",COUNTIFS(Summary!$E$5:$E$241,AY5,Summary!$D$5:$D$241,"&gt;="&amp;$A28,Summary!$D$5:$D$241,"&lt;"&amp;$A28+7))</f>
        <v>0</v>
      </c>
      <c r="AZ28">
        <f>IF(AZ5="","",COUNTIFS(Summary!$E$5:$E$241,AZ5,Summary!$D$5:$D$241,"&gt;="&amp;$A28,Summary!$D$5:$D$241,"&lt;"&amp;$A28+7))</f>
        <v>0</v>
      </c>
      <c r="BA28">
        <f>IF(BA5="","",COUNTIFS(Summary!$E$5:$E$241,BA5,Summary!$D$5:$D$241,"&gt;="&amp;$A28,Summary!$D$5:$D$241,"&lt;"&amp;$A28+7))</f>
        <v>0</v>
      </c>
      <c r="BB28">
        <f>IF(BB5="","",COUNTIFS(Summary!$E$5:$E$241,BB5,Summary!$D$5:$D$241,"&gt;="&amp;$A28,Summary!$D$5:$D$241,"&lt;"&amp;$A28+7))</f>
        <v>0</v>
      </c>
      <c r="BC28">
        <f>IF(BC5="","",COUNTIFS(Summary!$E$5:$E$241,BC5,Summary!$D$5:$D$241,"&gt;="&amp;$A28,Summary!$D$5:$D$241,"&lt;"&amp;$A28+7))</f>
        <v>0</v>
      </c>
      <c r="BD28">
        <f>IF(BD5="","",COUNTIFS(Summary!$E$5:$E$241,BD5,Summary!$D$5:$D$241,"&gt;="&amp;$A28,Summary!$D$5:$D$241,"&lt;"&amp;$A28+7))</f>
        <v>0</v>
      </c>
      <c r="BE28">
        <f>IF(BE5="","",COUNTIFS(Summary!$E$5:$E$241,BE5,Summary!$D$5:$D$241,"&gt;="&amp;$A28,Summary!$D$5:$D$241,"&lt;"&amp;$A28+7))</f>
        <v>0</v>
      </c>
      <c r="BF28" s="28">
        <f>IF(BF5="","",COUNTIFS(Summary!$E$5:$E$241,BF5,Summary!$D$5:$D$241,"&gt;="&amp;$A28,Summary!$D$5:$D$241,"&lt;"&amp;$A28+7))</f>
        <v>0</v>
      </c>
    </row>
    <row r="29" spans="1:58">
      <c r="A29" s="18">
        <f t="shared" si="1"/>
        <v>46244</v>
      </c>
      <c r="B29" s="2" t="str">
        <f t="shared" si="0"/>
        <v>Aug 10</v>
      </c>
      <c r="C29">
        <f>IF(C5="","",COUNTIFS(Summary!$E$5:$E$241,C5,Summary!$D$5:$D$241,"&gt;="&amp;$A29,Summary!$D$5:$D$241,"&lt;"&amp;$A29+7))</f>
        <v>0</v>
      </c>
      <c r="D29">
        <f>IF(D5="","",COUNTIFS(Summary!$E$5:$E$241,D5,Summary!$D$5:$D$241,"&gt;="&amp;$A29,Summary!$D$5:$D$241,"&lt;"&amp;$A29+7))</f>
        <v>0</v>
      </c>
      <c r="E29">
        <f>IF(E5="","",COUNTIFS(Summary!$E$5:$E$241,E5,Summary!$D$5:$D$241,"&gt;="&amp;$A29,Summary!$D$5:$D$241,"&lt;"&amp;$A29+7))</f>
        <v>0</v>
      </c>
      <c r="F29">
        <f>IF(F5="","",COUNTIFS(Summary!$E$5:$E$241,F5,Summary!$D$5:$D$241,"&gt;="&amp;$A29,Summary!$D$5:$D$241,"&lt;"&amp;$A29+7))</f>
        <v>0</v>
      </c>
      <c r="G29">
        <f>IF(G5="","",COUNTIFS(Summary!$E$5:$E$241,G5,Summary!$D$5:$D$241,"&gt;="&amp;$A29,Summary!$D$5:$D$241,"&lt;"&amp;$A29+7))</f>
        <v>0</v>
      </c>
      <c r="H29">
        <f>IF(H5="","",COUNTIFS(Summary!$E$5:$E$241,H5,Summary!$D$5:$D$241,"&gt;="&amp;$A29,Summary!$D$5:$D$241,"&lt;"&amp;$A29+7))</f>
        <v>0</v>
      </c>
      <c r="I29">
        <f>IF(I5="","",COUNTIFS(Summary!$E$5:$E$241,I5,Summary!$D$5:$D$241,"&gt;="&amp;$A29,Summary!$D$5:$D$241,"&lt;"&amp;$A29+7))</f>
        <v>0</v>
      </c>
      <c r="J29">
        <f>IF(J5="","",COUNTIFS(Summary!$E$5:$E$241,J5,Summary!$D$5:$D$241,"&gt;="&amp;$A29,Summary!$D$5:$D$241,"&lt;"&amp;$A29+7))</f>
        <v>0</v>
      </c>
      <c r="K29">
        <f>IF(K5="","",COUNTIFS(Summary!$E$5:$E$241,K5,Summary!$D$5:$D$241,"&gt;="&amp;$A29,Summary!$D$5:$D$241,"&lt;"&amp;$A29+7))</f>
        <v>0</v>
      </c>
      <c r="L29">
        <f>IF(L5="","",COUNTIFS(Summary!$E$5:$E$241,L5,Summary!$D$5:$D$241,"&gt;="&amp;$A29,Summary!$D$5:$D$241,"&lt;"&amp;$A29+7))</f>
        <v>0</v>
      </c>
      <c r="M29">
        <f>IF(M5="","",COUNTIFS(Summary!$E$5:$E$241,M5,Summary!$D$5:$D$241,"&gt;="&amp;$A29,Summary!$D$5:$D$241,"&lt;"&amp;$A29+7))</f>
        <v>0</v>
      </c>
      <c r="N29">
        <f>IF(N5="","",COUNTIFS(Summary!$E$5:$E$241,N5,Summary!$D$5:$D$241,"&gt;="&amp;$A29,Summary!$D$5:$D$241,"&lt;"&amp;$A29+7))</f>
        <v>0</v>
      </c>
      <c r="O29">
        <f>IF(O5="","",COUNTIFS(Summary!$E$5:$E$241,O5,Summary!$D$5:$D$241,"&gt;="&amp;$A29,Summary!$D$5:$D$241,"&lt;"&amp;$A29+7))</f>
        <v>0</v>
      </c>
      <c r="P29">
        <f>IF(P5="","",COUNTIFS(Summary!$E$5:$E$241,P5,Summary!$D$5:$D$241,"&gt;="&amp;$A29,Summary!$D$5:$D$241,"&lt;"&amp;$A29+7))</f>
        <v>0</v>
      </c>
      <c r="Q29">
        <f>IF(Q5="","",COUNTIFS(Summary!$E$5:$E$241,Q5,Summary!$D$5:$D$241,"&gt;="&amp;$A29,Summary!$D$5:$D$241,"&lt;"&amp;$A29+7))</f>
        <v>0</v>
      </c>
      <c r="R29">
        <f>IF(R5="","",COUNTIFS(Summary!$E$5:$E$241,R5,Summary!$D$5:$D$241,"&gt;="&amp;$A29,Summary!$D$5:$D$241,"&lt;"&amp;$A29+7))</f>
        <v>0</v>
      </c>
      <c r="S29">
        <f>IF(S5="","",COUNTIFS(Summary!$E$5:$E$241,S5,Summary!$D$5:$D$241,"&gt;="&amp;$A29,Summary!$D$5:$D$241,"&lt;"&amp;$A29+7))</f>
        <v>0</v>
      </c>
      <c r="T29">
        <f>IF(T5="","",COUNTIFS(Summary!$E$5:$E$241,T5,Summary!$D$5:$D$241,"&gt;="&amp;$A29,Summary!$D$5:$D$241,"&lt;"&amp;$A29+7))</f>
        <v>0</v>
      </c>
      <c r="U29">
        <f>IF(U5="","",COUNTIFS(Summary!$E$5:$E$241,U5,Summary!$D$5:$D$241,"&gt;="&amp;$A29,Summary!$D$5:$D$241,"&lt;"&amp;$A29+7))</f>
        <v>0</v>
      </c>
      <c r="V29">
        <f>IF(V5="","",COUNTIFS(Summary!$E$5:$E$241,V5,Summary!$D$5:$D$241,"&gt;="&amp;$A29,Summary!$D$5:$D$241,"&lt;"&amp;$A29+7))</f>
        <v>0</v>
      </c>
      <c r="W29">
        <f>IF(W5="","",COUNTIFS(Summary!$E$5:$E$241,W5,Summary!$D$5:$D$241,"&gt;="&amp;$A29,Summary!$D$5:$D$241,"&lt;"&amp;$A29+7))</f>
        <v>0</v>
      </c>
      <c r="X29">
        <f>IF(X5="","",COUNTIFS(Summary!$E$5:$E$241,X5,Summary!$D$5:$D$241,"&gt;="&amp;$A29,Summary!$D$5:$D$241,"&lt;"&amp;$A29+7))</f>
        <v>0</v>
      </c>
      <c r="Y29">
        <f>IF(Y5="","",COUNTIFS(Summary!$E$5:$E$241,Y5,Summary!$D$5:$D$241,"&gt;="&amp;$A29,Summary!$D$5:$D$241,"&lt;"&amp;$A29+7))</f>
        <v>0</v>
      </c>
      <c r="Z29">
        <f>IF(Z5="","",COUNTIFS(Summary!$E$5:$E$241,Z5,Summary!$D$5:$D$241,"&gt;="&amp;$A29,Summary!$D$5:$D$241,"&lt;"&amp;$A29+7))</f>
        <v>0</v>
      </c>
      <c r="AA29">
        <f>IF(AA5="","",COUNTIFS(Summary!$E$5:$E$241,AA5,Summary!$D$5:$D$241,"&gt;="&amp;$A29,Summary!$D$5:$D$241,"&lt;"&amp;$A29+7))</f>
        <v>0</v>
      </c>
      <c r="AB29">
        <f>IF(AB5="","",COUNTIFS(Summary!$E$5:$E$241,AB5,Summary!$D$5:$D$241,"&gt;="&amp;$A29,Summary!$D$5:$D$241,"&lt;"&amp;$A29+7))</f>
        <v>0</v>
      </c>
      <c r="AC29">
        <f>IF(AC5="","",COUNTIFS(Summary!$E$5:$E$241,AC5,Summary!$D$5:$D$241,"&gt;="&amp;$A29,Summary!$D$5:$D$241,"&lt;"&amp;$A29+7))</f>
        <v>0</v>
      </c>
      <c r="AD29">
        <f>IF(AD5="","",COUNTIFS(Summary!$E$5:$E$241,AD5,Summary!$D$5:$D$241,"&gt;="&amp;$A29,Summary!$D$5:$D$241,"&lt;"&amp;$A29+7))</f>
        <v>0</v>
      </c>
      <c r="AE29">
        <f>IF(AE5="","",COUNTIFS(Summary!$E$5:$E$241,AE5,Summary!$D$5:$D$241,"&gt;="&amp;$A29,Summary!$D$5:$D$241,"&lt;"&amp;$A29+7))</f>
        <v>0</v>
      </c>
      <c r="AF29">
        <f>IF(AF5="","",COUNTIFS(Summary!$E$5:$E$241,AF5,Summary!$D$5:$D$241,"&gt;="&amp;$A29,Summary!$D$5:$D$241,"&lt;"&amp;$A29+7))</f>
        <v>0</v>
      </c>
      <c r="AG29">
        <f>IF(AG5="","",COUNTIFS(Summary!$E$5:$E$241,AG5,Summary!$D$5:$D$241,"&gt;="&amp;$A29,Summary!$D$5:$D$241,"&lt;"&amp;$A29+7))</f>
        <v>0</v>
      </c>
      <c r="AH29">
        <f>IF(AH5="","",COUNTIFS(Summary!$E$5:$E$241,AH5,Summary!$D$5:$D$241,"&gt;="&amp;$A29,Summary!$D$5:$D$241,"&lt;"&amp;$A29+7))</f>
        <v>0</v>
      </c>
      <c r="AI29">
        <f>IF(AI5="","",COUNTIFS(Summary!$E$5:$E$241,AI5,Summary!$D$5:$D$241,"&gt;="&amp;$A29,Summary!$D$5:$D$241,"&lt;"&amp;$A29+7))</f>
        <v>0</v>
      </c>
      <c r="AJ29">
        <f>IF(AJ5="","",COUNTIFS(Summary!$E$5:$E$241,AJ5,Summary!$D$5:$D$241,"&gt;="&amp;$A29,Summary!$D$5:$D$241,"&lt;"&amp;$A29+7))</f>
        <v>0</v>
      </c>
      <c r="AK29">
        <f>IF(AK5="","",COUNTIFS(Summary!$E$5:$E$241,AK5,Summary!$D$5:$D$241,"&gt;="&amp;$A29,Summary!$D$5:$D$241,"&lt;"&amp;$A29+7))</f>
        <v>0</v>
      </c>
      <c r="AL29">
        <f>IF(AL5="","",COUNTIFS(Summary!$E$5:$E$241,AL5,Summary!$D$5:$D$241,"&gt;="&amp;$A29,Summary!$D$5:$D$241,"&lt;"&amp;$A29+7))</f>
        <v>0</v>
      </c>
      <c r="AM29">
        <f>IF(AM5="","",COUNTIFS(Summary!$E$5:$E$241,AM5,Summary!$D$5:$D$241,"&gt;="&amp;$A29,Summary!$D$5:$D$241,"&lt;"&amp;$A29+7))</f>
        <v>0</v>
      </c>
      <c r="AN29">
        <f>IF(AN5="","",COUNTIFS(Summary!$E$5:$E$241,AN5,Summary!$D$5:$D$241,"&gt;="&amp;$A29,Summary!$D$5:$D$241,"&lt;"&amp;$A29+7))</f>
        <v>0</v>
      </c>
      <c r="AO29">
        <f>IF(AO5="","",COUNTIFS(Summary!$E$5:$E$241,AO5,Summary!$D$5:$D$241,"&gt;="&amp;$A29,Summary!$D$5:$D$241,"&lt;"&amp;$A29+7))</f>
        <v>0</v>
      </c>
      <c r="AP29">
        <f>IF(AP5="","",COUNTIFS(Summary!$E$5:$E$241,AP5,Summary!$D$5:$D$241,"&gt;="&amp;$A29,Summary!$D$5:$D$241,"&lt;"&amp;$A29+7))</f>
        <v>0</v>
      </c>
      <c r="AQ29">
        <f>IF(AQ5="","",COUNTIFS(Summary!$E$5:$E$241,AQ5,Summary!$D$5:$D$241,"&gt;="&amp;$A29,Summary!$D$5:$D$241,"&lt;"&amp;$A29+7))</f>
        <v>0</v>
      </c>
      <c r="AR29">
        <f>IF(AR5="","",COUNTIFS(Summary!$E$5:$E$241,AR5,Summary!$D$5:$D$241,"&gt;="&amp;$A29,Summary!$D$5:$D$241,"&lt;"&amp;$A29+7))</f>
        <v>0</v>
      </c>
      <c r="AS29">
        <f>IF(AS5="","",COUNTIFS(Summary!$E$5:$E$241,AS5,Summary!$D$5:$D$241,"&gt;="&amp;$A29,Summary!$D$5:$D$241,"&lt;"&amp;$A29+7))</f>
        <v>0</v>
      </c>
      <c r="AT29">
        <f>IF(AT5="","",COUNTIFS(Summary!$E$5:$E$241,AT5,Summary!$D$5:$D$241,"&gt;="&amp;$A29,Summary!$D$5:$D$241,"&lt;"&amp;$A29+7))</f>
        <v>0</v>
      </c>
      <c r="AU29">
        <f>IF(AU5="","",COUNTIFS(Summary!$E$5:$E$241,AU5,Summary!$D$5:$D$241,"&gt;="&amp;$A29,Summary!$D$5:$D$241,"&lt;"&amp;$A29+7))</f>
        <v>0</v>
      </c>
      <c r="AV29">
        <f>IF(AV5="","",COUNTIFS(Summary!$E$5:$E$241,AV5,Summary!$D$5:$D$241,"&gt;="&amp;$A29,Summary!$D$5:$D$241,"&lt;"&amp;$A29+7))</f>
        <v>0</v>
      </c>
      <c r="AW29">
        <f>IF(AW5="","",COUNTIFS(Summary!$E$5:$E$241,AW5,Summary!$D$5:$D$241,"&gt;="&amp;$A29,Summary!$D$5:$D$241,"&lt;"&amp;$A29+7))</f>
        <v>0</v>
      </c>
      <c r="AX29">
        <f>IF(AX5="","",COUNTIFS(Summary!$E$5:$E$241,AX5,Summary!$D$5:$D$241,"&gt;="&amp;$A29,Summary!$D$5:$D$241,"&lt;"&amp;$A29+7))</f>
        <v>0</v>
      </c>
      <c r="AY29">
        <f>IF(AY5="","",COUNTIFS(Summary!$E$5:$E$241,AY5,Summary!$D$5:$D$241,"&gt;="&amp;$A29,Summary!$D$5:$D$241,"&lt;"&amp;$A29+7))</f>
        <v>0</v>
      </c>
      <c r="AZ29">
        <f>IF(AZ5="","",COUNTIFS(Summary!$E$5:$E$241,AZ5,Summary!$D$5:$D$241,"&gt;="&amp;$A29,Summary!$D$5:$D$241,"&lt;"&amp;$A29+7))</f>
        <v>0</v>
      </c>
      <c r="BA29">
        <f>IF(BA5="","",COUNTIFS(Summary!$E$5:$E$241,BA5,Summary!$D$5:$D$241,"&gt;="&amp;$A29,Summary!$D$5:$D$241,"&lt;"&amp;$A29+7))</f>
        <v>0</v>
      </c>
      <c r="BB29">
        <f>IF(BB5="","",COUNTIFS(Summary!$E$5:$E$241,BB5,Summary!$D$5:$D$241,"&gt;="&amp;$A29,Summary!$D$5:$D$241,"&lt;"&amp;$A29+7))</f>
        <v>0</v>
      </c>
      <c r="BC29">
        <f>IF(BC5="","",COUNTIFS(Summary!$E$5:$E$241,BC5,Summary!$D$5:$D$241,"&gt;="&amp;$A29,Summary!$D$5:$D$241,"&lt;"&amp;$A29+7))</f>
        <v>0</v>
      </c>
      <c r="BD29">
        <f>IF(BD5="","",COUNTIFS(Summary!$E$5:$E$241,BD5,Summary!$D$5:$D$241,"&gt;="&amp;$A29,Summary!$D$5:$D$241,"&lt;"&amp;$A29+7))</f>
        <v>0</v>
      </c>
      <c r="BE29">
        <f>IF(BE5="","",COUNTIFS(Summary!$E$5:$E$241,BE5,Summary!$D$5:$D$241,"&gt;="&amp;$A29,Summary!$D$5:$D$241,"&lt;"&amp;$A29+7))</f>
        <v>0</v>
      </c>
      <c r="BF29" s="28">
        <f>IF(BF5="","",COUNTIFS(Summary!$E$5:$E$241,BF5,Summary!$D$5:$D$241,"&gt;="&amp;$A29,Summary!$D$5:$D$241,"&lt;"&amp;$A29+7))</f>
        <v>0</v>
      </c>
    </row>
    <row r="30" spans="1:58">
      <c r="A30" s="18">
        <f t="shared" si="1"/>
        <v>46251</v>
      </c>
      <c r="B30" s="2" t="str">
        <f t="shared" si="0"/>
        <v>Aug 17</v>
      </c>
      <c r="C30">
        <f>IF(C5="","",COUNTIFS(Summary!$E$5:$E$241,C5,Summary!$D$5:$D$241,"&gt;="&amp;$A30,Summary!$D$5:$D$241,"&lt;"&amp;$A30+7))</f>
        <v>0</v>
      </c>
      <c r="D30">
        <f>IF(D5="","",COUNTIFS(Summary!$E$5:$E$241,D5,Summary!$D$5:$D$241,"&gt;="&amp;$A30,Summary!$D$5:$D$241,"&lt;"&amp;$A30+7))</f>
        <v>0</v>
      </c>
      <c r="E30">
        <f>IF(E5="","",COUNTIFS(Summary!$E$5:$E$241,E5,Summary!$D$5:$D$241,"&gt;="&amp;$A30,Summary!$D$5:$D$241,"&lt;"&amp;$A30+7))</f>
        <v>0</v>
      </c>
      <c r="F30">
        <f>IF(F5="","",COUNTIFS(Summary!$E$5:$E$241,F5,Summary!$D$5:$D$241,"&gt;="&amp;$A30,Summary!$D$5:$D$241,"&lt;"&amp;$A30+7))</f>
        <v>0</v>
      </c>
      <c r="G30">
        <f>IF(G5="","",COUNTIFS(Summary!$E$5:$E$241,G5,Summary!$D$5:$D$241,"&gt;="&amp;$A30,Summary!$D$5:$D$241,"&lt;"&amp;$A30+7))</f>
        <v>0</v>
      </c>
      <c r="H30">
        <f>IF(H5="","",COUNTIFS(Summary!$E$5:$E$241,H5,Summary!$D$5:$D$241,"&gt;="&amp;$A30,Summary!$D$5:$D$241,"&lt;"&amp;$A30+7))</f>
        <v>0</v>
      </c>
      <c r="I30">
        <f>IF(I5="","",COUNTIFS(Summary!$E$5:$E$241,I5,Summary!$D$5:$D$241,"&gt;="&amp;$A30,Summary!$D$5:$D$241,"&lt;"&amp;$A30+7))</f>
        <v>0</v>
      </c>
      <c r="J30">
        <f>IF(J5="","",COUNTIFS(Summary!$E$5:$E$241,J5,Summary!$D$5:$D$241,"&gt;="&amp;$A30,Summary!$D$5:$D$241,"&lt;"&amp;$A30+7))</f>
        <v>0</v>
      </c>
      <c r="K30">
        <f>IF(K5="","",COUNTIFS(Summary!$E$5:$E$241,K5,Summary!$D$5:$D$241,"&gt;="&amp;$A30,Summary!$D$5:$D$241,"&lt;"&amp;$A30+7))</f>
        <v>0</v>
      </c>
      <c r="L30">
        <f>IF(L5="","",COUNTIFS(Summary!$E$5:$E$241,L5,Summary!$D$5:$D$241,"&gt;="&amp;$A30,Summary!$D$5:$D$241,"&lt;"&amp;$A30+7))</f>
        <v>0</v>
      </c>
      <c r="M30">
        <f>IF(M5="","",COUNTIFS(Summary!$E$5:$E$241,M5,Summary!$D$5:$D$241,"&gt;="&amp;$A30,Summary!$D$5:$D$241,"&lt;"&amp;$A30+7))</f>
        <v>0</v>
      </c>
      <c r="N30">
        <f>IF(N5="","",COUNTIFS(Summary!$E$5:$E$241,N5,Summary!$D$5:$D$241,"&gt;="&amp;$A30,Summary!$D$5:$D$241,"&lt;"&amp;$A30+7))</f>
        <v>0</v>
      </c>
      <c r="O30">
        <f>IF(O5="","",COUNTIFS(Summary!$E$5:$E$241,O5,Summary!$D$5:$D$241,"&gt;="&amp;$A30,Summary!$D$5:$D$241,"&lt;"&amp;$A30+7))</f>
        <v>0</v>
      </c>
      <c r="P30">
        <f>IF(P5="","",COUNTIFS(Summary!$E$5:$E$241,P5,Summary!$D$5:$D$241,"&gt;="&amp;$A30,Summary!$D$5:$D$241,"&lt;"&amp;$A30+7))</f>
        <v>0</v>
      </c>
      <c r="Q30">
        <f>IF(Q5="","",COUNTIFS(Summary!$E$5:$E$241,Q5,Summary!$D$5:$D$241,"&gt;="&amp;$A30,Summary!$D$5:$D$241,"&lt;"&amp;$A30+7))</f>
        <v>0</v>
      </c>
      <c r="R30">
        <f>IF(R5="","",COUNTIFS(Summary!$E$5:$E$241,R5,Summary!$D$5:$D$241,"&gt;="&amp;$A30,Summary!$D$5:$D$241,"&lt;"&amp;$A30+7))</f>
        <v>0</v>
      </c>
      <c r="S30">
        <f>IF(S5="","",COUNTIFS(Summary!$E$5:$E$241,S5,Summary!$D$5:$D$241,"&gt;="&amp;$A30,Summary!$D$5:$D$241,"&lt;"&amp;$A30+7))</f>
        <v>0</v>
      </c>
      <c r="T30">
        <f>IF(T5="","",COUNTIFS(Summary!$E$5:$E$241,T5,Summary!$D$5:$D$241,"&gt;="&amp;$A30,Summary!$D$5:$D$241,"&lt;"&amp;$A30+7))</f>
        <v>0</v>
      </c>
      <c r="U30">
        <f>IF(U5="","",COUNTIFS(Summary!$E$5:$E$241,U5,Summary!$D$5:$D$241,"&gt;="&amp;$A30,Summary!$D$5:$D$241,"&lt;"&amp;$A30+7))</f>
        <v>0</v>
      </c>
      <c r="V30">
        <f>IF(V5="","",COUNTIFS(Summary!$E$5:$E$241,V5,Summary!$D$5:$D$241,"&gt;="&amp;$A30,Summary!$D$5:$D$241,"&lt;"&amp;$A30+7))</f>
        <v>0</v>
      </c>
      <c r="W30">
        <f>IF(W5="","",COUNTIFS(Summary!$E$5:$E$241,W5,Summary!$D$5:$D$241,"&gt;="&amp;$A30,Summary!$D$5:$D$241,"&lt;"&amp;$A30+7))</f>
        <v>0</v>
      </c>
      <c r="X30">
        <f>IF(X5="","",COUNTIFS(Summary!$E$5:$E$241,X5,Summary!$D$5:$D$241,"&gt;="&amp;$A30,Summary!$D$5:$D$241,"&lt;"&amp;$A30+7))</f>
        <v>0</v>
      </c>
      <c r="Y30">
        <f>IF(Y5="","",COUNTIFS(Summary!$E$5:$E$241,Y5,Summary!$D$5:$D$241,"&gt;="&amp;$A30,Summary!$D$5:$D$241,"&lt;"&amp;$A30+7))</f>
        <v>0</v>
      </c>
      <c r="Z30">
        <f>IF(Z5="","",COUNTIFS(Summary!$E$5:$E$241,Z5,Summary!$D$5:$D$241,"&gt;="&amp;$A30,Summary!$D$5:$D$241,"&lt;"&amp;$A30+7))</f>
        <v>0</v>
      </c>
      <c r="AA30">
        <f>IF(AA5="","",COUNTIFS(Summary!$E$5:$E$241,AA5,Summary!$D$5:$D$241,"&gt;="&amp;$A30,Summary!$D$5:$D$241,"&lt;"&amp;$A30+7))</f>
        <v>0</v>
      </c>
      <c r="AB30">
        <f>IF(AB5="","",COUNTIFS(Summary!$E$5:$E$241,AB5,Summary!$D$5:$D$241,"&gt;="&amp;$A30,Summary!$D$5:$D$241,"&lt;"&amp;$A30+7))</f>
        <v>0</v>
      </c>
      <c r="AC30">
        <f>IF(AC5="","",COUNTIFS(Summary!$E$5:$E$241,AC5,Summary!$D$5:$D$241,"&gt;="&amp;$A30,Summary!$D$5:$D$241,"&lt;"&amp;$A30+7))</f>
        <v>0</v>
      </c>
      <c r="AD30">
        <f>IF(AD5="","",COUNTIFS(Summary!$E$5:$E$241,AD5,Summary!$D$5:$D$241,"&gt;="&amp;$A30,Summary!$D$5:$D$241,"&lt;"&amp;$A30+7))</f>
        <v>0</v>
      </c>
      <c r="AE30">
        <f>IF(AE5="","",COUNTIFS(Summary!$E$5:$E$241,AE5,Summary!$D$5:$D$241,"&gt;="&amp;$A30,Summary!$D$5:$D$241,"&lt;"&amp;$A30+7))</f>
        <v>0</v>
      </c>
      <c r="AF30">
        <f>IF(AF5="","",COUNTIFS(Summary!$E$5:$E$241,AF5,Summary!$D$5:$D$241,"&gt;="&amp;$A30,Summary!$D$5:$D$241,"&lt;"&amp;$A30+7))</f>
        <v>0</v>
      </c>
      <c r="AG30">
        <f>IF(AG5="","",COUNTIFS(Summary!$E$5:$E$241,AG5,Summary!$D$5:$D$241,"&gt;="&amp;$A30,Summary!$D$5:$D$241,"&lt;"&amp;$A30+7))</f>
        <v>0</v>
      </c>
      <c r="AH30">
        <f>IF(AH5="","",COUNTIFS(Summary!$E$5:$E$241,AH5,Summary!$D$5:$D$241,"&gt;="&amp;$A30,Summary!$D$5:$D$241,"&lt;"&amp;$A30+7))</f>
        <v>0</v>
      </c>
      <c r="AI30">
        <f>IF(AI5="","",COUNTIFS(Summary!$E$5:$E$241,AI5,Summary!$D$5:$D$241,"&gt;="&amp;$A30,Summary!$D$5:$D$241,"&lt;"&amp;$A30+7))</f>
        <v>0</v>
      </c>
      <c r="AJ30">
        <f>IF(AJ5="","",COUNTIFS(Summary!$E$5:$E$241,AJ5,Summary!$D$5:$D$241,"&gt;="&amp;$A30,Summary!$D$5:$D$241,"&lt;"&amp;$A30+7))</f>
        <v>0</v>
      </c>
      <c r="AK30">
        <f>IF(AK5="","",COUNTIFS(Summary!$E$5:$E$241,AK5,Summary!$D$5:$D$241,"&gt;="&amp;$A30,Summary!$D$5:$D$241,"&lt;"&amp;$A30+7))</f>
        <v>0</v>
      </c>
      <c r="AL30">
        <f>IF(AL5="","",COUNTIFS(Summary!$E$5:$E$241,AL5,Summary!$D$5:$D$241,"&gt;="&amp;$A30,Summary!$D$5:$D$241,"&lt;"&amp;$A30+7))</f>
        <v>0</v>
      </c>
      <c r="AM30">
        <f>IF(AM5="","",COUNTIFS(Summary!$E$5:$E$241,AM5,Summary!$D$5:$D$241,"&gt;="&amp;$A30,Summary!$D$5:$D$241,"&lt;"&amp;$A30+7))</f>
        <v>0</v>
      </c>
      <c r="AN30">
        <f>IF(AN5="","",COUNTIFS(Summary!$E$5:$E$241,AN5,Summary!$D$5:$D$241,"&gt;="&amp;$A30,Summary!$D$5:$D$241,"&lt;"&amp;$A30+7))</f>
        <v>0</v>
      </c>
      <c r="AO30">
        <f>IF(AO5="","",COUNTIFS(Summary!$E$5:$E$241,AO5,Summary!$D$5:$D$241,"&gt;="&amp;$A30,Summary!$D$5:$D$241,"&lt;"&amp;$A30+7))</f>
        <v>0</v>
      </c>
      <c r="AP30">
        <f>IF(AP5="","",COUNTIFS(Summary!$E$5:$E$241,AP5,Summary!$D$5:$D$241,"&gt;="&amp;$A30,Summary!$D$5:$D$241,"&lt;"&amp;$A30+7))</f>
        <v>0</v>
      </c>
      <c r="AQ30">
        <f>IF(AQ5="","",COUNTIFS(Summary!$E$5:$E$241,AQ5,Summary!$D$5:$D$241,"&gt;="&amp;$A30,Summary!$D$5:$D$241,"&lt;"&amp;$A30+7))</f>
        <v>0</v>
      </c>
      <c r="AR30">
        <f>IF(AR5="","",COUNTIFS(Summary!$E$5:$E$241,AR5,Summary!$D$5:$D$241,"&gt;="&amp;$A30,Summary!$D$5:$D$241,"&lt;"&amp;$A30+7))</f>
        <v>0</v>
      </c>
      <c r="AS30">
        <f>IF(AS5="","",COUNTIFS(Summary!$E$5:$E$241,AS5,Summary!$D$5:$D$241,"&gt;="&amp;$A30,Summary!$D$5:$D$241,"&lt;"&amp;$A30+7))</f>
        <v>0</v>
      </c>
      <c r="AT30">
        <f>IF(AT5="","",COUNTIFS(Summary!$E$5:$E$241,AT5,Summary!$D$5:$D$241,"&gt;="&amp;$A30,Summary!$D$5:$D$241,"&lt;"&amp;$A30+7))</f>
        <v>0</v>
      </c>
      <c r="AU30">
        <f>IF(AU5="","",COUNTIFS(Summary!$E$5:$E$241,AU5,Summary!$D$5:$D$241,"&gt;="&amp;$A30,Summary!$D$5:$D$241,"&lt;"&amp;$A30+7))</f>
        <v>0</v>
      </c>
      <c r="AV30">
        <f>IF(AV5="","",COUNTIFS(Summary!$E$5:$E$241,AV5,Summary!$D$5:$D$241,"&gt;="&amp;$A30,Summary!$D$5:$D$241,"&lt;"&amp;$A30+7))</f>
        <v>0</v>
      </c>
      <c r="AW30">
        <f>IF(AW5="","",COUNTIFS(Summary!$E$5:$E$241,AW5,Summary!$D$5:$D$241,"&gt;="&amp;$A30,Summary!$D$5:$D$241,"&lt;"&amp;$A30+7))</f>
        <v>0</v>
      </c>
      <c r="AX30">
        <f>IF(AX5="","",COUNTIFS(Summary!$E$5:$E$241,AX5,Summary!$D$5:$D$241,"&gt;="&amp;$A30,Summary!$D$5:$D$241,"&lt;"&amp;$A30+7))</f>
        <v>0</v>
      </c>
      <c r="AY30">
        <f>IF(AY5="","",COUNTIFS(Summary!$E$5:$E$241,AY5,Summary!$D$5:$D$241,"&gt;="&amp;$A30,Summary!$D$5:$D$241,"&lt;"&amp;$A30+7))</f>
        <v>0</v>
      </c>
      <c r="AZ30">
        <f>IF(AZ5="","",COUNTIFS(Summary!$E$5:$E$241,AZ5,Summary!$D$5:$D$241,"&gt;="&amp;$A30,Summary!$D$5:$D$241,"&lt;"&amp;$A30+7))</f>
        <v>0</v>
      </c>
      <c r="BA30">
        <f>IF(BA5="","",COUNTIFS(Summary!$E$5:$E$241,BA5,Summary!$D$5:$D$241,"&gt;="&amp;$A30,Summary!$D$5:$D$241,"&lt;"&amp;$A30+7))</f>
        <v>0</v>
      </c>
      <c r="BB30">
        <f>IF(BB5="","",COUNTIFS(Summary!$E$5:$E$241,BB5,Summary!$D$5:$D$241,"&gt;="&amp;$A30,Summary!$D$5:$D$241,"&lt;"&amp;$A30+7))</f>
        <v>0</v>
      </c>
      <c r="BC30">
        <f>IF(BC5="","",COUNTIFS(Summary!$E$5:$E$241,BC5,Summary!$D$5:$D$241,"&gt;="&amp;$A30,Summary!$D$5:$D$241,"&lt;"&amp;$A30+7))</f>
        <v>0</v>
      </c>
      <c r="BD30">
        <f>IF(BD5="","",COUNTIFS(Summary!$E$5:$E$241,BD5,Summary!$D$5:$D$241,"&gt;="&amp;$A30,Summary!$D$5:$D$241,"&lt;"&amp;$A30+7))</f>
        <v>0</v>
      </c>
      <c r="BE30">
        <f>IF(BE5="","",COUNTIFS(Summary!$E$5:$E$241,BE5,Summary!$D$5:$D$241,"&gt;="&amp;$A30,Summary!$D$5:$D$241,"&lt;"&amp;$A30+7))</f>
        <v>0</v>
      </c>
      <c r="BF30" s="28">
        <f>IF(BF5="","",COUNTIFS(Summary!$E$5:$E$241,BF5,Summary!$D$5:$D$241,"&gt;="&amp;$A30,Summary!$D$5:$D$241,"&lt;"&amp;$A30+7))</f>
        <v>0</v>
      </c>
    </row>
    <row r="31" spans="1:58">
      <c r="A31" s="18">
        <f t="shared" si="1"/>
        <v>46258</v>
      </c>
      <c r="B31" s="2" t="str">
        <f t="shared" si="0"/>
        <v>Aug 24</v>
      </c>
      <c r="C31">
        <f>IF(C5="","",COUNTIFS(Summary!$E$5:$E$241,C5,Summary!$D$5:$D$241,"&gt;="&amp;$A31,Summary!$D$5:$D$241,"&lt;"&amp;$A31+7))</f>
        <v>0</v>
      </c>
      <c r="D31">
        <f>IF(D5="","",COUNTIFS(Summary!$E$5:$E$241,D5,Summary!$D$5:$D$241,"&gt;="&amp;$A31,Summary!$D$5:$D$241,"&lt;"&amp;$A31+7))</f>
        <v>0</v>
      </c>
      <c r="E31">
        <f>IF(E5="","",COUNTIFS(Summary!$E$5:$E$241,E5,Summary!$D$5:$D$241,"&gt;="&amp;$A31,Summary!$D$5:$D$241,"&lt;"&amp;$A31+7))</f>
        <v>0</v>
      </c>
      <c r="F31">
        <f>IF(F5="","",COUNTIFS(Summary!$E$5:$E$241,F5,Summary!$D$5:$D$241,"&gt;="&amp;$A31,Summary!$D$5:$D$241,"&lt;"&amp;$A31+7))</f>
        <v>0</v>
      </c>
      <c r="G31">
        <f>IF(G5="","",COUNTIFS(Summary!$E$5:$E$241,G5,Summary!$D$5:$D$241,"&gt;="&amp;$A31,Summary!$D$5:$D$241,"&lt;"&amp;$A31+7))</f>
        <v>0</v>
      </c>
      <c r="H31">
        <f>IF(H5="","",COUNTIFS(Summary!$E$5:$E$241,H5,Summary!$D$5:$D$241,"&gt;="&amp;$A31,Summary!$D$5:$D$241,"&lt;"&amp;$A31+7))</f>
        <v>0</v>
      </c>
      <c r="I31">
        <f>IF(I5="","",COUNTIFS(Summary!$E$5:$E$241,I5,Summary!$D$5:$D$241,"&gt;="&amp;$A31,Summary!$D$5:$D$241,"&lt;"&amp;$A31+7))</f>
        <v>0</v>
      </c>
      <c r="J31">
        <f>IF(J5="","",COUNTIFS(Summary!$E$5:$E$241,J5,Summary!$D$5:$D$241,"&gt;="&amp;$A31,Summary!$D$5:$D$241,"&lt;"&amp;$A31+7))</f>
        <v>0</v>
      </c>
      <c r="K31">
        <f>IF(K5="","",COUNTIFS(Summary!$E$5:$E$241,K5,Summary!$D$5:$D$241,"&gt;="&amp;$A31,Summary!$D$5:$D$241,"&lt;"&amp;$A31+7))</f>
        <v>0</v>
      </c>
      <c r="L31">
        <f>IF(L5="","",COUNTIFS(Summary!$E$5:$E$241,L5,Summary!$D$5:$D$241,"&gt;="&amp;$A31,Summary!$D$5:$D$241,"&lt;"&amp;$A31+7))</f>
        <v>0</v>
      </c>
      <c r="M31">
        <f>IF(M5="","",COUNTIFS(Summary!$E$5:$E$241,M5,Summary!$D$5:$D$241,"&gt;="&amp;$A31,Summary!$D$5:$D$241,"&lt;"&amp;$A31+7))</f>
        <v>0</v>
      </c>
      <c r="N31">
        <f>IF(N5="","",COUNTIFS(Summary!$E$5:$E$241,N5,Summary!$D$5:$D$241,"&gt;="&amp;$A31,Summary!$D$5:$D$241,"&lt;"&amp;$A31+7))</f>
        <v>0</v>
      </c>
      <c r="O31">
        <f>IF(O5="","",COUNTIFS(Summary!$E$5:$E$241,O5,Summary!$D$5:$D$241,"&gt;="&amp;$A31,Summary!$D$5:$D$241,"&lt;"&amp;$A31+7))</f>
        <v>0</v>
      </c>
      <c r="P31">
        <f>IF(P5="","",COUNTIFS(Summary!$E$5:$E$241,P5,Summary!$D$5:$D$241,"&gt;="&amp;$A31,Summary!$D$5:$D$241,"&lt;"&amp;$A31+7))</f>
        <v>0</v>
      </c>
      <c r="Q31">
        <f>IF(Q5="","",COUNTIFS(Summary!$E$5:$E$241,Q5,Summary!$D$5:$D$241,"&gt;="&amp;$A31,Summary!$D$5:$D$241,"&lt;"&amp;$A31+7))</f>
        <v>0</v>
      </c>
      <c r="R31">
        <f>IF(R5="","",COUNTIFS(Summary!$E$5:$E$241,R5,Summary!$D$5:$D$241,"&gt;="&amp;$A31,Summary!$D$5:$D$241,"&lt;"&amp;$A31+7))</f>
        <v>0</v>
      </c>
      <c r="S31">
        <f>IF(S5="","",COUNTIFS(Summary!$E$5:$E$241,S5,Summary!$D$5:$D$241,"&gt;="&amp;$A31,Summary!$D$5:$D$241,"&lt;"&amp;$A31+7))</f>
        <v>0</v>
      </c>
      <c r="T31">
        <f>IF(T5="","",COUNTIFS(Summary!$E$5:$E$241,T5,Summary!$D$5:$D$241,"&gt;="&amp;$A31,Summary!$D$5:$D$241,"&lt;"&amp;$A31+7))</f>
        <v>0</v>
      </c>
      <c r="U31">
        <f>IF(U5="","",COUNTIFS(Summary!$E$5:$E$241,U5,Summary!$D$5:$D$241,"&gt;="&amp;$A31,Summary!$D$5:$D$241,"&lt;"&amp;$A31+7))</f>
        <v>0</v>
      </c>
      <c r="V31">
        <f>IF(V5="","",COUNTIFS(Summary!$E$5:$E$241,V5,Summary!$D$5:$D$241,"&gt;="&amp;$A31,Summary!$D$5:$D$241,"&lt;"&amp;$A31+7))</f>
        <v>0</v>
      </c>
      <c r="W31">
        <f>IF(W5="","",COUNTIFS(Summary!$E$5:$E$241,W5,Summary!$D$5:$D$241,"&gt;="&amp;$A31,Summary!$D$5:$D$241,"&lt;"&amp;$A31+7))</f>
        <v>0</v>
      </c>
      <c r="X31">
        <f>IF(X5="","",COUNTIFS(Summary!$E$5:$E$241,X5,Summary!$D$5:$D$241,"&gt;="&amp;$A31,Summary!$D$5:$D$241,"&lt;"&amp;$A31+7))</f>
        <v>0</v>
      </c>
      <c r="Y31">
        <f>IF(Y5="","",COUNTIFS(Summary!$E$5:$E$241,Y5,Summary!$D$5:$D$241,"&gt;="&amp;$A31,Summary!$D$5:$D$241,"&lt;"&amp;$A31+7))</f>
        <v>0</v>
      </c>
      <c r="Z31">
        <f>IF(Z5="","",COUNTIFS(Summary!$E$5:$E$241,Z5,Summary!$D$5:$D$241,"&gt;="&amp;$A31,Summary!$D$5:$D$241,"&lt;"&amp;$A31+7))</f>
        <v>0</v>
      </c>
      <c r="AA31">
        <f>IF(AA5="","",COUNTIFS(Summary!$E$5:$E$241,AA5,Summary!$D$5:$D$241,"&gt;="&amp;$A31,Summary!$D$5:$D$241,"&lt;"&amp;$A31+7))</f>
        <v>0</v>
      </c>
      <c r="AB31">
        <f>IF(AB5="","",COUNTIFS(Summary!$E$5:$E$241,AB5,Summary!$D$5:$D$241,"&gt;="&amp;$A31,Summary!$D$5:$D$241,"&lt;"&amp;$A31+7))</f>
        <v>0</v>
      </c>
      <c r="AC31">
        <f>IF(AC5="","",COUNTIFS(Summary!$E$5:$E$241,AC5,Summary!$D$5:$D$241,"&gt;="&amp;$A31,Summary!$D$5:$D$241,"&lt;"&amp;$A31+7))</f>
        <v>0</v>
      </c>
      <c r="AD31">
        <f>IF(AD5="","",COUNTIFS(Summary!$E$5:$E$241,AD5,Summary!$D$5:$D$241,"&gt;="&amp;$A31,Summary!$D$5:$D$241,"&lt;"&amp;$A31+7))</f>
        <v>0</v>
      </c>
      <c r="AE31">
        <f>IF(AE5="","",COUNTIFS(Summary!$E$5:$E$241,AE5,Summary!$D$5:$D$241,"&gt;="&amp;$A31,Summary!$D$5:$D$241,"&lt;"&amp;$A31+7))</f>
        <v>0</v>
      </c>
      <c r="AF31">
        <f>IF(AF5="","",COUNTIFS(Summary!$E$5:$E$241,AF5,Summary!$D$5:$D$241,"&gt;="&amp;$A31,Summary!$D$5:$D$241,"&lt;"&amp;$A31+7))</f>
        <v>0</v>
      </c>
      <c r="AG31">
        <f>IF(AG5="","",COUNTIFS(Summary!$E$5:$E$241,AG5,Summary!$D$5:$D$241,"&gt;="&amp;$A31,Summary!$D$5:$D$241,"&lt;"&amp;$A31+7))</f>
        <v>0</v>
      </c>
      <c r="AH31">
        <f>IF(AH5="","",COUNTIFS(Summary!$E$5:$E$241,AH5,Summary!$D$5:$D$241,"&gt;="&amp;$A31,Summary!$D$5:$D$241,"&lt;"&amp;$A31+7))</f>
        <v>0</v>
      </c>
      <c r="AI31">
        <f>IF(AI5="","",COUNTIFS(Summary!$E$5:$E$241,AI5,Summary!$D$5:$D$241,"&gt;="&amp;$A31,Summary!$D$5:$D$241,"&lt;"&amp;$A31+7))</f>
        <v>0</v>
      </c>
      <c r="AJ31">
        <f>IF(AJ5="","",COUNTIFS(Summary!$E$5:$E$241,AJ5,Summary!$D$5:$D$241,"&gt;="&amp;$A31,Summary!$D$5:$D$241,"&lt;"&amp;$A31+7))</f>
        <v>0</v>
      </c>
      <c r="AK31">
        <f>IF(AK5="","",COUNTIFS(Summary!$E$5:$E$241,AK5,Summary!$D$5:$D$241,"&gt;="&amp;$A31,Summary!$D$5:$D$241,"&lt;"&amp;$A31+7))</f>
        <v>0</v>
      </c>
      <c r="AL31">
        <f>IF(AL5="","",COUNTIFS(Summary!$E$5:$E$241,AL5,Summary!$D$5:$D$241,"&gt;="&amp;$A31,Summary!$D$5:$D$241,"&lt;"&amp;$A31+7))</f>
        <v>0</v>
      </c>
      <c r="AM31">
        <f>IF(AM5="","",COUNTIFS(Summary!$E$5:$E$241,AM5,Summary!$D$5:$D$241,"&gt;="&amp;$A31,Summary!$D$5:$D$241,"&lt;"&amp;$A31+7))</f>
        <v>0</v>
      </c>
      <c r="AN31">
        <f>IF(AN5="","",COUNTIFS(Summary!$E$5:$E$241,AN5,Summary!$D$5:$D$241,"&gt;="&amp;$A31,Summary!$D$5:$D$241,"&lt;"&amp;$A31+7))</f>
        <v>0</v>
      </c>
      <c r="AO31">
        <f>IF(AO5="","",COUNTIFS(Summary!$E$5:$E$241,AO5,Summary!$D$5:$D$241,"&gt;="&amp;$A31,Summary!$D$5:$D$241,"&lt;"&amp;$A31+7))</f>
        <v>0</v>
      </c>
      <c r="AP31">
        <f>IF(AP5="","",COUNTIFS(Summary!$E$5:$E$241,AP5,Summary!$D$5:$D$241,"&gt;="&amp;$A31,Summary!$D$5:$D$241,"&lt;"&amp;$A31+7))</f>
        <v>0</v>
      </c>
      <c r="AQ31">
        <f>IF(AQ5="","",COUNTIFS(Summary!$E$5:$E$241,AQ5,Summary!$D$5:$D$241,"&gt;="&amp;$A31,Summary!$D$5:$D$241,"&lt;"&amp;$A31+7))</f>
        <v>0</v>
      </c>
      <c r="AR31">
        <f>IF(AR5="","",COUNTIFS(Summary!$E$5:$E$241,AR5,Summary!$D$5:$D$241,"&gt;="&amp;$A31,Summary!$D$5:$D$241,"&lt;"&amp;$A31+7))</f>
        <v>0</v>
      </c>
      <c r="AS31">
        <f>IF(AS5="","",COUNTIFS(Summary!$E$5:$E$241,AS5,Summary!$D$5:$D$241,"&gt;="&amp;$A31,Summary!$D$5:$D$241,"&lt;"&amp;$A31+7))</f>
        <v>0</v>
      </c>
      <c r="AT31">
        <f>IF(AT5="","",COUNTIFS(Summary!$E$5:$E$241,AT5,Summary!$D$5:$D$241,"&gt;="&amp;$A31,Summary!$D$5:$D$241,"&lt;"&amp;$A31+7))</f>
        <v>0</v>
      </c>
      <c r="AU31">
        <f>IF(AU5="","",COUNTIFS(Summary!$E$5:$E$241,AU5,Summary!$D$5:$D$241,"&gt;="&amp;$A31,Summary!$D$5:$D$241,"&lt;"&amp;$A31+7))</f>
        <v>0</v>
      </c>
      <c r="AV31">
        <f>IF(AV5="","",COUNTIFS(Summary!$E$5:$E$241,AV5,Summary!$D$5:$D$241,"&gt;="&amp;$A31,Summary!$D$5:$D$241,"&lt;"&amp;$A31+7))</f>
        <v>0</v>
      </c>
      <c r="AW31">
        <f>IF(AW5="","",COUNTIFS(Summary!$E$5:$E$241,AW5,Summary!$D$5:$D$241,"&gt;="&amp;$A31,Summary!$D$5:$D$241,"&lt;"&amp;$A31+7))</f>
        <v>0</v>
      </c>
      <c r="AX31">
        <f>IF(AX5="","",COUNTIFS(Summary!$E$5:$E$241,AX5,Summary!$D$5:$D$241,"&gt;="&amp;$A31,Summary!$D$5:$D$241,"&lt;"&amp;$A31+7))</f>
        <v>0</v>
      </c>
      <c r="AY31">
        <f>IF(AY5="","",COUNTIFS(Summary!$E$5:$E$241,AY5,Summary!$D$5:$D$241,"&gt;="&amp;$A31,Summary!$D$5:$D$241,"&lt;"&amp;$A31+7))</f>
        <v>0</v>
      </c>
      <c r="AZ31">
        <f>IF(AZ5="","",COUNTIFS(Summary!$E$5:$E$241,AZ5,Summary!$D$5:$D$241,"&gt;="&amp;$A31,Summary!$D$5:$D$241,"&lt;"&amp;$A31+7))</f>
        <v>0</v>
      </c>
      <c r="BA31">
        <f>IF(BA5="","",COUNTIFS(Summary!$E$5:$E$241,BA5,Summary!$D$5:$D$241,"&gt;="&amp;$A31,Summary!$D$5:$D$241,"&lt;"&amp;$A31+7))</f>
        <v>0</v>
      </c>
      <c r="BB31">
        <f>IF(BB5="","",COUNTIFS(Summary!$E$5:$E$241,BB5,Summary!$D$5:$D$241,"&gt;="&amp;$A31,Summary!$D$5:$D$241,"&lt;"&amp;$A31+7))</f>
        <v>0</v>
      </c>
      <c r="BC31">
        <f>IF(BC5="","",COUNTIFS(Summary!$E$5:$E$241,BC5,Summary!$D$5:$D$241,"&gt;="&amp;$A31,Summary!$D$5:$D$241,"&lt;"&amp;$A31+7))</f>
        <v>0</v>
      </c>
      <c r="BD31">
        <f>IF(BD5="","",COUNTIFS(Summary!$E$5:$E$241,BD5,Summary!$D$5:$D$241,"&gt;="&amp;$A31,Summary!$D$5:$D$241,"&lt;"&amp;$A31+7))</f>
        <v>0</v>
      </c>
      <c r="BE31">
        <f>IF(BE5="","",COUNTIFS(Summary!$E$5:$E$241,BE5,Summary!$D$5:$D$241,"&gt;="&amp;$A31,Summary!$D$5:$D$241,"&lt;"&amp;$A31+7))</f>
        <v>0</v>
      </c>
      <c r="BF31" s="28">
        <f>IF(BF5="","",COUNTIFS(Summary!$E$5:$E$241,BF5,Summary!$D$5:$D$241,"&gt;="&amp;$A31,Summary!$D$5:$D$241,"&lt;"&amp;$A31+7))</f>
        <v>0</v>
      </c>
    </row>
    <row r="32" spans="1:58">
      <c r="A32" s="18">
        <f t="shared" si="1"/>
        <v>46265</v>
      </c>
      <c r="B32" s="2" t="str">
        <f t="shared" si="0"/>
        <v>Aug 31</v>
      </c>
      <c r="C32">
        <f>IF(C5="","",COUNTIFS(Summary!$E$5:$E$241,C5,Summary!$D$5:$D$241,"&gt;="&amp;$A32,Summary!$D$5:$D$241,"&lt;"&amp;$A32+7))</f>
        <v>0</v>
      </c>
      <c r="D32">
        <f>IF(D5="","",COUNTIFS(Summary!$E$5:$E$241,D5,Summary!$D$5:$D$241,"&gt;="&amp;$A32,Summary!$D$5:$D$241,"&lt;"&amp;$A32+7))</f>
        <v>0</v>
      </c>
      <c r="E32">
        <f>IF(E5="","",COUNTIFS(Summary!$E$5:$E$241,E5,Summary!$D$5:$D$241,"&gt;="&amp;$A32,Summary!$D$5:$D$241,"&lt;"&amp;$A32+7))</f>
        <v>0</v>
      </c>
      <c r="F32">
        <f>IF(F5="","",COUNTIFS(Summary!$E$5:$E$241,F5,Summary!$D$5:$D$241,"&gt;="&amp;$A32,Summary!$D$5:$D$241,"&lt;"&amp;$A32+7))</f>
        <v>0</v>
      </c>
      <c r="G32">
        <f>IF(G5="","",COUNTIFS(Summary!$E$5:$E$241,G5,Summary!$D$5:$D$241,"&gt;="&amp;$A32,Summary!$D$5:$D$241,"&lt;"&amp;$A32+7))</f>
        <v>0</v>
      </c>
      <c r="H32">
        <f>IF(H5="","",COUNTIFS(Summary!$E$5:$E$241,H5,Summary!$D$5:$D$241,"&gt;="&amp;$A32,Summary!$D$5:$D$241,"&lt;"&amp;$A32+7))</f>
        <v>0</v>
      </c>
      <c r="I32">
        <f>IF(I5="","",COUNTIFS(Summary!$E$5:$E$241,I5,Summary!$D$5:$D$241,"&gt;="&amp;$A32,Summary!$D$5:$D$241,"&lt;"&amp;$A32+7))</f>
        <v>0</v>
      </c>
      <c r="J32">
        <f>IF(J5="","",COUNTIFS(Summary!$E$5:$E$241,J5,Summary!$D$5:$D$241,"&gt;="&amp;$A32,Summary!$D$5:$D$241,"&lt;"&amp;$A32+7))</f>
        <v>0</v>
      </c>
      <c r="K32">
        <f>IF(K5="","",COUNTIFS(Summary!$E$5:$E$241,K5,Summary!$D$5:$D$241,"&gt;="&amp;$A32,Summary!$D$5:$D$241,"&lt;"&amp;$A32+7))</f>
        <v>0</v>
      </c>
      <c r="L32">
        <f>IF(L5="","",COUNTIFS(Summary!$E$5:$E$241,L5,Summary!$D$5:$D$241,"&gt;="&amp;$A32,Summary!$D$5:$D$241,"&lt;"&amp;$A32+7))</f>
        <v>0</v>
      </c>
      <c r="M32">
        <f>IF(M5="","",COUNTIFS(Summary!$E$5:$E$241,M5,Summary!$D$5:$D$241,"&gt;="&amp;$A32,Summary!$D$5:$D$241,"&lt;"&amp;$A32+7))</f>
        <v>0</v>
      </c>
      <c r="N32">
        <f>IF(N5="","",COUNTIFS(Summary!$E$5:$E$241,N5,Summary!$D$5:$D$241,"&gt;="&amp;$A32,Summary!$D$5:$D$241,"&lt;"&amp;$A32+7))</f>
        <v>0</v>
      </c>
      <c r="O32">
        <f>IF(O5="","",COUNTIFS(Summary!$E$5:$E$241,O5,Summary!$D$5:$D$241,"&gt;="&amp;$A32,Summary!$D$5:$D$241,"&lt;"&amp;$A32+7))</f>
        <v>0</v>
      </c>
      <c r="P32">
        <f>IF(P5="","",COUNTIFS(Summary!$E$5:$E$241,P5,Summary!$D$5:$D$241,"&gt;="&amp;$A32,Summary!$D$5:$D$241,"&lt;"&amp;$A32+7))</f>
        <v>0</v>
      </c>
      <c r="Q32">
        <f>IF(Q5="","",COUNTIFS(Summary!$E$5:$E$241,Q5,Summary!$D$5:$D$241,"&gt;="&amp;$A32,Summary!$D$5:$D$241,"&lt;"&amp;$A32+7))</f>
        <v>0</v>
      </c>
      <c r="R32">
        <f>IF(R5="","",COUNTIFS(Summary!$E$5:$E$241,R5,Summary!$D$5:$D$241,"&gt;="&amp;$A32,Summary!$D$5:$D$241,"&lt;"&amp;$A32+7))</f>
        <v>0</v>
      </c>
      <c r="S32">
        <f>IF(S5="","",COUNTIFS(Summary!$E$5:$E$241,S5,Summary!$D$5:$D$241,"&gt;="&amp;$A32,Summary!$D$5:$D$241,"&lt;"&amp;$A32+7))</f>
        <v>0</v>
      </c>
      <c r="T32">
        <f>IF(T5="","",COUNTIFS(Summary!$E$5:$E$241,T5,Summary!$D$5:$D$241,"&gt;="&amp;$A32,Summary!$D$5:$D$241,"&lt;"&amp;$A32+7))</f>
        <v>0</v>
      </c>
      <c r="U32">
        <f>IF(U5="","",COUNTIFS(Summary!$E$5:$E$241,U5,Summary!$D$5:$D$241,"&gt;="&amp;$A32,Summary!$D$5:$D$241,"&lt;"&amp;$A32+7))</f>
        <v>0</v>
      </c>
      <c r="V32">
        <f>IF(V5="","",COUNTIFS(Summary!$E$5:$E$241,V5,Summary!$D$5:$D$241,"&gt;="&amp;$A32,Summary!$D$5:$D$241,"&lt;"&amp;$A32+7))</f>
        <v>0</v>
      </c>
      <c r="W32">
        <f>IF(W5="","",COUNTIFS(Summary!$E$5:$E$241,W5,Summary!$D$5:$D$241,"&gt;="&amp;$A32,Summary!$D$5:$D$241,"&lt;"&amp;$A32+7))</f>
        <v>0</v>
      </c>
      <c r="X32">
        <f>IF(X5="","",COUNTIFS(Summary!$E$5:$E$241,X5,Summary!$D$5:$D$241,"&gt;="&amp;$A32,Summary!$D$5:$D$241,"&lt;"&amp;$A32+7))</f>
        <v>0</v>
      </c>
      <c r="Y32">
        <f>IF(Y5="","",COUNTIFS(Summary!$E$5:$E$241,Y5,Summary!$D$5:$D$241,"&gt;="&amp;$A32,Summary!$D$5:$D$241,"&lt;"&amp;$A32+7))</f>
        <v>0</v>
      </c>
      <c r="Z32">
        <f>IF(Z5="","",COUNTIFS(Summary!$E$5:$E$241,Z5,Summary!$D$5:$D$241,"&gt;="&amp;$A32,Summary!$D$5:$D$241,"&lt;"&amp;$A32+7))</f>
        <v>0</v>
      </c>
      <c r="AA32">
        <f>IF(AA5="","",COUNTIFS(Summary!$E$5:$E$241,AA5,Summary!$D$5:$D$241,"&gt;="&amp;$A32,Summary!$D$5:$D$241,"&lt;"&amp;$A32+7))</f>
        <v>0</v>
      </c>
      <c r="AB32">
        <f>IF(AB5="","",COUNTIFS(Summary!$E$5:$E$241,AB5,Summary!$D$5:$D$241,"&gt;="&amp;$A32,Summary!$D$5:$D$241,"&lt;"&amp;$A32+7))</f>
        <v>0</v>
      </c>
      <c r="AC32">
        <f>IF(AC5="","",COUNTIFS(Summary!$E$5:$E$241,AC5,Summary!$D$5:$D$241,"&gt;="&amp;$A32,Summary!$D$5:$D$241,"&lt;"&amp;$A32+7))</f>
        <v>0</v>
      </c>
      <c r="AD32">
        <f>IF(AD5="","",COUNTIFS(Summary!$E$5:$E$241,AD5,Summary!$D$5:$D$241,"&gt;="&amp;$A32,Summary!$D$5:$D$241,"&lt;"&amp;$A32+7))</f>
        <v>0</v>
      </c>
      <c r="AE32">
        <f>IF(AE5="","",COUNTIFS(Summary!$E$5:$E$241,AE5,Summary!$D$5:$D$241,"&gt;="&amp;$A32,Summary!$D$5:$D$241,"&lt;"&amp;$A32+7))</f>
        <v>0</v>
      </c>
      <c r="AF32">
        <f>IF(AF5="","",COUNTIFS(Summary!$E$5:$E$241,AF5,Summary!$D$5:$D$241,"&gt;="&amp;$A32,Summary!$D$5:$D$241,"&lt;"&amp;$A32+7))</f>
        <v>0</v>
      </c>
      <c r="AG32">
        <f>IF(AG5="","",COUNTIFS(Summary!$E$5:$E$241,AG5,Summary!$D$5:$D$241,"&gt;="&amp;$A32,Summary!$D$5:$D$241,"&lt;"&amp;$A32+7))</f>
        <v>0</v>
      </c>
      <c r="AH32">
        <f>IF(AH5="","",COUNTIFS(Summary!$E$5:$E$241,AH5,Summary!$D$5:$D$241,"&gt;="&amp;$A32,Summary!$D$5:$D$241,"&lt;"&amp;$A32+7))</f>
        <v>0</v>
      </c>
      <c r="AI32">
        <f>IF(AI5="","",COUNTIFS(Summary!$E$5:$E$241,AI5,Summary!$D$5:$D$241,"&gt;="&amp;$A32,Summary!$D$5:$D$241,"&lt;"&amp;$A32+7))</f>
        <v>0</v>
      </c>
      <c r="AJ32">
        <f>IF(AJ5="","",COUNTIFS(Summary!$E$5:$E$241,AJ5,Summary!$D$5:$D$241,"&gt;="&amp;$A32,Summary!$D$5:$D$241,"&lt;"&amp;$A32+7))</f>
        <v>0</v>
      </c>
      <c r="AK32">
        <f>IF(AK5="","",COUNTIFS(Summary!$E$5:$E$241,AK5,Summary!$D$5:$D$241,"&gt;="&amp;$A32,Summary!$D$5:$D$241,"&lt;"&amp;$A32+7))</f>
        <v>0</v>
      </c>
      <c r="AL32">
        <f>IF(AL5="","",COUNTIFS(Summary!$E$5:$E$241,AL5,Summary!$D$5:$D$241,"&gt;="&amp;$A32,Summary!$D$5:$D$241,"&lt;"&amp;$A32+7))</f>
        <v>0</v>
      </c>
      <c r="AM32">
        <f>IF(AM5="","",COUNTIFS(Summary!$E$5:$E$241,AM5,Summary!$D$5:$D$241,"&gt;="&amp;$A32,Summary!$D$5:$D$241,"&lt;"&amp;$A32+7))</f>
        <v>0</v>
      </c>
      <c r="AN32">
        <f>IF(AN5="","",COUNTIFS(Summary!$E$5:$E$241,AN5,Summary!$D$5:$D$241,"&gt;="&amp;$A32,Summary!$D$5:$D$241,"&lt;"&amp;$A32+7))</f>
        <v>0</v>
      </c>
      <c r="AO32">
        <f>IF(AO5="","",COUNTIFS(Summary!$E$5:$E$241,AO5,Summary!$D$5:$D$241,"&gt;="&amp;$A32,Summary!$D$5:$D$241,"&lt;"&amp;$A32+7))</f>
        <v>0</v>
      </c>
      <c r="AP32">
        <f>IF(AP5="","",COUNTIFS(Summary!$E$5:$E$241,AP5,Summary!$D$5:$D$241,"&gt;="&amp;$A32,Summary!$D$5:$D$241,"&lt;"&amp;$A32+7))</f>
        <v>0</v>
      </c>
      <c r="AQ32">
        <f>IF(AQ5="","",COUNTIFS(Summary!$E$5:$E$241,AQ5,Summary!$D$5:$D$241,"&gt;="&amp;$A32,Summary!$D$5:$D$241,"&lt;"&amp;$A32+7))</f>
        <v>0</v>
      </c>
      <c r="AR32">
        <f>IF(AR5="","",COUNTIFS(Summary!$E$5:$E$241,AR5,Summary!$D$5:$D$241,"&gt;="&amp;$A32,Summary!$D$5:$D$241,"&lt;"&amp;$A32+7))</f>
        <v>0</v>
      </c>
      <c r="AS32">
        <f>IF(AS5="","",COUNTIFS(Summary!$E$5:$E$241,AS5,Summary!$D$5:$D$241,"&gt;="&amp;$A32,Summary!$D$5:$D$241,"&lt;"&amp;$A32+7))</f>
        <v>0</v>
      </c>
      <c r="AT32">
        <f>IF(AT5="","",COUNTIFS(Summary!$E$5:$E$241,AT5,Summary!$D$5:$D$241,"&gt;="&amp;$A32,Summary!$D$5:$D$241,"&lt;"&amp;$A32+7))</f>
        <v>0</v>
      </c>
      <c r="AU32">
        <f>IF(AU5="","",COUNTIFS(Summary!$E$5:$E$241,AU5,Summary!$D$5:$D$241,"&gt;="&amp;$A32,Summary!$D$5:$D$241,"&lt;"&amp;$A32+7))</f>
        <v>0</v>
      </c>
      <c r="AV32">
        <f>IF(AV5="","",COUNTIFS(Summary!$E$5:$E$241,AV5,Summary!$D$5:$D$241,"&gt;="&amp;$A32,Summary!$D$5:$D$241,"&lt;"&amp;$A32+7))</f>
        <v>0</v>
      </c>
      <c r="AW32">
        <f>IF(AW5="","",COUNTIFS(Summary!$E$5:$E$241,AW5,Summary!$D$5:$D$241,"&gt;="&amp;$A32,Summary!$D$5:$D$241,"&lt;"&amp;$A32+7))</f>
        <v>0</v>
      </c>
      <c r="AX32">
        <f>IF(AX5="","",COUNTIFS(Summary!$E$5:$E$241,AX5,Summary!$D$5:$D$241,"&gt;="&amp;$A32,Summary!$D$5:$D$241,"&lt;"&amp;$A32+7))</f>
        <v>0</v>
      </c>
      <c r="AY32">
        <f>IF(AY5="","",COUNTIFS(Summary!$E$5:$E$241,AY5,Summary!$D$5:$D$241,"&gt;="&amp;$A32,Summary!$D$5:$D$241,"&lt;"&amp;$A32+7))</f>
        <v>0</v>
      </c>
      <c r="AZ32">
        <f>IF(AZ5="","",COUNTIFS(Summary!$E$5:$E$241,AZ5,Summary!$D$5:$D$241,"&gt;="&amp;$A32,Summary!$D$5:$D$241,"&lt;"&amp;$A32+7))</f>
        <v>0</v>
      </c>
      <c r="BA32">
        <f>IF(BA5="","",COUNTIFS(Summary!$E$5:$E$241,BA5,Summary!$D$5:$D$241,"&gt;="&amp;$A32,Summary!$D$5:$D$241,"&lt;"&amp;$A32+7))</f>
        <v>0</v>
      </c>
      <c r="BB32">
        <f>IF(BB5="","",COUNTIFS(Summary!$E$5:$E$241,BB5,Summary!$D$5:$D$241,"&gt;="&amp;$A32,Summary!$D$5:$D$241,"&lt;"&amp;$A32+7))</f>
        <v>0</v>
      </c>
      <c r="BC32">
        <f>IF(BC5="","",COUNTIFS(Summary!$E$5:$E$241,BC5,Summary!$D$5:$D$241,"&gt;="&amp;$A32,Summary!$D$5:$D$241,"&lt;"&amp;$A32+7))</f>
        <v>0</v>
      </c>
      <c r="BD32">
        <f>IF(BD5="","",COUNTIFS(Summary!$E$5:$E$241,BD5,Summary!$D$5:$D$241,"&gt;="&amp;$A32,Summary!$D$5:$D$241,"&lt;"&amp;$A32+7))</f>
        <v>0</v>
      </c>
      <c r="BE32">
        <f>IF(BE5="","",COUNTIFS(Summary!$E$5:$E$241,BE5,Summary!$D$5:$D$241,"&gt;="&amp;$A32,Summary!$D$5:$D$241,"&lt;"&amp;$A32+7))</f>
        <v>0</v>
      </c>
      <c r="BF32" s="28">
        <f>IF(BF5="","",COUNTIFS(Summary!$E$5:$E$241,BF5,Summary!$D$5:$D$241,"&gt;="&amp;$A32,Summary!$D$5:$D$241,"&lt;"&amp;$A32+7))</f>
        <v>0</v>
      </c>
    </row>
    <row r="33" spans="1:58">
      <c r="A33" s="18">
        <f t="shared" si="1"/>
        <v>46272</v>
      </c>
      <c r="B33" s="2" t="str">
        <f t="shared" si="0"/>
        <v>Sep 7</v>
      </c>
      <c r="C33">
        <f>IF(C5="","",COUNTIFS(Summary!$E$5:$E$241,C5,Summary!$D$5:$D$241,"&gt;="&amp;$A33,Summary!$D$5:$D$241,"&lt;"&amp;$A33+7))</f>
        <v>0</v>
      </c>
      <c r="D33">
        <f>IF(D5="","",COUNTIFS(Summary!$E$5:$E$241,D5,Summary!$D$5:$D$241,"&gt;="&amp;$A33,Summary!$D$5:$D$241,"&lt;"&amp;$A33+7))</f>
        <v>0</v>
      </c>
      <c r="E33">
        <f>IF(E5="","",COUNTIFS(Summary!$E$5:$E$241,E5,Summary!$D$5:$D$241,"&gt;="&amp;$A33,Summary!$D$5:$D$241,"&lt;"&amp;$A33+7))</f>
        <v>0</v>
      </c>
      <c r="F33">
        <f>IF(F5="","",COUNTIFS(Summary!$E$5:$E$241,F5,Summary!$D$5:$D$241,"&gt;="&amp;$A33,Summary!$D$5:$D$241,"&lt;"&amp;$A33+7))</f>
        <v>0</v>
      </c>
      <c r="G33">
        <f>IF(G5="","",COUNTIFS(Summary!$E$5:$E$241,G5,Summary!$D$5:$D$241,"&gt;="&amp;$A33,Summary!$D$5:$D$241,"&lt;"&amp;$A33+7))</f>
        <v>0</v>
      </c>
      <c r="H33">
        <f>IF(H5="","",COUNTIFS(Summary!$E$5:$E$241,H5,Summary!$D$5:$D$241,"&gt;="&amp;$A33,Summary!$D$5:$D$241,"&lt;"&amp;$A33+7))</f>
        <v>0</v>
      </c>
      <c r="I33">
        <f>IF(I5="","",COUNTIFS(Summary!$E$5:$E$241,I5,Summary!$D$5:$D$241,"&gt;="&amp;$A33,Summary!$D$5:$D$241,"&lt;"&amp;$A33+7))</f>
        <v>0</v>
      </c>
      <c r="J33">
        <f>IF(J5="","",COUNTIFS(Summary!$E$5:$E$241,J5,Summary!$D$5:$D$241,"&gt;="&amp;$A33,Summary!$D$5:$D$241,"&lt;"&amp;$A33+7))</f>
        <v>0</v>
      </c>
      <c r="K33">
        <f>IF(K5="","",COUNTIFS(Summary!$E$5:$E$241,K5,Summary!$D$5:$D$241,"&gt;="&amp;$A33,Summary!$D$5:$D$241,"&lt;"&amp;$A33+7))</f>
        <v>0</v>
      </c>
      <c r="L33">
        <f>IF(L5="","",COUNTIFS(Summary!$E$5:$E$241,L5,Summary!$D$5:$D$241,"&gt;="&amp;$A33,Summary!$D$5:$D$241,"&lt;"&amp;$A33+7))</f>
        <v>0</v>
      </c>
      <c r="M33">
        <f>IF(M5="","",COUNTIFS(Summary!$E$5:$E$241,M5,Summary!$D$5:$D$241,"&gt;="&amp;$A33,Summary!$D$5:$D$241,"&lt;"&amp;$A33+7))</f>
        <v>0</v>
      </c>
      <c r="N33">
        <f>IF(N5="","",COUNTIFS(Summary!$E$5:$E$241,N5,Summary!$D$5:$D$241,"&gt;="&amp;$A33,Summary!$D$5:$D$241,"&lt;"&amp;$A33+7))</f>
        <v>0</v>
      </c>
      <c r="O33">
        <f>IF(O5="","",COUNTIFS(Summary!$E$5:$E$241,O5,Summary!$D$5:$D$241,"&gt;="&amp;$A33,Summary!$D$5:$D$241,"&lt;"&amp;$A33+7))</f>
        <v>0</v>
      </c>
      <c r="P33">
        <f>IF(P5="","",COUNTIFS(Summary!$E$5:$E$241,P5,Summary!$D$5:$D$241,"&gt;="&amp;$A33,Summary!$D$5:$D$241,"&lt;"&amp;$A33+7))</f>
        <v>0</v>
      </c>
      <c r="Q33">
        <f>IF(Q5="","",COUNTIFS(Summary!$E$5:$E$241,Q5,Summary!$D$5:$D$241,"&gt;="&amp;$A33,Summary!$D$5:$D$241,"&lt;"&amp;$A33+7))</f>
        <v>0</v>
      </c>
      <c r="R33">
        <f>IF(R5="","",COUNTIFS(Summary!$E$5:$E$241,R5,Summary!$D$5:$D$241,"&gt;="&amp;$A33,Summary!$D$5:$D$241,"&lt;"&amp;$A33+7))</f>
        <v>0</v>
      </c>
      <c r="S33">
        <f>IF(S5="","",COUNTIFS(Summary!$E$5:$E$241,S5,Summary!$D$5:$D$241,"&gt;="&amp;$A33,Summary!$D$5:$D$241,"&lt;"&amp;$A33+7))</f>
        <v>0</v>
      </c>
      <c r="T33">
        <f>IF(T5="","",COUNTIFS(Summary!$E$5:$E$241,T5,Summary!$D$5:$D$241,"&gt;="&amp;$A33,Summary!$D$5:$D$241,"&lt;"&amp;$A33+7))</f>
        <v>0</v>
      </c>
      <c r="U33">
        <f>IF(U5="","",COUNTIFS(Summary!$E$5:$E$241,U5,Summary!$D$5:$D$241,"&gt;="&amp;$A33,Summary!$D$5:$D$241,"&lt;"&amp;$A33+7))</f>
        <v>0</v>
      </c>
      <c r="V33">
        <f>IF(V5="","",COUNTIFS(Summary!$E$5:$E$241,V5,Summary!$D$5:$D$241,"&gt;="&amp;$A33,Summary!$D$5:$D$241,"&lt;"&amp;$A33+7))</f>
        <v>0</v>
      </c>
      <c r="W33">
        <f>IF(W5="","",COUNTIFS(Summary!$E$5:$E$241,W5,Summary!$D$5:$D$241,"&gt;="&amp;$A33,Summary!$D$5:$D$241,"&lt;"&amp;$A33+7))</f>
        <v>0</v>
      </c>
      <c r="X33">
        <f>IF(X5="","",COUNTIFS(Summary!$E$5:$E$241,X5,Summary!$D$5:$D$241,"&gt;="&amp;$A33,Summary!$D$5:$D$241,"&lt;"&amp;$A33+7))</f>
        <v>0</v>
      </c>
      <c r="Y33">
        <f>IF(Y5="","",COUNTIFS(Summary!$E$5:$E$241,Y5,Summary!$D$5:$D$241,"&gt;="&amp;$A33,Summary!$D$5:$D$241,"&lt;"&amp;$A33+7))</f>
        <v>0</v>
      </c>
      <c r="Z33">
        <f>IF(Z5="","",COUNTIFS(Summary!$E$5:$E$241,Z5,Summary!$D$5:$D$241,"&gt;="&amp;$A33,Summary!$D$5:$D$241,"&lt;"&amp;$A33+7))</f>
        <v>0</v>
      </c>
      <c r="AA33">
        <f>IF(AA5="","",COUNTIFS(Summary!$E$5:$E$241,AA5,Summary!$D$5:$D$241,"&gt;="&amp;$A33,Summary!$D$5:$D$241,"&lt;"&amp;$A33+7))</f>
        <v>0</v>
      </c>
      <c r="AB33">
        <f>IF(AB5="","",COUNTIFS(Summary!$E$5:$E$241,AB5,Summary!$D$5:$D$241,"&gt;="&amp;$A33,Summary!$D$5:$D$241,"&lt;"&amp;$A33+7))</f>
        <v>0</v>
      </c>
      <c r="AC33">
        <f>IF(AC5="","",COUNTIFS(Summary!$E$5:$E$241,AC5,Summary!$D$5:$D$241,"&gt;="&amp;$A33,Summary!$D$5:$D$241,"&lt;"&amp;$A33+7))</f>
        <v>0</v>
      </c>
      <c r="AD33">
        <f>IF(AD5="","",COUNTIFS(Summary!$E$5:$E$241,AD5,Summary!$D$5:$D$241,"&gt;="&amp;$A33,Summary!$D$5:$D$241,"&lt;"&amp;$A33+7))</f>
        <v>0</v>
      </c>
      <c r="AE33">
        <f>IF(AE5="","",COUNTIFS(Summary!$E$5:$E$241,AE5,Summary!$D$5:$D$241,"&gt;="&amp;$A33,Summary!$D$5:$D$241,"&lt;"&amp;$A33+7))</f>
        <v>0</v>
      </c>
      <c r="AF33">
        <f>IF(AF5="","",COUNTIFS(Summary!$E$5:$E$241,AF5,Summary!$D$5:$D$241,"&gt;="&amp;$A33,Summary!$D$5:$D$241,"&lt;"&amp;$A33+7))</f>
        <v>0</v>
      </c>
      <c r="AG33">
        <f>IF(AG5="","",COUNTIFS(Summary!$E$5:$E$241,AG5,Summary!$D$5:$D$241,"&gt;="&amp;$A33,Summary!$D$5:$D$241,"&lt;"&amp;$A33+7))</f>
        <v>0</v>
      </c>
      <c r="AH33">
        <f>IF(AH5="","",COUNTIFS(Summary!$E$5:$E$241,AH5,Summary!$D$5:$D$241,"&gt;="&amp;$A33,Summary!$D$5:$D$241,"&lt;"&amp;$A33+7))</f>
        <v>0</v>
      </c>
      <c r="AI33">
        <f>IF(AI5="","",COUNTIFS(Summary!$E$5:$E$241,AI5,Summary!$D$5:$D$241,"&gt;="&amp;$A33,Summary!$D$5:$D$241,"&lt;"&amp;$A33+7))</f>
        <v>0</v>
      </c>
      <c r="AJ33">
        <f>IF(AJ5="","",COUNTIFS(Summary!$E$5:$E$241,AJ5,Summary!$D$5:$D$241,"&gt;="&amp;$A33,Summary!$D$5:$D$241,"&lt;"&amp;$A33+7))</f>
        <v>0</v>
      </c>
      <c r="AK33">
        <f>IF(AK5="","",COUNTIFS(Summary!$E$5:$E$241,AK5,Summary!$D$5:$D$241,"&gt;="&amp;$A33,Summary!$D$5:$D$241,"&lt;"&amp;$A33+7))</f>
        <v>0</v>
      </c>
      <c r="AL33">
        <f>IF(AL5="","",COUNTIFS(Summary!$E$5:$E$241,AL5,Summary!$D$5:$D$241,"&gt;="&amp;$A33,Summary!$D$5:$D$241,"&lt;"&amp;$A33+7))</f>
        <v>0</v>
      </c>
      <c r="AM33">
        <f>IF(AM5="","",COUNTIFS(Summary!$E$5:$E$241,AM5,Summary!$D$5:$D$241,"&gt;="&amp;$A33,Summary!$D$5:$D$241,"&lt;"&amp;$A33+7))</f>
        <v>0</v>
      </c>
      <c r="AN33">
        <f>IF(AN5="","",COUNTIFS(Summary!$E$5:$E$241,AN5,Summary!$D$5:$D$241,"&gt;="&amp;$A33,Summary!$D$5:$D$241,"&lt;"&amp;$A33+7))</f>
        <v>0</v>
      </c>
      <c r="AO33">
        <f>IF(AO5="","",COUNTIFS(Summary!$E$5:$E$241,AO5,Summary!$D$5:$D$241,"&gt;="&amp;$A33,Summary!$D$5:$D$241,"&lt;"&amp;$A33+7))</f>
        <v>0</v>
      </c>
      <c r="AP33">
        <f>IF(AP5="","",COUNTIFS(Summary!$E$5:$E$241,AP5,Summary!$D$5:$D$241,"&gt;="&amp;$A33,Summary!$D$5:$D$241,"&lt;"&amp;$A33+7))</f>
        <v>0</v>
      </c>
      <c r="AQ33">
        <f>IF(AQ5="","",COUNTIFS(Summary!$E$5:$E$241,AQ5,Summary!$D$5:$D$241,"&gt;="&amp;$A33,Summary!$D$5:$D$241,"&lt;"&amp;$A33+7))</f>
        <v>0</v>
      </c>
      <c r="AR33">
        <f>IF(AR5="","",COUNTIFS(Summary!$E$5:$E$241,AR5,Summary!$D$5:$D$241,"&gt;="&amp;$A33,Summary!$D$5:$D$241,"&lt;"&amp;$A33+7))</f>
        <v>0</v>
      </c>
      <c r="AS33">
        <f>IF(AS5="","",COUNTIFS(Summary!$E$5:$E$241,AS5,Summary!$D$5:$D$241,"&gt;="&amp;$A33,Summary!$D$5:$D$241,"&lt;"&amp;$A33+7))</f>
        <v>0</v>
      </c>
      <c r="AT33">
        <f>IF(AT5="","",COUNTIFS(Summary!$E$5:$E$241,AT5,Summary!$D$5:$D$241,"&gt;="&amp;$A33,Summary!$D$5:$D$241,"&lt;"&amp;$A33+7))</f>
        <v>0</v>
      </c>
      <c r="AU33">
        <f>IF(AU5="","",COUNTIFS(Summary!$E$5:$E$241,AU5,Summary!$D$5:$D$241,"&gt;="&amp;$A33,Summary!$D$5:$D$241,"&lt;"&amp;$A33+7))</f>
        <v>0</v>
      </c>
      <c r="AV33">
        <f>IF(AV5="","",COUNTIFS(Summary!$E$5:$E$241,AV5,Summary!$D$5:$D$241,"&gt;="&amp;$A33,Summary!$D$5:$D$241,"&lt;"&amp;$A33+7))</f>
        <v>0</v>
      </c>
      <c r="AW33">
        <f>IF(AW5="","",COUNTIFS(Summary!$E$5:$E$241,AW5,Summary!$D$5:$D$241,"&gt;="&amp;$A33,Summary!$D$5:$D$241,"&lt;"&amp;$A33+7))</f>
        <v>0</v>
      </c>
      <c r="AX33">
        <f>IF(AX5="","",COUNTIFS(Summary!$E$5:$E$241,AX5,Summary!$D$5:$D$241,"&gt;="&amp;$A33,Summary!$D$5:$D$241,"&lt;"&amp;$A33+7))</f>
        <v>0</v>
      </c>
      <c r="AY33">
        <f>IF(AY5="","",COUNTIFS(Summary!$E$5:$E$241,AY5,Summary!$D$5:$D$241,"&gt;="&amp;$A33,Summary!$D$5:$D$241,"&lt;"&amp;$A33+7))</f>
        <v>0</v>
      </c>
      <c r="AZ33">
        <f>IF(AZ5="","",COUNTIFS(Summary!$E$5:$E$241,AZ5,Summary!$D$5:$D$241,"&gt;="&amp;$A33,Summary!$D$5:$D$241,"&lt;"&amp;$A33+7))</f>
        <v>0</v>
      </c>
      <c r="BA33">
        <f>IF(BA5="","",COUNTIFS(Summary!$E$5:$E$241,BA5,Summary!$D$5:$D$241,"&gt;="&amp;$A33,Summary!$D$5:$D$241,"&lt;"&amp;$A33+7))</f>
        <v>0</v>
      </c>
      <c r="BB33">
        <f>IF(BB5="","",COUNTIFS(Summary!$E$5:$E$241,BB5,Summary!$D$5:$D$241,"&gt;="&amp;$A33,Summary!$D$5:$D$241,"&lt;"&amp;$A33+7))</f>
        <v>0</v>
      </c>
      <c r="BC33">
        <f>IF(BC5="","",COUNTIFS(Summary!$E$5:$E$241,BC5,Summary!$D$5:$D$241,"&gt;="&amp;$A33,Summary!$D$5:$D$241,"&lt;"&amp;$A33+7))</f>
        <v>0</v>
      </c>
      <c r="BD33">
        <f>IF(BD5="","",COUNTIFS(Summary!$E$5:$E$241,BD5,Summary!$D$5:$D$241,"&gt;="&amp;$A33,Summary!$D$5:$D$241,"&lt;"&amp;$A33+7))</f>
        <v>0</v>
      </c>
      <c r="BE33">
        <f>IF(BE5="","",COUNTIFS(Summary!$E$5:$E$241,BE5,Summary!$D$5:$D$241,"&gt;="&amp;$A33,Summary!$D$5:$D$241,"&lt;"&amp;$A33+7))</f>
        <v>0</v>
      </c>
      <c r="BF33" s="28">
        <f>IF(BF5="","",COUNTIFS(Summary!$E$5:$E$241,BF5,Summary!$D$5:$D$241,"&gt;="&amp;$A33,Summary!$D$5:$D$241,"&lt;"&amp;$A33+7))</f>
        <v>0</v>
      </c>
    </row>
    <row r="34" spans="1:58">
      <c r="A34" s="18">
        <f t="shared" si="1"/>
        <v>46279</v>
      </c>
      <c r="B34" s="2" t="str">
        <f t="shared" si="0"/>
        <v>Sep 14</v>
      </c>
      <c r="C34">
        <f>IF(C5="","",COUNTIFS(Summary!$E$5:$E$241,C5,Summary!$D$5:$D$241,"&gt;="&amp;$A34,Summary!$D$5:$D$241,"&lt;"&amp;$A34+7))</f>
        <v>0</v>
      </c>
      <c r="D34">
        <f>IF(D5="","",COUNTIFS(Summary!$E$5:$E$241,D5,Summary!$D$5:$D$241,"&gt;="&amp;$A34,Summary!$D$5:$D$241,"&lt;"&amp;$A34+7))</f>
        <v>0</v>
      </c>
      <c r="E34">
        <f>IF(E5="","",COUNTIFS(Summary!$E$5:$E$241,E5,Summary!$D$5:$D$241,"&gt;="&amp;$A34,Summary!$D$5:$D$241,"&lt;"&amp;$A34+7))</f>
        <v>0</v>
      </c>
      <c r="F34">
        <f>IF(F5="","",COUNTIFS(Summary!$E$5:$E$241,F5,Summary!$D$5:$D$241,"&gt;="&amp;$A34,Summary!$D$5:$D$241,"&lt;"&amp;$A34+7))</f>
        <v>0</v>
      </c>
      <c r="G34">
        <f>IF(G5="","",COUNTIFS(Summary!$E$5:$E$241,G5,Summary!$D$5:$D$241,"&gt;="&amp;$A34,Summary!$D$5:$D$241,"&lt;"&amp;$A34+7))</f>
        <v>0</v>
      </c>
      <c r="H34">
        <f>IF(H5="","",COUNTIFS(Summary!$E$5:$E$241,H5,Summary!$D$5:$D$241,"&gt;="&amp;$A34,Summary!$D$5:$D$241,"&lt;"&amp;$A34+7))</f>
        <v>0</v>
      </c>
      <c r="I34">
        <f>IF(I5="","",COUNTIFS(Summary!$E$5:$E$241,I5,Summary!$D$5:$D$241,"&gt;="&amp;$A34,Summary!$D$5:$D$241,"&lt;"&amp;$A34+7))</f>
        <v>0</v>
      </c>
      <c r="J34">
        <f>IF(J5="","",COUNTIFS(Summary!$E$5:$E$241,J5,Summary!$D$5:$D$241,"&gt;="&amp;$A34,Summary!$D$5:$D$241,"&lt;"&amp;$A34+7))</f>
        <v>0</v>
      </c>
      <c r="K34">
        <f>IF(K5="","",COUNTIFS(Summary!$E$5:$E$241,K5,Summary!$D$5:$D$241,"&gt;="&amp;$A34,Summary!$D$5:$D$241,"&lt;"&amp;$A34+7))</f>
        <v>0</v>
      </c>
      <c r="L34">
        <f>IF(L5="","",COUNTIFS(Summary!$E$5:$E$241,L5,Summary!$D$5:$D$241,"&gt;="&amp;$A34,Summary!$D$5:$D$241,"&lt;"&amp;$A34+7))</f>
        <v>0</v>
      </c>
      <c r="M34">
        <f>IF(M5="","",COUNTIFS(Summary!$E$5:$E$241,M5,Summary!$D$5:$D$241,"&gt;="&amp;$A34,Summary!$D$5:$D$241,"&lt;"&amp;$A34+7))</f>
        <v>0</v>
      </c>
      <c r="N34">
        <f>IF(N5="","",COUNTIFS(Summary!$E$5:$E$241,N5,Summary!$D$5:$D$241,"&gt;="&amp;$A34,Summary!$D$5:$D$241,"&lt;"&amp;$A34+7))</f>
        <v>0</v>
      </c>
      <c r="O34">
        <f>IF(O5="","",COUNTIFS(Summary!$E$5:$E$241,O5,Summary!$D$5:$D$241,"&gt;="&amp;$A34,Summary!$D$5:$D$241,"&lt;"&amp;$A34+7))</f>
        <v>0</v>
      </c>
      <c r="P34">
        <f>IF(P5="","",COUNTIFS(Summary!$E$5:$E$241,P5,Summary!$D$5:$D$241,"&gt;="&amp;$A34,Summary!$D$5:$D$241,"&lt;"&amp;$A34+7))</f>
        <v>0</v>
      </c>
      <c r="Q34">
        <f>IF(Q5="","",COUNTIFS(Summary!$E$5:$E$241,Q5,Summary!$D$5:$D$241,"&gt;="&amp;$A34,Summary!$D$5:$D$241,"&lt;"&amp;$A34+7))</f>
        <v>0</v>
      </c>
      <c r="R34">
        <f>IF(R5="","",COUNTIFS(Summary!$E$5:$E$241,R5,Summary!$D$5:$D$241,"&gt;="&amp;$A34,Summary!$D$5:$D$241,"&lt;"&amp;$A34+7))</f>
        <v>0</v>
      </c>
      <c r="S34">
        <f>IF(S5="","",COUNTIFS(Summary!$E$5:$E$241,S5,Summary!$D$5:$D$241,"&gt;="&amp;$A34,Summary!$D$5:$D$241,"&lt;"&amp;$A34+7))</f>
        <v>0</v>
      </c>
      <c r="T34">
        <f>IF(T5="","",COUNTIFS(Summary!$E$5:$E$241,T5,Summary!$D$5:$D$241,"&gt;="&amp;$A34,Summary!$D$5:$D$241,"&lt;"&amp;$A34+7))</f>
        <v>0</v>
      </c>
      <c r="U34">
        <f>IF(U5="","",COUNTIFS(Summary!$E$5:$E$241,U5,Summary!$D$5:$D$241,"&gt;="&amp;$A34,Summary!$D$5:$D$241,"&lt;"&amp;$A34+7))</f>
        <v>0</v>
      </c>
      <c r="V34">
        <f>IF(V5="","",COUNTIFS(Summary!$E$5:$E$241,V5,Summary!$D$5:$D$241,"&gt;="&amp;$A34,Summary!$D$5:$D$241,"&lt;"&amp;$A34+7))</f>
        <v>0</v>
      </c>
      <c r="W34">
        <f>IF(W5="","",COUNTIFS(Summary!$E$5:$E$241,W5,Summary!$D$5:$D$241,"&gt;="&amp;$A34,Summary!$D$5:$D$241,"&lt;"&amp;$A34+7))</f>
        <v>0</v>
      </c>
      <c r="X34">
        <f>IF(X5="","",COUNTIFS(Summary!$E$5:$E$241,X5,Summary!$D$5:$D$241,"&gt;="&amp;$A34,Summary!$D$5:$D$241,"&lt;"&amp;$A34+7))</f>
        <v>0</v>
      </c>
      <c r="Y34">
        <f>IF(Y5="","",COUNTIFS(Summary!$E$5:$E$241,Y5,Summary!$D$5:$D$241,"&gt;="&amp;$A34,Summary!$D$5:$D$241,"&lt;"&amp;$A34+7))</f>
        <v>0</v>
      </c>
      <c r="Z34">
        <f>IF(Z5="","",COUNTIFS(Summary!$E$5:$E$241,Z5,Summary!$D$5:$D$241,"&gt;="&amp;$A34,Summary!$D$5:$D$241,"&lt;"&amp;$A34+7))</f>
        <v>0</v>
      </c>
      <c r="AA34">
        <f>IF(AA5="","",COUNTIFS(Summary!$E$5:$E$241,AA5,Summary!$D$5:$D$241,"&gt;="&amp;$A34,Summary!$D$5:$D$241,"&lt;"&amp;$A34+7))</f>
        <v>0</v>
      </c>
      <c r="AB34">
        <f>IF(AB5="","",COUNTIFS(Summary!$E$5:$E$241,AB5,Summary!$D$5:$D$241,"&gt;="&amp;$A34,Summary!$D$5:$D$241,"&lt;"&amp;$A34+7))</f>
        <v>0</v>
      </c>
      <c r="AC34">
        <f>IF(AC5="","",COUNTIFS(Summary!$E$5:$E$241,AC5,Summary!$D$5:$D$241,"&gt;="&amp;$A34,Summary!$D$5:$D$241,"&lt;"&amp;$A34+7))</f>
        <v>0</v>
      </c>
      <c r="AD34">
        <f>IF(AD5="","",COUNTIFS(Summary!$E$5:$E$241,AD5,Summary!$D$5:$D$241,"&gt;="&amp;$A34,Summary!$D$5:$D$241,"&lt;"&amp;$A34+7))</f>
        <v>0</v>
      </c>
      <c r="AE34">
        <f>IF(AE5="","",COUNTIFS(Summary!$E$5:$E$241,AE5,Summary!$D$5:$D$241,"&gt;="&amp;$A34,Summary!$D$5:$D$241,"&lt;"&amp;$A34+7))</f>
        <v>0</v>
      </c>
      <c r="AF34">
        <f>IF(AF5="","",COUNTIFS(Summary!$E$5:$E$241,AF5,Summary!$D$5:$D$241,"&gt;="&amp;$A34,Summary!$D$5:$D$241,"&lt;"&amp;$A34+7))</f>
        <v>0</v>
      </c>
      <c r="AG34">
        <f>IF(AG5="","",COUNTIFS(Summary!$E$5:$E$241,AG5,Summary!$D$5:$D$241,"&gt;="&amp;$A34,Summary!$D$5:$D$241,"&lt;"&amp;$A34+7))</f>
        <v>0</v>
      </c>
      <c r="AH34">
        <f>IF(AH5="","",COUNTIFS(Summary!$E$5:$E$241,AH5,Summary!$D$5:$D$241,"&gt;="&amp;$A34,Summary!$D$5:$D$241,"&lt;"&amp;$A34+7))</f>
        <v>0</v>
      </c>
      <c r="AI34">
        <f>IF(AI5="","",COUNTIFS(Summary!$E$5:$E$241,AI5,Summary!$D$5:$D$241,"&gt;="&amp;$A34,Summary!$D$5:$D$241,"&lt;"&amp;$A34+7))</f>
        <v>0</v>
      </c>
      <c r="AJ34">
        <f>IF(AJ5="","",COUNTIFS(Summary!$E$5:$E$241,AJ5,Summary!$D$5:$D$241,"&gt;="&amp;$A34,Summary!$D$5:$D$241,"&lt;"&amp;$A34+7))</f>
        <v>0</v>
      </c>
      <c r="AK34">
        <f>IF(AK5="","",COUNTIFS(Summary!$E$5:$E$241,AK5,Summary!$D$5:$D$241,"&gt;="&amp;$A34,Summary!$D$5:$D$241,"&lt;"&amp;$A34+7))</f>
        <v>0</v>
      </c>
      <c r="AL34">
        <f>IF(AL5="","",COUNTIFS(Summary!$E$5:$E$241,AL5,Summary!$D$5:$D$241,"&gt;="&amp;$A34,Summary!$D$5:$D$241,"&lt;"&amp;$A34+7))</f>
        <v>0</v>
      </c>
      <c r="AM34">
        <f>IF(AM5="","",COUNTIFS(Summary!$E$5:$E$241,AM5,Summary!$D$5:$D$241,"&gt;="&amp;$A34,Summary!$D$5:$D$241,"&lt;"&amp;$A34+7))</f>
        <v>0</v>
      </c>
      <c r="AN34">
        <f>IF(AN5="","",COUNTIFS(Summary!$E$5:$E$241,AN5,Summary!$D$5:$D$241,"&gt;="&amp;$A34,Summary!$D$5:$D$241,"&lt;"&amp;$A34+7))</f>
        <v>0</v>
      </c>
      <c r="AO34">
        <f>IF(AO5="","",COUNTIFS(Summary!$E$5:$E$241,AO5,Summary!$D$5:$D$241,"&gt;="&amp;$A34,Summary!$D$5:$D$241,"&lt;"&amp;$A34+7))</f>
        <v>0</v>
      </c>
      <c r="AP34">
        <f>IF(AP5="","",COUNTIFS(Summary!$E$5:$E$241,AP5,Summary!$D$5:$D$241,"&gt;="&amp;$A34,Summary!$D$5:$D$241,"&lt;"&amp;$A34+7))</f>
        <v>0</v>
      </c>
      <c r="AQ34">
        <f>IF(AQ5="","",COUNTIFS(Summary!$E$5:$E$241,AQ5,Summary!$D$5:$D$241,"&gt;="&amp;$A34,Summary!$D$5:$D$241,"&lt;"&amp;$A34+7))</f>
        <v>0</v>
      </c>
      <c r="AR34">
        <f>IF(AR5="","",COUNTIFS(Summary!$E$5:$E$241,AR5,Summary!$D$5:$D$241,"&gt;="&amp;$A34,Summary!$D$5:$D$241,"&lt;"&amp;$A34+7))</f>
        <v>0</v>
      </c>
      <c r="AS34">
        <f>IF(AS5="","",COUNTIFS(Summary!$E$5:$E$241,AS5,Summary!$D$5:$D$241,"&gt;="&amp;$A34,Summary!$D$5:$D$241,"&lt;"&amp;$A34+7))</f>
        <v>0</v>
      </c>
      <c r="AT34">
        <f>IF(AT5="","",COUNTIFS(Summary!$E$5:$E$241,AT5,Summary!$D$5:$D$241,"&gt;="&amp;$A34,Summary!$D$5:$D$241,"&lt;"&amp;$A34+7))</f>
        <v>0</v>
      </c>
      <c r="AU34">
        <f>IF(AU5="","",COUNTIFS(Summary!$E$5:$E$241,AU5,Summary!$D$5:$D$241,"&gt;="&amp;$A34,Summary!$D$5:$D$241,"&lt;"&amp;$A34+7))</f>
        <v>0</v>
      </c>
      <c r="AV34">
        <f>IF(AV5="","",COUNTIFS(Summary!$E$5:$E$241,AV5,Summary!$D$5:$D$241,"&gt;="&amp;$A34,Summary!$D$5:$D$241,"&lt;"&amp;$A34+7))</f>
        <v>0</v>
      </c>
      <c r="AW34">
        <f>IF(AW5="","",COUNTIFS(Summary!$E$5:$E$241,AW5,Summary!$D$5:$D$241,"&gt;="&amp;$A34,Summary!$D$5:$D$241,"&lt;"&amp;$A34+7))</f>
        <v>0</v>
      </c>
      <c r="AX34">
        <f>IF(AX5="","",COUNTIFS(Summary!$E$5:$E$241,AX5,Summary!$D$5:$D$241,"&gt;="&amp;$A34,Summary!$D$5:$D$241,"&lt;"&amp;$A34+7))</f>
        <v>0</v>
      </c>
      <c r="AY34">
        <f>IF(AY5="","",COUNTIFS(Summary!$E$5:$E$241,AY5,Summary!$D$5:$D$241,"&gt;="&amp;$A34,Summary!$D$5:$D$241,"&lt;"&amp;$A34+7))</f>
        <v>0</v>
      </c>
      <c r="AZ34">
        <f>IF(AZ5="","",COUNTIFS(Summary!$E$5:$E$241,AZ5,Summary!$D$5:$D$241,"&gt;="&amp;$A34,Summary!$D$5:$D$241,"&lt;"&amp;$A34+7))</f>
        <v>0</v>
      </c>
      <c r="BA34">
        <f>IF(BA5="","",COUNTIFS(Summary!$E$5:$E$241,BA5,Summary!$D$5:$D$241,"&gt;="&amp;$A34,Summary!$D$5:$D$241,"&lt;"&amp;$A34+7))</f>
        <v>0</v>
      </c>
      <c r="BB34">
        <f>IF(BB5="","",COUNTIFS(Summary!$E$5:$E$241,BB5,Summary!$D$5:$D$241,"&gt;="&amp;$A34,Summary!$D$5:$D$241,"&lt;"&amp;$A34+7))</f>
        <v>0</v>
      </c>
      <c r="BC34">
        <f>IF(BC5="","",COUNTIFS(Summary!$E$5:$E$241,BC5,Summary!$D$5:$D$241,"&gt;="&amp;$A34,Summary!$D$5:$D$241,"&lt;"&amp;$A34+7))</f>
        <v>0</v>
      </c>
      <c r="BD34">
        <f>IF(BD5="","",COUNTIFS(Summary!$E$5:$E$241,BD5,Summary!$D$5:$D$241,"&gt;="&amp;$A34,Summary!$D$5:$D$241,"&lt;"&amp;$A34+7))</f>
        <v>0</v>
      </c>
      <c r="BE34">
        <f>IF(BE5="","",COUNTIFS(Summary!$E$5:$E$241,BE5,Summary!$D$5:$D$241,"&gt;="&amp;$A34,Summary!$D$5:$D$241,"&lt;"&amp;$A34+7))</f>
        <v>0</v>
      </c>
      <c r="BF34" s="28">
        <f>IF(BF5="","",COUNTIFS(Summary!$E$5:$E$241,BF5,Summary!$D$5:$D$241,"&gt;="&amp;$A34,Summary!$D$5:$D$241,"&lt;"&amp;$A34+7))</f>
        <v>0</v>
      </c>
    </row>
    <row r="35" spans="1:58">
      <c r="A35" s="18">
        <f t="shared" si="1"/>
        <v>46286</v>
      </c>
      <c r="B35" s="2" t="str">
        <f t="shared" si="0"/>
        <v>Sep 21</v>
      </c>
      <c r="C35">
        <f>IF(C5="","",COUNTIFS(Summary!$E$5:$E$241,C5,Summary!$D$5:$D$241,"&gt;="&amp;$A35,Summary!$D$5:$D$241,"&lt;"&amp;$A35+7))</f>
        <v>0</v>
      </c>
      <c r="D35">
        <f>IF(D5="","",COUNTIFS(Summary!$E$5:$E$241,D5,Summary!$D$5:$D$241,"&gt;="&amp;$A35,Summary!$D$5:$D$241,"&lt;"&amp;$A35+7))</f>
        <v>0</v>
      </c>
      <c r="E35">
        <f>IF(E5="","",COUNTIFS(Summary!$E$5:$E$241,E5,Summary!$D$5:$D$241,"&gt;="&amp;$A35,Summary!$D$5:$D$241,"&lt;"&amp;$A35+7))</f>
        <v>0</v>
      </c>
      <c r="F35">
        <f>IF(F5="","",COUNTIFS(Summary!$E$5:$E$241,F5,Summary!$D$5:$D$241,"&gt;="&amp;$A35,Summary!$D$5:$D$241,"&lt;"&amp;$A35+7))</f>
        <v>0</v>
      </c>
      <c r="G35">
        <f>IF(G5="","",COUNTIFS(Summary!$E$5:$E$241,G5,Summary!$D$5:$D$241,"&gt;="&amp;$A35,Summary!$D$5:$D$241,"&lt;"&amp;$A35+7))</f>
        <v>0</v>
      </c>
      <c r="H35">
        <f>IF(H5="","",COUNTIFS(Summary!$E$5:$E$241,H5,Summary!$D$5:$D$241,"&gt;="&amp;$A35,Summary!$D$5:$D$241,"&lt;"&amp;$A35+7))</f>
        <v>0</v>
      </c>
      <c r="I35">
        <f>IF(I5="","",COUNTIFS(Summary!$E$5:$E$241,I5,Summary!$D$5:$D$241,"&gt;="&amp;$A35,Summary!$D$5:$D$241,"&lt;"&amp;$A35+7))</f>
        <v>0</v>
      </c>
      <c r="J35">
        <f>IF(J5="","",COUNTIFS(Summary!$E$5:$E$241,J5,Summary!$D$5:$D$241,"&gt;="&amp;$A35,Summary!$D$5:$D$241,"&lt;"&amp;$A35+7))</f>
        <v>0</v>
      </c>
      <c r="K35">
        <f>IF(K5="","",COUNTIFS(Summary!$E$5:$E$241,K5,Summary!$D$5:$D$241,"&gt;="&amp;$A35,Summary!$D$5:$D$241,"&lt;"&amp;$A35+7))</f>
        <v>0</v>
      </c>
      <c r="L35">
        <f>IF(L5="","",COUNTIFS(Summary!$E$5:$E$241,L5,Summary!$D$5:$D$241,"&gt;="&amp;$A35,Summary!$D$5:$D$241,"&lt;"&amp;$A35+7))</f>
        <v>0</v>
      </c>
      <c r="M35">
        <f>IF(M5="","",COUNTIFS(Summary!$E$5:$E$241,M5,Summary!$D$5:$D$241,"&gt;="&amp;$A35,Summary!$D$5:$D$241,"&lt;"&amp;$A35+7))</f>
        <v>0</v>
      </c>
      <c r="N35">
        <f>IF(N5="","",COUNTIFS(Summary!$E$5:$E$241,N5,Summary!$D$5:$D$241,"&gt;="&amp;$A35,Summary!$D$5:$D$241,"&lt;"&amp;$A35+7))</f>
        <v>0</v>
      </c>
      <c r="O35">
        <f>IF(O5="","",COUNTIFS(Summary!$E$5:$E$241,O5,Summary!$D$5:$D$241,"&gt;="&amp;$A35,Summary!$D$5:$D$241,"&lt;"&amp;$A35+7))</f>
        <v>0</v>
      </c>
      <c r="P35">
        <f>IF(P5="","",COUNTIFS(Summary!$E$5:$E$241,P5,Summary!$D$5:$D$241,"&gt;="&amp;$A35,Summary!$D$5:$D$241,"&lt;"&amp;$A35+7))</f>
        <v>0</v>
      </c>
      <c r="Q35">
        <f>IF(Q5="","",COUNTIFS(Summary!$E$5:$E$241,Q5,Summary!$D$5:$D$241,"&gt;="&amp;$A35,Summary!$D$5:$D$241,"&lt;"&amp;$A35+7))</f>
        <v>0</v>
      </c>
      <c r="R35">
        <f>IF(R5="","",COUNTIFS(Summary!$E$5:$E$241,R5,Summary!$D$5:$D$241,"&gt;="&amp;$A35,Summary!$D$5:$D$241,"&lt;"&amp;$A35+7))</f>
        <v>0</v>
      </c>
      <c r="S35">
        <f>IF(S5="","",COUNTIFS(Summary!$E$5:$E$241,S5,Summary!$D$5:$D$241,"&gt;="&amp;$A35,Summary!$D$5:$D$241,"&lt;"&amp;$A35+7))</f>
        <v>0</v>
      </c>
      <c r="T35">
        <f>IF(T5="","",COUNTIFS(Summary!$E$5:$E$241,T5,Summary!$D$5:$D$241,"&gt;="&amp;$A35,Summary!$D$5:$D$241,"&lt;"&amp;$A35+7))</f>
        <v>0</v>
      </c>
      <c r="U35">
        <f>IF(U5="","",COUNTIFS(Summary!$E$5:$E$241,U5,Summary!$D$5:$D$241,"&gt;="&amp;$A35,Summary!$D$5:$D$241,"&lt;"&amp;$A35+7))</f>
        <v>0</v>
      </c>
      <c r="V35">
        <f>IF(V5="","",COUNTIFS(Summary!$E$5:$E$241,V5,Summary!$D$5:$D$241,"&gt;="&amp;$A35,Summary!$D$5:$D$241,"&lt;"&amp;$A35+7))</f>
        <v>0</v>
      </c>
      <c r="W35">
        <f>IF(W5="","",COUNTIFS(Summary!$E$5:$E$241,W5,Summary!$D$5:$D$241,"&gt;="&amp;$A35,Summary!$D$5:$D$241,"&lt;"&amp;$A35+7))</f>
        <v>0</v>
      </c>
      <c r="X35">
        <f>IF(X5="","",COUNTIFS(Summary!$E$5:$E$241,X5,Summary!$D$5:$D$241,"&gt;="&amp;$A35,Summary!$D$5:$D$241,"&lt;"&amp;$A35+7))</f>
        <v>0</v>
      </c>
      <c r="Y35">
        <f>IF(Y5="","",COUNTIFS(Summary!$E$5:$E$241,Y5,Summary!$D$5:$D$241,"&gt;="&amp;$A35,Summary!$D$5:$D$241,"&lt;"&amp;$A35+7))</f>
        <v>0</v>
      </c>
      <c r="Z35">
        <f>IF(Z5="","",COUNTIFS(Summary!$E$5:$E$241,Z5,Summary!$D$5:$D$241,"&gt;="&amp;$A35,Summary!$D$5:$D$241,"&lt;"&amp;$A35+7))</f>
        <v>0</v>
      </c>
      <c r="AA35">
        <f>IF(AA5="","",COUNTIFS(Summary!$E$5:$E$241,AA5,Summary!$D$5:$D$241,"&gt;="&amp;$A35,Summary!$D$5:$D$241,"&lt;"&amp;$A35+7))</f>
        <v>0</v>
      </c>
      <c r="AB35">
        <f>IF(AB5="","",COUNTIFS(Summary!$E$5:$E$241,AB5,Summary!$D$5:$D$241,"&gt;="&amp;$A35,Summary!$D$5:$D$241,"&lt;"&amp;$A35+7))</f>
        <v>0</v>
      </c>
      <c r="AC35">
        <f>IF(AC5="","",COUNTIFS(Summary!$E$5:$E$241,AC5,Summary!$D$5:$D$241,"&gt;="&amp;$A35,Summary!$D$5:$D$241,"&lt;"&amp;$A35+7))</f>
        <v>0</v>
      </c>
      <c r="AD35">
        <f>IF(AD5="","",COUNTIFS(Summary!$E$5:$E$241,AD5,Summary!$D$5:$D$241,"&gt;="&amp;$A35,Summary!$D$5:$D$241,"&lt;"&amp;$A35+7))</f>
        <v>0</v>
      </c>
      <c r="AE35">
        <f>IF(AE5="","",COUNTIFS(Summary!$E$5:$E$241,AE5,Summary!$D$5:$D$241,"&gt;="&amp;$A35,Summary!$D$5:$D$241,"&lt;"&amp;$A35+7))</f>
        <v>0</v>
      </c>
      <c r="AF35">
        <f>IF(AF5="","",COUNTIFS(Summary!$E$5:$E$241,AF5,Summary!$D$5:$D$241,"&gt;="&amp;$A35,Summary!$D$5:$D$241,"&lt;"&amp;$A35+7))</f>
        <v>0</v>
      </c>
      <c r="AG35">
        <f>IF(AG5="","",COUNTIFS(Summary!$E$5:$E$241,AG5,Summary!$D$5:$D$241,"&gt;="&amp;$A35,Summary!$D$5:$D$241,"&lt;"&amp;$A35+7))</f>
        <v>0</v>
      </c>
      <c r="AH35">
        <f>IF(AH5="","",COUNTIFS(Summary!$E$5:$E$241,AH5,Summary!$D$5:$D$241,"&gt;="&amp;$A35,Summary!$D$5:$D$241,"&lt;"&amp;$A35+7))</f>
        <v>0</v>
      </c>
      <c r="AI35">
        <f>IF(AI5="","",COUNTIFS(Summary!$E$5:$E$241,AI5,Summary!$D$5:$D$241,"&gt;="&amp;$A35,Summary!$D$5:$D$241,"&lt;"&amp;$A35+7))</f>
        <v>0</v>
      </c>
      <c r="AJ35">
        <f>IF(AJ5="","",COUNTIFS(Summary!$E$5:$E$241,AJ5,Summary!$D$5:$D$241,"&gt;="&amp;$A35,Summary!$D$5:$D$241,"&lt;"&amp;$A35+7))</f>
        <v>0</v>
      </c>
      <c r="AK35">
        <f>IF(AK5="","",COUNTIFS(Summary!$E$5:$E$241,AK5,Summary!$D$5:$D$241,"&gt;="&amp;$A35,Summary!$D$5:$D$241,"&lt;"&amp;$A35+7))</f>
        <v>0</v>
      </c>
      <c r="AL35">
        <f>IF(AL5="","",COUNTIFS(Summary!$E$5:$E$241,AL5,Summary!$D$5:$D$241,"&gt;="&amp;$A35,Summary!$D$5:$D$241,"&lt;"&amp;$A35+7))</f>
        <v>0</v>
      </c>
      <c r="AM35">
        <f>IF(AM5="","",COUNTIFS(Summary!$E$5:$E$241,AM5,Summary!$D$5:$D$241,"&gt;="&amp;$A35,Summary!$D$5:$D$241,"&lt;"&amp;$A35+7))</f>
        <v>0</v>
      </c>
      <c r="AN35">
        <f>IF(AN5="","",COUNTIFS(Summary!$E$5:$E$241,AN5,Summary!$D$5:$D$241,"&gt;="&amp;$A35,Summary!$D$5:$D$241,"&lt;"&amp;$A35+7))</f>
        <v>0</v>
      </c>
      <c r="AO35">
        <f>IF(AO5="","",COUNTIFS(Summary!$E$5:$E$241,AO5,Summary!$D$5:$D$241,"&gt;="&amp;$A35,Summary!$D$5:$D$241,"&lt;"&amp;$A35+7))</f>
        <v>0</v>
      </c>
      <c r="AP35">
        <f>IF(AP5="","",COUNTIFS(Summary!$E$5:$E$241,AP5,Summary!$D$5:$D$241,"&gt;="&amp;$A35,Summary!$D$5:$D$241,"&lt;"&amp;$A35+7))</f>
        <v>0</v>
      </c>
      <c r="AQ35">
        <f>IF(AQ5="","",COUNTIFS(Summary!$E$5:$E$241,AQ5,Summary!$D$5:$D$241,"&gt;="&amp;$A35,Summary!$D$5:$D$241,"&lt;"&amp;$A35+7))</f>
        <v>0</v>
      </c>
      <c r="AR35">
        <f>IF(AR5="","",COUNTIFS(Summary!$E$5:$E$241,AR5,Summary!$D$5:$D$241,"&gt;="&amp;$A35,Summary!$D$5:$D$241,"&lt;"&amp;$A35+7))</f>
        <v>0</v>
      </c>
      <c r="AS35">
        <f>IF(AS5="","",COUNTIFS(Summary!$E$5:$E$241,AS5,Summary!$D$5:$D$241,"&gt;="&amp;$A35,Summary!$D$5:$D$241,"&lt;"&amp;$A35+7))</f>
        <v>0</v>
      </c>
      <c r="AT35">
        <f>IF(AT5="","",COUNTIFS(Summary!$E$5:$E$241,AT5,Summary!$D$5:$D$241,"&gt;="&amp;$A35,Summary!$D$5:$D$241,"&lt;"&amp;$A35+7))</f>
        <v>0</v>
      </c>
      <c r="AU35">
        <f>IF(AU5="","",COUNTIFS(Summary!$E$5:$E$241,AU5,Summary!$D$5:$D$241,"&gt;="&amp;$A35,Summary!$D$5:$D$241,"&lt;"&amp;$A35+7))</f>
        <v>0</v>
      </c>
      <c r="AV35">
        <f>IF(AV5="","",COUNTIFS(Summary!$E$5:$E$241,AV5,Summary!$D$5:$D$241,"&gt;="&amp;$A35,Summary!$D$5:$D$241,"&lt;"&amp;$A35+7))</f>
        <v>0</v>
      </c>
      <c r="AW35">
        <f>IF(AW5="","",COUNTIFS(Summary!$E$5:$E$241,AW5,Summary!$D$5:$D$241,"&gt;="&amp;$A35,Summary!$D$5:$D$241,"&lt;"&amp;$A35+7))</f>
        <v>0</v>
      </c>
      <c r="AX35">
        <f>IF(AX5="","",COUNTIFS(Summary!$E$5:$E$241,AX5,Summary!$D$5:$D$241,"&gt;="&amp;$A35,Summary!$D$5:$D$241,"&lt;"&amp;$A35+7))</f>
        <v>0</v>
      </c>
      <c r="AY35">
        <f>IF(AY5="","",COUNTIFS(Summary!$E$5:$E$241,AY5,Summary!$D$5:$D$241,"&gt;="&amp;$A35,Summary!$D$5:$D$241,"&lt;"&amp;$A35+7))</f>
        <v>0</v>
      </c>
      <c r="AZ35">
        <f>IF(AZ5="","",COUNTIFS(Summary!$E$5:$E$241,AZ5,Summary!$D$5:$D$241,"&gt;="&amp;$A35,Summary!$D$5:$D$241,"&lt;"&amp;$A35+7))</f>
        <v>0</v>
      </c>
      <c r="BA35">
        <f>IF(BA5="","",COUNTIFS(Summary!$E$5:$E$241,BA5,Summary!$D$5:$D$241,"&gt;="&amp;$A35,Summary!$D$5:$D$241,"&lt;"&amp;$A35+7))</f>
        <v>0</v>
      </c>
      <c r="BB35">
        <f>IF(BB5="","",COUNTIFS(Summary!$E$5:$E$241,BB5,Summary!$D$5:$D$241,"&gt;="&amp;$A35,Summary!$D$5:$D$241,"&lt;"&amp;$A35+7))</f>
        <v>0</v>
      </c>
      <c r="BC35">
        <f>IF(BC5="","",COUNTIFS(Summary!$E$5:$E$241,BC5,Summary!$D$5:$D$241,"&gt;="&amp;$A35,Summary!$D$5:$D$241,"&lt;"&amp;$A35+7))</f>
        <v>0</v>
      </c>
      <c r="BD35">
        <f>IF(BD5="","",COUNTIFS(Summary!$E$5:$E$241,BD5,Summary!$D$5:$D$241,"&gt;="&amp;$A35,Summary!$D$5:$D$241,"&lt;"&amp;$A35+7))</f>
        <v>0</v>
      </c>
      <c r="BE35">
        <f>IF(BE5="","",COUNTIFS(Summary!$E$5:$E$241,BE5,Summary!$D$5:$D$241,"&gt;="&amp;$A35,Summary!$D$5:$D$241,"&lt;"&amp;$A35+7))</f>
        <v>0</v>
      </c>
      <c r="BF35" s="28">
        <f>IF(BF5="","",COUNTIFS(Summary!$E$5:$E$241,BF5,Summary!$D$5:$D$241,"&gt;="&amp;$A35,Summary!$D$5:$D$241,"&lt;"&amp;$A35+7))</f>
        <v>0</v>
      </c>
    </row>
    <row r="36" spans="1:58">
      <c r="A36" s="18">
        <f t="shared" si="1"/>
        <v>46293</v>
      </c>
      <c r="B36" s="2" t="str">
        <f t="shared" si="0"/>
        <v>Sep 28</v>
      </c>
      <c r="C36">
        <f>IF(C5="","",COUNTIFS(Summary!$E$5:$E$241,C5,Summary!$D$5:$D$241,"&gt;="&amp;$A36,Summary!$D$5:$D$241,"&lt;"&amp;$A36+7))</f>
        <v>0</v>
      </c>
      <c r="D36">
        <f>IF(D5="","",COUNTIFS(Summary!$E$5:$E$241,D5,Summary!$D$5:$D$241,"&gt;="&amp;$A36,Summary!$D$5:$D$241,"&lt;"&amp;$A36+7))</f>
        <v>0</v>
      </c>
      <c r="E36">
        <f>IF(E5="","",COUNTIFS(Summary!$E$5:$E$241,E5,Summary!$D$5:$D$241,"&gt;="&amp;$A36,Summary!$D$5:$D$241,"&lt;"&amp;$A36+7))</f>
        <v>0</v>
      </c>
      <c r="F36">
        <f>IF(F5="","",COUNTIFS(Summary!$E$5:$E$241,F5,Summary!$D$5:$D$241,"&gt;="&amp;$A36,Summary!$D$5:$D$241,"&lt;"&amp;$A36+7))</f>
        <v>0</v>
      </c>
      <c r="G36">
        <f>IF(G5="","",COUNTIFS(Summary!$E$5:$E$241,G5,Summary!$D$5:$D$241,"&gt;="&amp;$A36,Summary!$D$5:$D$241,"&lt;"&amp;$A36+7))</f>
        <v>0</v>
      </c>
      <c r="H36">
        <f>IF(H5="","",COUNTIFS(Summary!$E$5:$E$241,H5,Summary!$D$5:$D$241,"&gt;="&amp;$A36,Summary!$D$5:$D$241,"&lt;"&amp;$A36+7))</f>
        <v>0</v>
      </c>
      <c r="I36">
        <f>IF(I5="","",COUNTIFS(Summary!$E$5:$E$241,I5,Summary!$D$5:$D$241,"&gt;="&amp;$A36,Summary!$D$5:$D$241,"&lt;"&amp;$A36+7))</f>
        <v>0</v>
      </c>
      <c r="J36">
        <f>IF(J5="","",COUNTIFS(Summary!$E$5:$E$241,J5,Summary!$D$5:$D$241,"&gt;="&amp;$A36,Summary!$D$5:$D$241,"&lt;"&amp;$A36+7))</f>
        <v>0</v>
      </c>
      <c r="K36">
        <f>IF(K5="","",COUNTIFS(Summary!$E$5:$E$241,K5,Summary!$D$5:$D$241,"&gt;="&amp;$A36,Summary!$D$5:$D$241,"&lt;"&amp;$A36+7))</f>
        <v>0</v>
      </c>
      <c r="L36">
        <f>IF(L5="","",COUNTIFS(Summary!$E$5:$E$241,L5,Summary!$D$5:$D$241,"&gt;="&amp;$A36,Summary!$D$5:$D$241,"&lt;"&amp;$A36+7))</f>
        <v>0</v>
      </c>
      <c r="M36">
        <f>IF(M5="","",COUNTIFS(Summary!$E$5:$E$241,M5,Summary!$D$5:$D$241,"&gt;="&amp;$A36,Summary!$D$5:$D$241,"&lt;"&amp;$A36+7))</f>
        <v>0</v>
      </c>
      <c r="N36">
        <f>IF(N5="","",COUNTIFS(Summary!$E$5:$E$241,N5,Summary!$D$5:$D$241,"&gt;="&amp;$A36,Summary!$D$5:$D$241,"&lt;"&amp;$A36+7))</f>
        <v>0</v>
      </c>
      <c r="O36">
        <f>IF(O5="","",COUNTIFS(Summary!$E$5:$E$241,O5,Summary!$D$5:$D$241,"&gt;="&amp;$A36,Summary!$D$5:$D$241,"&lt;"&amp;$A36+7))</f>
        <v>0</v>
      </c>
      <c r="P36">
        <f>IF(P5="","",COUNTIFS(Summary!$E$5:$E$241,P5,Summary!$D$5:$D$241,"&gt;="&amp;$A36,Summary!$D$5:$D$241,"&lt;"&amp;$A36+7))</f>
        <v>0</v>
      </c>
      <c r="Q36">
        <f>IF(Q5="","",COUNTIFS(Summary!$E$5:$E$241,Q5,Summary!$D$5:$D$241,"&gt;="&amp;$A36,Summary!$D$5:$D$241,"&lt;"&amp;$A36+7))</f>
        <v>0</v>
      </c>
      <c r="R36">
        <f>IF(R5="","",COUNTIFS(Summary!$E$5:$E$241,R5,Summary!$D$5:$D$241,"&gt;="&amp;$A36,Summary!$D$5:$D$241,"&lt;"&amp;$A36+7))</f>
        <v>0</v>
      </c>
      <c r="S36">
        <f>IF(S5="","",COUNTIFS(Summary!$E$5:$E$241,S5,Summary!$D$5:$D$241,"&gt;="&amp;$A36,Summary!$D$5:$D$241,"&lt;"&amp;$A36+7))</f>
        <v>0</v>
      </c>
      <c r="T36">
        <f>IF(T5="","",COUNTIFS(Summary!$E$5:$E$241,T5,Summary!$D$5:$D$241,"&gt;="&amp;$A36,Summary!$D$5:$D$241,"&lt;"&amp;$A36+7))</f>
        <v>0</v>
      </c>
      <c r="U36">
        <f>IF(U5="","",COUNTIFS(Summary!$E$5:$E$241,U5,Summary!$D$5:$D$241,"&gt;="&amp;$A36,Summary!$D$5:$D$241,"&lt;"&amp;$A36+7))</f>
        <v>0</v>
      </c>
      <c r="V36">
        <f>IF(V5="","",COUNTIFS(Summary!$E$5:$E$241,V5,Summary!$D$5:$D$241,"&gt;="&amp;$A36,Summary!$D$5:$D$241,"&lt;"&amp;$A36+7))</f>
        <v>0</v>
      </c>
      <c r="W36">
        <f>IF(W5="","",COUNTIFS(Summary!$E$5:$E$241,W5,Summary!$D$5:$D$241,"&gt;="&amp;$A36,Summary!$D$5:$D$241,"&lt;"&amp;$A36+7))</f>
        <v>0</v>
      </c>
      <c r="X36">
        <f>IF(X5="","",COUNTIFS(Summary!$E$5:$E$241,X5,Summary!$D$5:$D$241,"&gt;="&amp;$A36,Summary!$D$5:$D$241,"&lt;"&amp;$A36+7))</f>
        <v>0</v>
      </c>
      <c r="Y36">
        <f>IF(Y5="","",COUNTIFS(Summary!$E$5:$E$241,Y5,Summary!$D$5:$D$241,"&gt;="&amp;$A36,Summary!$D$5:$D$241,"&lt;"&amp;$A36+7))</f>
        <v>0</v>
      </c>
      <c r="Z36">
        <f>IF(Z5="","",COUNTIFS(Summary!$E$5:$E$241,Z5,Summary!$D$5:$D$241,"&gt;="&amp;$A36,Summary!$D$5:$D$241,"&lt;"&amp;$A36+7))</f>
        <v>0</v>
      </c>
      <c r="AA36">
        <f>IF(AA5="","",COUNTIFS(Summary!$E$5:$E$241,AA5,Summary!$D$5:$D$241,"&gt;="&amp;$A36,Summary!$D$5:$D$241,"&lt;"&amp;$A36+7))</f>
        <v>0</v>
      </c>
      <c r="AB36">
        <f>IF(AB5="","",COUNTIFS(Summary!$E$5:$E$241,AB5,Summary!$D$5:$D$241,"&gt;="&amp;$A36,Summary!$D$5:$D$241,"&lt;"&amp;$A36+7))</f>
        <v>0</v>
      </c>
      <c r="AC36">
        <f>IF(AC5="","",COUNTIFS(Summary!$E$5:$E$241,AC5,Summary!$D$5:$D$241,"&gt;="&amp;$A36,Summary!$D$5:$D$241,"&lt;"&amp;$A36+7))</f>
        <v>0</v>
      </c>
      <c r="AD36">
        <f>IF(AD5="","",COUNTIFS(Summary!$E$5:$E$241,AD5,Summary!$D$5:$D$241,"&gt;="&amp;$A36,Summary!$D$5:$D$241,"&lt;"&amp;$A36+7))</f>
        <v>0</v>
      </c>
      <c r="AE36">
        <f>IF(AE5="","",COUNTIFS(Summary!$E$5:$E$241,AE5,Summary!$D$5:$D$241,"&gt;="&amp;$A36,Summary!$D$5:$D$241,"&lt;"&amp;$A36+7))</f>
        <v>0</v>
      </c>
      <c r="AF36">
        <f>IF(AF5="","",COUNTIFS(Summary!$E$5:$E$241,AF5,Summary!$D$5:$D$241,"&gt;="&amp;$A36,Summary!$D$5:$D$241,"&lt;"&amp;$A36+7))</f>
        <v>0</v>
      </c>
      <c r="AG36">
        <f>IF(AG5="","",COUNTIFS(Summary!$E$5:$E$241,AG5,Summary!$D$5:$D$241,"&gt;="&amp;$A36,Summary!$D$5:$D$241,"&lt;"&amp;$A36+7))</f>
        <v>0</v>
      </c>
      <c r="AH36">
        <f>IF(AH5="","",COUNTIFS(Summary!$E$5:$E$241,AH5,Summary!$D$5:$D$241,"&gt;="&amp;$A36,Summary!$D$5:$D$241,"&lt;"&amp;$A36+7))</f>
        <v>0</v>
      </c>
      <c r="AI36">
        <f>IF(AI5="","",COUNTIFS(Summary!$E$5:$E$241,AI5,Summary!$D$5:$D$241,"&gt;="&amp;$A36,Summary!$D$5:$D$241,"&lt;"&amp;$A36+7))</f>
        <v>0</v>
      </c>
      <c r="AJ36">
        <f>IF(AJ5="","",COUNTIFS(Summary!$E$5:$E$241,AJ5,Summary!$D$5:$D$241,"&gt;="&amp;$A36,Summary!$D$5:$D$241,"&lt;"&amp;$A36+7))</f>
        <v>0</v>
      </c>
      <c r="AK36">
        <f>IF(AK5="","",COUNTIFS(Summary!$E$5:$E$241,AK5,Summary!$D$5:$D$241,"&gt;="&amp;$A36,Summary!$D$5:$D$241,"&lt;"&amp;$A36+7))</f>
        <v>0</v>
      </c>
      <c r="AL36">
        <f>IF(AL5="","",COUNTIFS(Summary!$E$5:$E$241,AL5,Summary!$D$5:$D$241,"&gt;="&amp;$A36,Summary!$D$5:$D$241,"&lt;"&amp;$A36+7))</f>
        <v>0</v>
      </c>
      <c r="AM36">
        <f>IF(AM5="","",COUNTIFS(Summary!$E$5:$E$241,AM5,Summary!$D$5:$D$241,"&gt;="&amp;$A36,Summary!$D$5:$D$241,"&lt;"&amp;$A36+7))</f>
        <v>0</v>
      </c>
      <c r="AN36">
        <f>IF(AN5="","",COUNTIFS(Summary!$E$5:$E$241,AN5,Summary!$D$5:$D$241,"&gt;="&amp;$A36,Summary!$D$5:$D$241,"&lt;"&amp;$A36+7))</f>
        <v>0</v>
      </c>
      <c r="AO36">
        <f>IF(AO5="","",COUNTIFS(Summary!$E$5:$E$241,AO5,Summary!$D$5:$D$241,"&gt;="&amp;$A36,Summary!$D$5:$D$241,"&lt;"&amp;$A36+7))</f>
        <v>0</v>
      </c>
      <c r="AP36">
        <f>IF(AP5="","",COUNTIFS(Summary!$E$5:$E$241,AP5,Summary!$D$5:$D$241,"&gt;="&amp;$A36,Summary!$D$5:$D$241,"&lt;"&amp;$A36+7))</f>
        <v>0</v>
      </c>
      <c r="AQ36">
        <f>IF(AQ5="","",COUNTIFS(Summary!$E$5:$E$241,AQ5,Summary!$D$5:$D$241,"&gt;="&amp;$A36,Summary!$D$5:$D$241,"&lt;"&amp;$A36+7))</f>
        <v>0</v>
      </c>
      <c r="AR36">
        <f>IF(AR5="","",COUNTIFS(Summary!$E$5:$E$241,AR5,Summary!$D$5:$D$241,"&gt;="&amp;$A36,Summary!$D$5:$D$241,"&lt;"&amp;$A36+7))</f>
        <v>0</v>
      </c>
      <c r="AS36">
        <f>IF(AS5="","",COUNTIFS(Summary!$E$5:$E$241,AS5,Summary!$D$5:$D$241,"&gt;="&amp;$A36,Summary!$D$5:$D$241,"&lt;"&amp;$A36+7))</f>
        <v>0</v>
      </c>
      <c r="AT36">
        <f>IF(AT5="","",COUNTIFS(Summary!$E$5:$E$241,AT5,Summary!$D$5:$D$241,"&gt;="&amp;$A36,Summary!$D$5:$D$241,"&lt;"&amp;$A36+7))</f>
        <v>0</v>
      </c>
      <c r="AU36">
        <f>IF(AU5="","",COUNTIFS(Summary!$E$5:$E$241,AU5,Summary!$D$5:$D$241,"&gt;="&amp;$A36,Summary!$D$5:$D$241,"&lt;"&amp;$A36+7))</f>
        <v>0</v>
      </c>
      <c r="AV36">
        <f>IF(AV5="","",COUNTIFS(Summary!$E$5:$E$241,AV5,Summary!$D$5:$D$241,"&gt;="&amp;$A36,Summary!$D$5:$D$241,"&lt;"&amp;$A36+7))</f>
        <v>0</v>
      </c>
      <c r="AW36">
        <f>IF(AW5="","",COUNTIFS(Summary!$E$5:$E$241,AW5,Summary!$D$5:$D$241,"&gt;="&amp;$A36,Summary!$D$5:$D$241,"&lt;"&amp;$A36+7))</f>
        <v>0</v>
      </c>
      <c r="AX36">
        <f>IF(AX5="","",COUNTIFS(Summary!$E$5:$E$241,AX5,Summary!$D$5:$D$241,"&gt;="&amp;$A36,Summary!$D$5:$D$241,"&lt;"&amp;$A36+7))</f>
        <v>0</v>
      </c>
      <c r="AY36">
        <f>IF(AY5="","",COUNTIFS(Summary!$E$5:$E$241,AY5,Summary!$D$5:$D$241,"&gt;="&amp;$A36,Summary!$D$5:$D$241,"&lt;"&amp;$A36+7))</f>
        <v>0</v>
      </c>
      <c r="AZ36">
        <f>IF(AZ5="","",COUNTIFS(Summary!$E$5:$E$241,AZ5,Summary!$D$5:$D$241,"&gt;="&amp;$A36,Summary!$D$5:$D$241,"&lt;"&amp;$A36+7))</f>
        <v>0</v>
      </c>
      <c r="BA36">
        <f>IF(BA5="","",COUNTIFS(Summary!$E$5:$E$241,BA5,Summary!$D$5:$D$241,"&gt;="&amp;$A36,Summary!$D$5:$D$241,"&lt;"&amp;$A36+7))</f>
        <v>0</v>
      </c>
      <c r="BB36">
        <f>IF(BB5="","",COUNTIFS(Summary!$E$5:$E$241,BB5,Summary!$D$5:$D$241,"&gt;="&amp;$A36,Summary!$D$5:$D$241,"&lt;"&amp;$A36+7))</f>
        <v>0</v>
      </c>
      <c r="BC36">
        <f>IF(BC5="","",COUNTIFS(Summary!$E$5:$E$241,BC5,Summary!$D$5:$D$241,"&gt;="&amp;$A36,Summary!$D$5:$D$241,"&lt;"&amp;$A36+7))</f>
        <v>0</v>
      </c>
      <c r="BD36">
        <f>IF(BD5="","",COUNTIFS(Summary!$E$5:$E$241,BD5,Summary!$D$5:$D$241,"&gt;="&amp;$A36,Summary!$D$5:$D$241,"&lt;"&amp;$A36+7))</f>
        <v>0</v>
      </c>
      <c r="BE36">
        <f>IF(BE5="","",COUNTIFS(Summary!$E$5:$E$241,BE5,Summary!$D$5:$D$241,"&gt;="&amp;$A36,Summary!$D$5:$D$241,"&lt;"&amp;$A36+7))</f>
        <v>0</v>
      </c>
      <c r="BF36" s="28">
        <f>IF(BF5="","",COUNTIFS(Summary!$E$5:$E$241,BF5,Summary!$D$5:$D$241,"&gt;="&amp;$A36,Summary!$D$5:$D$241,"&lt;"&amp;$A36+7))</f>
        <v>0</v>
      </c>
    </row>
    <row r="37" spans="1:58">
      <c r="A37" s="18">
        <f t="shared" si="1"/>
        <v>46300</v>
      </c>
      <c r="B37" s="2" t="str">
        <f t="shared" si="0"/>
        <v>Oct 5</v>
      </c>
      <c r="C37">
        <f>IF(C5="","",COUNTIFS(Summary!$E$5:$E$241,C5,Summary!$D$5:$D$241,"&gt;="&amp;$A37,Summary!$D$5:$D$241,"&lt;"&amp;$A37+7))</f>
        <v>0</v>
      </c>
      <c r="D37">
        <f>IF(D5="","",COUNTIFS(Summary!$E$5:$E$241,D5,Summary!$D$5:$D$241,"&gt;="&amp;$A37,Summary!$D$5:$D$241,"&lt;"&amp;$A37+7))</f>
        <v>0</v>
      </c>
      <c r="E37">
        <f>IF(E5="","",COUNTIFS(Summary!$E$5:$E$241,E5,Summary!$D$5:$D$241,"&gt;="&amp;$A37,Summary!$D$5:$D$241,"&lt;"&amp;$A37+7))</f>
        <v>0</v>
      </c>
      <c r="F37">
        <f>IF(F5="","",COUNTIFS(Summary!$E$5:$E$241,F5,Summary!$D$5:$D$241,"&gt;="&amp;$A37,Summary!$D$5:$D$241,"&lt;"&amp;$A37+7))</f>
        <v>0</v>
      </c>
      <c r="G37">
        <f>IF(G5="","",COUNTIFS(Summary!$E$5:$E$241,G5,Summary!$D$5:$D$241,"&gt;="&amp;$A37,Summary!$D$5:$D$241,"&lt;"&amp;$A37+7))</f>
        <v>0</v>
      </c>
      <c r="H37">
        <f>IF(H5="","",COUNTIFS(Summary!$E$5:$E$241,H5,Summary!$D$5:$D$241,"&gt;="&amp;$A37,Summary!$D$5:$D$241,"&lt;"&amp;$A37+7))</f>
        <v>0</v>
      </c>
      <c r="I37">
        <f>IF(I5="","",COUNTIFS(Summary!$E$5:$E$241,I5,Summary!$D$5:$D$241,"&gt;="&amp;$A37,Summary!$D$5:$D$241,"&lt;"&amp;$A37+7))</f>
        <v>0</v>
      </c>
      <c r="J37">
        <f>IF(J5="","",COUNTIFS(Summary!$E$5:$E$241,J5,Summary!$D$5:$D$241,"&gt;="&amp;$A37,Summary!$D$5:$D$241,"&lt;"&amp;$A37+7))</f>
        <v>0</v>
      </c>
      <c r="K37">
        <f>IF(K5="","",COUNTIFS(Summary!$E$5:$E$241,K5,Summary!$D$5:$D$241,"&gt;="&amp;$A37,Summary!$D$5:$D$241,"&lt;"&amp;$A37+7))</f>
        <v>0</v>
      </c>
      <c r="L37">
        <f>IF(L5="","",COUNTIFS(Summary!$E$5:$E$241,L5,Summary!$D$5:$D$241,"&gt;="&amp;$A37,Summary!$D$5:$D$241,"&lt;"&amp;$A37+7))</f>
        <v>0</v>
      </c>
      <c r="M37">
        <f>IF(M5="","",COUNTIFS(Summary!$E$5:$E$241,M5,Summary!$D$5:$D$241,"&gt;="&amp;$A37,Summary!$D$5:$D$241,"&lt;"&amp;$A37+7))</f>
        <v>0</v>
      </c>
      <c r="N37">
        <f>IF(N5="","",COUNTIFS(Summary!$E$5:$E$241,N5,Summary!$D$5:$D$241,"&gt;="&amp;$A37,Summary!$D$5:$D$241,"&lt;"&amp;$A37+7))</f>
        <v>0</v>
      </c>
      <c r="O37">
        <f>IF(O5="","",COUNTIFS(Summary!$E$5:$E$241,O5,Summary!$D$5:$D$241,"&gt;="&amp;$A37,Summary!$D$5:$D$241,"&lt;"&amp;$A37+7))</f>
        <v>0</v>
      </c>
      <c r="P37">
        <f>IF(P5="","",COUNTIFS(Summary!$E$5:$E$241,P5,Summary!$D$5:$D$241,"&gt;="&amp;$A37,Summary!$D$5:$D$241,"&lt;"&amp;$A37+7))</f>
        <v>0</v>
      </c>
      <c r="Q37">
        <f>IF(Q5="","",COUNTIFS(Summary!$E$5:$E$241,Q5,Summary!$D$5:$D$241,"&gt;="&amp;$A37,Summary!$D$5:$D$241,"&lt;"&amp;$A37+7))</f>
        <v>0</v>
      </c>
      <c r="R37">
        <f>IF(R5="","",COUNTIFS(Summary!$E$5:$E$241,R5,Summary!$D$5:$D$241,"&gt;="&amp;$A37,Summary!$D$5:$D$241,"&lt;"&amp;$A37+7))</f>
        <v>0</v>
      </c>
      <c r="S37">
        <f>IF(S5="","",COUNTIFS(Summary!$E$5:$E$241,S5,Summary!$D$5:$D$241,"&gt;="&amp;$A37,Summary!$D$5:$D$241,"&lt;"&amp;$A37+7))</f>
        <v>0</v>
      </c>
      <c r="T37">
        <f>IF(T5="","",COUNTIFS(Summary!$E$5:$E$241,T5,Summary!$D$5:$D$241,"&gt;="&amp;$A37,Summary!$D$5:$D$241,"&lt;"&amp;$A37+7))</f>
        <v>0</v>
      </c>
      <c r="U37">
        <f>IF(U5="","",COUNTIFS(Summary!$E$5:$E$241,U5,Summary!$D$5:$D$241,"&gt;="&amp;$A37,Summary!$D$5:$D$241,"&lt;"&amp;$A37+7))</f>
        <v>0</v>
      </c>
      <c r="V37">
        <f>IF(V5="","",COUNTIFS(Summary!$E$5:$E$241,V5,Summary!$D$5:$D$241,"&gt;="&amp;$A37,Summary!$D$5:$D$241,"&lt;"&amp;$A37+7))</f>
        <v>0</v>
      </c>
      <c r="W37">
        <f>IF(W5="","",COUNTIFS(Summary!$E$5:$E$241,W5,Summary!$D$5:$D$241,"&gt;="&amp;$A37,Summary!$D$5:$D$241,"&lt;"&amp;$A37+7))</f>
        <v>0</v>
      </c>
      <c r="X37">
        <f>IF(X5="","",COUNTIFS(Summary!$E$5:$E$241,X5,Summary!$D$5:$D$241,"&gt;="&amp;$A37,Summary!$D$5:$D$241,"&lt;"&amp;$A37+7))</f>
        <v>0</v>
      </c>
      <c r="Y37">
        <f>IF(Y5="","",COUNTIFS(Summary!$E$5:$E$241,Y5,Summary!$D$5:$D$241,"&gt;="&amp;$A37,Summary!$D$5:$D$241,"&lt;"&amp;$A37+7))</f>
        <v>0</v>
      </c>
      <c r="Z37">
        <f>IF(Z5="","",COUNTIFS(Summary!$E$5:$E$241,Z5,Summary!$D$5:$D$241,"&gt;="&amp;$A37,Summary!$D$5:$D$241,"&lt;"&amp;$A37+7))</f>
        <v>0</v>
      </c>
      <c r="AA37">
        <f>IF(AA5="","",COUNTIFS(Summary!$E$5:$E$241,AA5,Summary!$D$5:$D$241,"&gt;="&amp;$A37,Summary!$D$5:$D$241,"&lt;"&amp;$A37+7))</f>
        <v>0</v>
      </c>
      <c r="AB37">
        <f>IF(AB5="","",COUNTIFS(Summary!$E$5:$E$241,AB5,Summary!$D$5:$D$241,"&gt;="&amp;$A37,Summary!$D$5:$D$241,"&lt;"&amp;$A37+7))</f>
        <v>0</v>
      </c>
      <c r="AC37">
        <f>IF(AC5="","",COUNTIFS(Summary!$E$5:$E$241,AC5,Summary!$D$5:$D$241,"&gt;="&amp;$A37,Summary!$D$5:$D$241,"&lt;"&amp;$A37+7))</f>
        <v>0</v>
      </c>
      <c r="AD37">
        <f>IF(AD5="","",COUNTIFS(Summary!$E$5:$E$241,AD5,Summary!$D$5:$D$241,"&gt;="&amp;$A37,Summary!$D$5:$D$241,"&lt;"&amp;$A37+7))</f>
        <v>0</v>
      </c>
      <c r="AE37">
        <f>IF(AE5="","",COUNTIFS(Summary!$E$5:$E$241,AE5,Summary!$D$5:$D$241,"&gt;="&amp;$A37,Summary!$D$5:$D$241,"&lt;"&amp;$A37+7))</f>
        <v>0</v>
      </c>
      <c r="AF37">
        <f>IF(AF5="","",COUNTIFS(Summary!$E$5:$E$241,AF5,Summary!$D$5:$D$241,"&gt;="&amp;$A37,Summary!$D$5:$D$241,"&lt;"&amp;$A37+7))</f>
        <v>0</v>
      </c>
      <c r="AG37">
        <f>IF(AG5="","",COUNTIFS(Summary!$E$5:$E$241,AG5,Summary!$D$5:$D$241,"&gt;="&amp;$A37,Summary!$D$5:$D$241,"&lt;"&amp;$A37+7))</f>
        <v>0</v>
      </c>
      <c r="AH37">
        <f>IF(AH5="","",COUNTIFS(Summary!$E$5:$E$241,AH5,Summary!$D$5:$D$241,"&gt;="&amp;$A37,Summary!$D$5:$D$241,"&lt;"&amp;$A37+7))</f>
        <v>0</v>
      </c>
      <c r="AI37">
        <f>IF(AI5="","",COUNTIFS(Summary!$E$5:$E$241,AI5,Summary!$D$5:$D$241,"&gt;="&amp;$A37,Summary!$D$5:$D$241,"&lt;"&amp;$A37+7))</f>
        <v>0</v>
      </c>
      <c r="AJ37">
        <f>IF(AJ5="","",COUNTIFS(Summary!$E$5:$E$241,AJ5,Summary!$D$5:$D$241,"&gt;="&amp;$A37,Summary!$D$5:$D$241,"&lt;"&amp;$A37+7))</f>
        <v>0</v>
      </c>
      <c r="AK37">
        <f>IF(AK5="","",COUNTIFS(Summary!$E$5:$E$241,AK5,Summary!$D$5:$D$241,"&gt;="&amp;$A37,Summary!$D$5:$D$241,"&lt;"&amp;$A37+7))</f>
        <v>0</v>
      </c>
      <c r="AL37">
        <f>IF(AL5="","",COUNTIFS(Summary!$E$5:$E$241,AL5,Summary!$D$5:$D$241,"&gt;="&amp;$A37,Summary!$D$5:$D$241,"&lt;"&amp;$A37+7))</f>
        <v>0</v>
      </c>
      <c r="AM37">
        <f>IF(AM5="","",COUNTIFS(Summary!$E$5:$E$241,AM5,Summary!$D$5:$D$241,"&gt;="&amp;$A37,Summary!$D$5:$D$241,"&lt;"&amp;$A37+7))</f>
        <v>0</v>
      </c>
      <c r="AN37">
        <f>IF(AN5="","",COUNTIFS(Summary!$E$5:$E$241,AN5,Summary!$D$5:$D$241,"&gt;="&amp;$A37,Summary!$D$5:$D$241,"&lt;"&amp;$A37+7))</f>
        <v>0</v>
      </c>
      <c r="AO37">
        <f>IF(AO5="","",COUNTIFS(Summary!$E$5:$E$241,AO5,Summary!$D$5:$D$241,"&gt;="&amp;$A37,Summary!$D$5:$D$241,"&lt;"&amp;$A37+7))</f>
        <v>0</v>
      </c>
      <c r="AP37">
        <f>IF(AP5="","",COUNTIFS(Summary!$E$5:$E$241,AP5,Summary!$D$5:$D$241,"&gt;="&amp;$A37,Summary!$D$5:$D$241,"&lt;"&amp;$A37+7))</f>
        <v>0</v>
      </c>
      <c r="AQ37">
        <f>IF(AQ5="","",COUNTIFS(Summary!$E$5:$E$241,AQ5,Summary!$D$5:$D$241,"&gt;="&amp;$A37,Summary!$D$5:$D$241,"&lt;"&amp;$A37+7))</f>
        <v>0</v>
      </c>
      <c r="AR37">
        <f>IF(AR5="","",COUNTIFS(Summary!$E$5:$E$241,AR5,Summary!$D$5:$D$241,"&gt;="&amp;$A37,Summary!$D$5:$D$241,"&lt;"&amp;$A37+7))</f>
        <v>0</v>
      </c>
      <c r="AS37">
        <f>IF(AS5="","",COUNTIFS(Summary!$E$5:$E$241,AS5,Summary!$D$5:$D$241,"&gt;="&amp;$A37,Summary!$D$5:$D$241,"&lt;"&amp;$A37+7))</f>
        <v>0</v>
      </c>
      <c r="AT37">
        <f>IF(AT5="","",COUNTIFS(Summary!$E$5:$E$241,AT5,Summary!$D$5:$D$241,"&gt;="&amp;$A37,Summary!$D$5:$D$241,"&lt;"&amp;$A37+7))</f>
        <v>0</v>
      </c>
      <c r="AU37">
        <f>IF(AU5="","",COUNTIFS(Summary!$E$5:$E$241,AU5,Summary!$D$5:$D$241,"&gt;="&amp;$A37,Summary!$D$5:$D$241,"&lt;"&amp;$A37+7))</f>
        <v>0</v>
      </c>
      <c r="AV37">
        <f>IF(AV5="","",COUNTIFS(Summary!$E$5:$E$241,AV5,Summary!$D$5:$D$241,"&gt;="&amp;$A37,Summary!$D$5:$D$241,"&lt;"&amp;$A37+7))</f>
        <v>0</v>
      </c>
      <c r="AW37">
        <f>IF(AW5="","",COUNTIFS(Summary!$E$5:$E$241,AW5,Summary!$D$5:$D$241,"&gt;="&amp;$A37,Summary!$D$5:$D$241,"&lt;"&amp;$A37+7))</f>
        <v>0</v>
      </c>
      <c r="AX37">
        <f>IF(AX5="","",COUNTIFS(Summary!$E$5:$E$241,AX5,Summary!$D$5:$D$241,"&gt;="&amp;$A37,Summary!$D$5:$D$241,"&lt;"&amp;$A37+7))</f>
        <v>0</v>
      </c>
      <c r="AY37">
        <f>IF(AY5="","",COUNTIFS(Summary!$E$5:$E$241,AY5,Summary!$D$5:$D$241,"&gt;="&amp;$A37,Summary!$D$5:$D$241,"&lt;"&amp;$A37+7))</f>
        <v>0</v>
      </c>
      <c r="AZ37">
        <f>IF(AZ5="","",COUNTIFS(Summary!$E$5:$E$241,AZ5,Summary!$D$5:$D$241,"&gt;="&amp;$A37,Summary!$D$5:$D$241,"&lt;"&amp;$A37+7))</f>
        <v>0</v>
      </c>
      <c r="BA37">
        <f>IF(BA5="","",COUNTIFS(Summary!$E$5:$E$241,BA5,Summary!$D$5:$D$241,"&gt;="&amp;$A37,Summary!$D$5:$D$241,"&lt;"&amp;$A37+7))</f>
        <v>0</v>
      </c>
      <c r="BB37">
        <f>IF(BB5="","",COUNTIFS(Summary!$E$5:$E$241,BB5,Summary!$D$5:$D$241,"&gt;="&amp;$A37,Summary!$D$5:$D$241,"&lt;"&amp;$A37+7))</f>
        <v>0</v>
      </c>
      <c r="BC37">
        <f>IF(BC5="","",COUNTIFS(Summary!$E$5:$E$241,BC5,Summary!$D$5:$D$241,"&gt;="&amp;$A37,Summary!$D$5:$D$241,"&lt;"&amp;$A37+7))</f>
        <v>0</v>
      </c>
      <c r="BD37">
        <f>IF(BD5="","",COUNTIFS(Summary!$E$5:$E$241,BD5,Summary!$D$5:$D$241,"&gt;="&amp;$A37,Summary!$D$5:$D$241,"&lt;"&amp;$A37+7))</f>
        <v>0</v>
      </c>
      <c r="BE37">
        <f>IF(BE5="","",COUNTIFS(Summary!$E$5:$E$241,BE5,Summary!$D$5:$D$241,"&gt;="&amp;$A37,Summary!$D$5:$D$241,"&lt;"&amp;$A37+7))</f>
        <v>0</v>
      </c>
      <c r="BF37" s="28">
        <f>IF(BF5="","",COUNTIFS(Summary!$E$5:$E$241,BF5,Summary!$D$5:$D$241,"&gt;="&amp;$A37,Summary!$D$5:$D$241,"&lt;"&amp;$A37+7))</f>
        <v>0</v>
      </c>
    </row>
    <row r="38" spans="1:58">
      <c r="A38" s="18">
        <f t="shared" si="1"/>
        <v>46307</v>
      </c>
      <c r="B38" s="2" t="str">
        <f t="shared" si="0"/>
        <v>Oct 12</v>
      </c>
      <c r="C38">
        <f>IF(C5="","",COUNTIFS(Summary!$E$5:$E$241,C5,Summary!$D$5:$D$241,"&gt;="&amp;$A38,Summary!$D$5:$D$241,"&lt;"&amp;$A38+7))</f>
        <v>0</v>
      </c>
      <c r="D38">
        <f>IF(D5="","",COUNTIFS(Summary!$E$5:$E$241,D5,Summary!$D$5:$D$241,"&gt;="&amp;$A38,Summary!$D$5:$D$241,"&lt;"&amp;$A38+7))</f>
        <v>0</v>
      </c>
      <c r="E38">
        <f>IF(E5="","",COUNTIFS(Summary!$E$5:$E$241,E5,Summary!$D$5:$D$241,"&gt;="&amp;$A38,Summary!$D$5:$D$241,"&lt;"&amp;$A38+7))</f>
        <v>0</v>
      </c>
      <c r="F38">
        <f>IF(F5="","",COUNTIFS(Summary!$E$5:$E$241,F5,Summary!$D$5:$D$241,"&gt;="&amp;$A38,Summary!$D$5:$D$241,"&lt;"&amp;$A38+7))</f>
        <v>0</v>
      </c>
      <c r="G38">
        <f>IF(G5="","",COUNTIFS(Summary!$E$5:$E$241,G5,Summary!$D$5:$D$241,"&gt;="&amp;$A38,Summary!$D$5:$D$241,"&lt;"&amp;$A38+7))</f>
        <v>0</v>
      </c>
      <c r="H38">
        <f>IF(H5="","",COUNTIFS(Summary!$E$5:$E$241,H5,Summary!$D$5:$D$241,"&gt;="&amp;$A38,Summary!$D$5:$D$241,"&lt;"&amp;$A38+7))</f>
        <v>0</v>
      </c>
      <c r="I38">
        <f>IF(I5="","",COUNTIFS(Summary!$E$5:$E$241,I5,Summary!$D$5:$D$241,"&gt;="&amp;$A38,Summary!$D$5:$D$241,"&lt;"&amp;$A38+7))</f>
        <v>0</v>
      </c>
      <c r="J38">
        <f>IF(J5="","",COUNTIFS(Summary!$E$5:$E$241,J5,Summary!$D$5:$D$241,"&gt;="&amp;$A38,Summary!$D$5:$D$241,"&lt;"&amp;$A38+7))</f>
        <v>0</v>
      </c>
      <c r="K38">
        <f>IF(K5="","",COUNTIFS(Summary!$E$5:$E$241,K5,Summary!$D$5:$D$241,"&gt;="&amp;$A38,Summary!$D$5:$D$241,"&lt;"&amp;$A38+7))</f>
        <v>0</v>
      </c>
      <c r="L38">
        <f>IF(L5="","",COUNTIFS(Summary!$E$5:$E$241,L5,Summary!$D$5:$D$241,"&gt;="&amp;$A38,Summary!$D$5:$D$241,"&lt;"&amp;$A38+7))</f>
        <v>0</v>
      </c>
      <c r="M38">
        <f>IF(M5="","",COUNTIFS(Summary!$E$5:$E$241,M5,Summary!$D$5:$D$241,"&gt;="&amp;$A38,Summary!$D$5:$D$241,"&lt;"&amp;$A38+7))</f>
        <v>0</v>
      </c>
      <c r="N38">
        <f>IF(N5="","",COUNTIFS(Summary!$E$5:$E$241,N5,Summary!$D$5:$D$241,"&gt;="&amp;$A38,Summary!$D$5:$D$241,"&lt;"&amp;$A38+7))</f>
        <v>0</v>
      </c>
      <c r="O38">
        <f>IF(O5="","",COUNTIFS(Summary!$E$5:$E$241,O5,Summary!$D$5:$D$241,"&gt;="&amp;$A38,Summary!$D$5:$D$241,"&lt;"&amp;$A38+7))</f>
        <v>0</v>
      </c>
      <c r="P38">
        <f>IF(P5="","",COUNTIFS(Summary!$E$5:$E$241,P5,Summary!$D$5:$D$241,"&gt;="&amp;$A38,Summary!$D$5:$D$241,"&lt;"&amp;$A38+7))</f>
        <v>0</v>
      </c>
      <c r="Q38">
        <f>IF(Q5="","",COUNTIFS(Summary!$E$5:$E$241,Q5,Summary!$D$5:$D$241,"&gt;="&amp;$A38,Summary!$D$5:$D$241,"&lt;"&amp;$A38+7))</f>
        <v>0</v>
      </c>
      <c r="R38">
        <f>IF(R5="","",COUNTIFS(Summary!$E$5:$E$241,R5,Summary!$D$5:$D$241,"&gt;="&amp;$A38,Summary!$D$5:$D$241,"&lt;"&amp;$A38+7))</f>
        <v>0</v>
      </c>
      <c r="S38">
        <f>IF(S5="","",COUNTIFS(Summary!$E$5:$E$241,S5,Summary!$D$5:$D$241,"&gt;="&amp;$A38,Summary!$D$5:$D$241,"&lt;"&amp;$A38+7))</f>
        <v>0</v>
      </c>
      <c r="T38">
        <f>IF(T5="","",COUNTIFS(Summary!$E$5:$E$241,T5,Summary!$D$5:$D$241,"&gt;="&amp;$A38,Summary!$D$5:$D$241,"&lt;"&amp;$A38+7))</f>
        <v>0</v>
      </c>
      <c r="U38">
        <f>IF(U5="","",COUNTIFS(Summary!$E$5:$E$241,U5,Summary!$D$5:$D$241,"&gt;="&amp;$A38,Summary!$D$5:$D$241,"&lt;"&amp;$A38+7))</f>
        <v>0</v>
      </c>
      <c r="V38">
        <f>IF(V5="","",COUNTIFS(Summary!$E$5:$E$241,V5,Summary!$D$5:$D$241,"&gt;="&amp;$A38,Summary!$D$5:$D$241,"&lt;"&amp;$A38+7))</f>
        <v>0</v>
      </c>
      <c r="W38">
        <f>IF(W5="","",COUNTIFS(Summary!$E$5:$E$241,W5,Summary!$D$5:$D$241,"&gt;="&amp;$A38,Summary!$D$5:$D$241,"&lt;"&amp;$A38+7))</f>
        <v>0</v>
      </c>
      <c r="X38">
        <f>IF(X5="","",COUNTIFS(Summary!$E$5:$E$241,X5,Summary!$D$5:$D$241,"&gt;="&amp;$A38,Summary!$D$5:$D$241,"&lt;"&amp;$A38+7))</f>
        <v>0</v>
      </c>
      <c r="Y38">
        <f>IF(Y5="","",COUNTIFS(Summary!$E$5:$E$241,Y5,Summary!$D$5:$D$241,"&gt;="&amp;$A38,Summary!$D$5:$D$241,"&lt;"&amp;$A38+7))</f>
        <v>0</v>
      </c>
      <c r="Z38">
        <f>IF(Z5="","",COUNTIFS(Summary!$E$5:$E$241,Z5,Summary!$D$5:$D$241,"&gt;="&amp;$A38,Summary!$D$5:$D$241,"&lt;"&amp;$A38+7))</f>
        <v>0</v>
      </c>
      <c r="AA38">
        <f>IF(AA5="","",COUNTIFS(Summary!$E$5:$E$241,AA5,Summary!$D$5:$D$241,"&gt;="&amp;$A38,Summary!$D$5:$D$241,"&lt;"&amp;$A38+7))</f>
        <v>0</v>
      </c>
      <c r="AB38">
        <f>IF(AB5="","",COUNTIFS(Summary!$E$5:$E$241,AB5,Summary!$D$5:$D$241,"&gt;="&amp;$A38,Summary!$D$5:$D$241,"&lt;"&amp;$A38+7))</f>
        <v>0</v>
      </c>
      <c r="AC38">
        <f>IF(AC5="","",COUNTIFS(Summary!$E$5:$E$241,AC5,Summary!$D$5:$D$241,"&gt;="&amp;$A38,Summary!$D$5:$D$241,"&lt;"&amp;$A38+7))</f>
        <v>0</v>
      </c>
      <c r="AD38">
        <f>IF(AD5="","",COUNTIFS(Summary!$E$5:$E$241,AD5,Summary!$D$5:$D$241,"&gt;="&amp;$A38,Summary!$D$5:$D$241,"&lt;"&amp;$A38+7))</f>
        <v>0</v>
      </c>
      <c r="AE38">
        <f>IF(AE5="","",COUNTIFS(Summary!$E$5:$E$241,AE5,Summary!$D$5:$D$241,"&gt;="&amp;$A38,Summary!$D$5:$D$241,"&lt;"&amp;$A38+7))</f>
        <v>0</v>
      </c>
      <c r="AF38">
        <f>IF(AF5="","",COUNTIFS(Summary!$E$5:$E$241,AF5,Summary!$D$5:$D$241,"&gt;="&amp;$A38,Summary!$D$5:$D$241,"&lt;"&amp;$A38+7))</f>
        <v>0</v>
      </c>
      <c r="AG38">
        <f>IF(AG5="","",COUNTIFS(Summary!$E$5:$E$241,AG5,Summary!$D$5:$D$241,"&gt;="&amp;$A38,Summary!$D$5:$D$241,"&lt;"&amp;$A38+7))</f>
        <v>0</v>
      </c>
      <c r="AH38">
        <f>IF(AH5="","",COUNTIFS(Summary!$E$5:$E$241,AH5,Summary!$D$5:$D$241,"&gt;="&amp;$A38,Summary!$D$5:$D$241,"&lt;"&amp;$A38+7))</f>
        <v>0</v>
      </c>
      <c r="AI38">
        <f>IF(AI5="","",COUNTIFS(Summary!$E$5:$E$241,AI5,Summary!$D$5:$D$241,"&gt;="&amp;$A38,Summary!$D$5:$D$241,"&lt;"&amp;$A38+7))</f>
        <v>0</v>
      </c>
      <c r="AJ38">
        <f>IF(AJ5="","",COUNTIFS(Summary!$E$5:$E$241,AJ5,Summary!$D$5:$D$241,"&gt;="&amp;$A38,Summary!$D$5:$D$241,"&lt;"&amp;$A38+7))</f>
        <v>0</v>
      </c>
      <c r="AK38">
        <f>IF(AK5="","",COUNTIFS(Summary!$E$5:$E$241,AK5,Summary!$D$5:$D$241,"&gt;="&amp;$A38,Summary!$D$5:$D$241,"&lt;"&amp;$A38+7))</f>
        <v>0</v>
      </c>
      <c r="AL38">
        <f>IF(AL5="","",COUNTIFS(Summary!$E$5:$E$241,AL5,Summary!$D$5:$D$241,"&gt;="&amp;$A38,Summary!$D$5:$D$241,"&lt;"&amp;$A38+7))</f>
        <v>0</v>
      </c>
      <c r="AM38">
        <f>IF(AM5="","",COUNTIFS(Summary!$E$5:$E$241,AM5,Summary!$D$5:$D$241,"&gt;="&amp;$A38,Summary!$D$5:$D$241,"&lt;"&amp;$A38+7))</f>
        <v>0</v>
      </c>
      <c r="AN38">
        <f>IF(AN5="","",COUNTIFS(Summary!$E$5:$E$241,AN5,Summary!$D$5:$D$241,"&gt;="&amp;$A38,Summary!$D$5:$D$241,"&lt;"&amp;$A38+7))</f>
        <v>0</v>
      </c>
      <c r="AO38">
        <f>IF(AO5="","",COUNTIFS(Summary!$E$5:$E$241,AO5,Summary!$D$5:$D$241,"&gt;="&amp;$A38,Summary!$D$5:$D$241,"&lt;"&amp;$A38+7))</f>
        <v>0</v>
      </c>
      <c r="AP38">
        <f>IF(AP5="","",COUNTIFS(Summary!$E$5:$E$241,AP5,Summary!$D$5:$D$241,"&gt;="&amp;$A38,Summary!$D$5:$D$241,"&lt;"&amp;$A38+7))</f>
        <v>0</v>
      </c>
      <c r="AQ38">
        <f>IF(AQ5="","",COUNTIFS(Summary!$E$5:$E$241,AQ5,Summary!$D$5:$D$241,"&gt;="&amp;$A38,Summary!$D$5:$D$241,"&lt;"&amp;$A38+7))</f>
        <v>0</v>
      </c>
      <c r="AR38">
        <f>IF(AR5="","",COUNTIFS(Summary!$E$5:$E$241,AR5,Summary!$D$5:$D$241,"&gt;="&amp;$A38,Summary!$D$5:$D$241,"&lt;"&amp;$A38+7))</f>
        <v>0</v>
      </c>
      <c r="AS38">
        <f>IF(AS5="","",COUNTIFS(Summary!$E$5:$E$241,AS5,Summary!$D$5:$D$241,"&gt;="&amp;$A38,Summary!$D$5:$D$241,"&lt;"&amp;$A38+7))</f>
        <v>0</v>
      </c>
      <c r="AT38">
        <f>IF(AT5="","",COUNTIFS(Summary!$E$5:$E$241,AT5,Summary!$D$5:$D$241,"&gt;="&amp;$A38,Summary!$D$5:$D$241,"&lt;"&amp;$A38+7))</f>
        <v>0</v>
      </c>
      <c r="AU38">
        <f>IF(AU5="","",COUNTIFS(Summary!$E$5:$E$241,AU5,Summary!$D$5:$D$241,"&gt;="&amp;$A38,Summary!$D$5:$D$241,"&lt;"&amp;$A38+7))</f>
        <v>0</v>
      </c>
      <c r="AV38">
        <f>IF(AV5="","",COUNTIFS(Summary!$E$5:$E$241,AV5,Summary!$D$5:$D$241,"&gt;="&amp;$A38,Summary!$D$5:$D$241,"&lt;"&amp;$A38+7))</f>
        <v>0</v>
      </c>
      <c r="AW38">
        <f>IF(AW5="","",COUNTIFS(Summary!$E$5:$E$241,AW5,Summary!$D$5:$D$241,"&gt;="&amp;$A38,Summary!$D$5:$D$241,"&lt;"&amp;$A38+7))</f>
        <v>0</v>
      </c>
      <c r="AX38">
        <f>IF(AX5="","",COUNTIFS(Summary!$E$5:$E$241,AX5,Summary!$D$5:$D$241,"&gt;="&amp;$A38,Summary!$D$5:$D$241,"&lt;"&amp;$A38+7))</f>
        <v>0</v>
      </c>
      <c r="AY38">
        <f>IF(AY5="","",COUNTIFS(Summary!$E$5:$E$241,AY5,Summary!$D$5:$D$241,"&gt;="&amp;$A38,Summary!$D$5:$D$241,"&lt;"&amp;$A38+7))</f>
        <v>0</v>
      </c>
      <c r="AZ38">
        <f>IF(AZ5="","",COUNTIFS(Summary!$E$5:$E$241,AZ5,Summary!$D$5:$D$241,"&gt;="&amp;$A38,Summary!$D$5:$D$241,"&lt;"&amp;$A38+7))</f>
        <v>0</v>
      </c>
      <c r="BA38">
        <f>IF(BA5="","",COUNTIFS(Summary!$E$5:$E$241,BA5,Summary!$D$5:$D$241,"&gt;="&amp;$A38,Summary!$D$5:$D$241,"&lt;"&amp;$A38+7))</f>
        <v>0</v>
      </c>
      <c r="BB38">
        <f>IF(BB5="","",COUNTIFS(Summary!$E$5:$E$241,BB5,Summary!$D$5:$D$241,"&gt;="&amp;$A38,Summary!$D$5:$D$241,"&lt;"&amp;$A38+7))</f>
        <v>0</v>
      </c>
      <c r="BC38">
        <f>IF(BC5="","",COUNTIFS(Summary!$E$5:$E$241,BC5,Summary!$D$5:$D$241,"&gt;="&amp;$A38,Summary!$D$5:$D$241,"&lt;"&amp;$A38+7))</f>
        <v>0</v>
      </c>
      <c r="BD38">
        <f>IF(BD5="","",COUNTIFS(Summary!$E$5:$E$241,BD5,Summary!$D$5:$D$241,"&gt;="&amp;$A38,Summary!$D$5:$D$241,"&lt;"&amp;$A38+7))</f>
        <v>0</v>
      </c>
      <c r="BE38">
        <f>IF(BE5="","",COUNTIFS(Summary!$E$5:$E$241,BE5,Summary!$D$5:$D$241,"&gt;="&amp;$A38,Summary!$D$5:$D$241,"&lt;"&amp;$A38+7))</f>
        <v>0</v>
      </c>
      <c r="BF38" s="28">
        <f>IF(BF5="","",COUNTIFS(Summary!$E$5:$E$241,BF5,Summary!$D$5:$D$241,"&gt;="&amp;$A38,Summary!$D$5:$D$241,"&lt;"&amp;$A38+7))</f>
        <v>0</v>
      </c>
    </row>
    <row r="39" spans="1:58">
      <c r="A39" s="18">
        <f t="shared" si="1"/>
        <v>46314</v>
      </c>
      <c r="B39" s="2" t="str">
        <f t="shared" si="0"/>
        <v>Oct 19</v>
      </c>
      <c r="C39">
        <f>IF(C5="","",COUNTIFS(Summary!$E$5:$E$241,C5,Summary!$D$5:$D$241,"&gt;="&amp;$A39,Summary!$D$5:$D$241,"&lt;"&amp;$A39+7))</f>
        <v>0</v>
      </c>
      <c r="D39">
        <f>IF(D5="","",COUNTIFS(Summary!$E$5:$E$241,D5,Summary!$D$5:$D$241,"&gt;="&amp;$A39,Summary!$D$5:$D$241,"&lt;"&amp;$A39+7))</f>
        <v>0</v>
      </c>
      <c r="E39">
        <f>IF(E5="","",COUNTIFS(Summary!$E$5:$E$241,E5,Summary!$D$5:$D$241,"&gt;="&amp;$A39,Summary!$D$5:$D$241,"&lt;"&amp;$A39+7))</f>
        <v>0</v>
      </c>
      <c r="F39">
        <f>IF(F5="","",COUNTIFS(Summary!$E$5:$E$241,F5,Summary!$D$5:$D$241,"&gt;="&amp;$A39,Summary!$D$5:$D$241,"&lt;"&amp;$A39+7))</f>
        <v>0</v>
      </c>
      <c r="G39">
        <f>IF(G5="","",COUNTIFS(Summary!$E$5:$E$241,G5,Summary!$D$5:$D$241,"&gt;="&amp;$A39,Summary!$D$5:$D$241,"&lt;"&amp;$A39+7))</f>
        <v>0</v>
      </c>
      <c r="H39">
        <f>IF(H5="","",COUNTIFS(Summary!$E$5:$E$241,H5,Summary!$D$5:$D$241,"&gt;="&amp;$A39,Summary!$D$5:$D$241,"&lt;"&amp;$A39+7))</f>
        <v>0</v>
      </c>
      <c r="I39">
        <f>IF(I5="","",COUNTIFS(Summary!$E$5:$E$241,I5,Summary!$D$5:$D$241,"&gt;="&amp;$A39,Summary!$D$5:$D$241,"&lt;"&amp;$A39+7))</f>
        <v>0</v>
      </c>
      <c r="J39">
        <f>IF(J5="","",COUNTIFS(Summary!$E$5:$E$241,J5,Summary!$D$5:$D$241,"&gt;="&amp;$A39,Summary!$D$5:$D$241,"&lt;"&amp;$A39+7))</f>
        <v>0</v>
      </c>
      <c r="K39">
        <f>IF(K5="","",COUNTIFS(Summary!$E$5:$E$241,K5,Summary!$D$5:$D$241,"&gt;="&amp;$A39,Summary!$D$5:$D$241,"&lt;"&amp;$A39+7))</f>
        <v>0</v>
      </c>
      <c r="L39">
        <f>IF(L5="","",COUNTIFS(Summary!$E$5:$E$241,L5,Summary!$D$5:$D$241,"&gt;="&amp;$A39,Summary!$D$5:$D$241,"&lt;"&amp;$A39+7))</f>
        <v>0</v>
      </c>
      <c r="M39">
        <f>IF(M5="","",COUNTIFS(Summary!$E$5:$E$241,M5,Summary!$D$5:$D$241,"&gt;="&amp;$A39,Summary!$D$5:$D$241,"&lt;"&amp;$A39+7))</f>
        <v>0</v>
      </c>
      <c r="N39">
        <f>IF(N5="","",COUNTIFS(Summary!$E$5:$E$241,N5,Summary!$D$5:$D$241,"&gt;="&amp;$A39,Summary!$D$5:$D$241,"&lt;"&amp;$A39+7))</f>
        <v>0</v>
      </c>
      <c r="O39">
        <f>IF(O5="","",COUNTIFS(Summary!$E$5:$E$241,O5,Summary!$D$5:$D$241,"&gt;="&amp;$A39,Summary!$D$5:$D$241,"&lt;"&amp;$A39+7))</f>
        <v>0</v>
      </c>
      <c r="P39">
        <f>IF(P5="","",COUNTIFS(Summary!$E$5:$E$241,P5,Summary!$D$5:$D$241,"&gt;="&amp;$A39,Summary!$D$5:$D$241,"&lt;"&amp;$A39+7))</f>
        <v>0</v>
      </c>
      <c r="Q39">
        <f>IF(Q5="","",COUNTIFS(Summary!$E$5:$E$241,Q5,Summary!$D$5:$D$241,"&gt;="&amp;$A39,Summary!$D$5:$D$241,"&lt;"&amp;$A39+7))</f>
        <v>0</v>
      </c>
      <c r="R39">
        <f>IF(R5="","",COUNTIFS(Summary!$E$5:$E$241,R5,Summary!$D$5:$D$241,"&gt;="&amp;$A39,Summary!$D$5:$D$241,"&lt;"&amp;$A39+7))</f>
        <v>0</v>
      </c>
      <c r="S39">
        <f>IF(S5="","",COUNTIFS(Summary!$E$5:$E$241,S5,Summary!$D$5:$D$241,"&gt;="&amp;$A39,Summary!$D$5:$D$241,"&lt;"&amp;$A39+7))</f>
        <v>0</v>
      </c>
      <c r="T39">
        <f>IF(T5="","",COUNTIFS(Summary!$E$5:$E$241,T5,Summary!$D$5:$D$241,"&gt;="&amp;$A39,Summary!$D$5:$D$241,"&lt;"&amp;$A39+7))</f>
        <v>0</v>
      </c>
      <c r="U39">
        <f>IF(U5="","",COUNTIFS(Summary!$E$5:$E$241,U5,Summary!$D$5:$D$241,"&gt;="&amp;$A39,Summary!$D$5:$D$241,"&lt;"&amp;$A39+7))</f>
        <v>0</v>
      </c>
      <c r="V39">
        <f>IF(V5="","",COUNTIFS(Summary!$E$5:$E$241,V5,Summary!$D$5:$D$241,"&gt;="&amp;$A39,Summary!$D$5:$D$241,"&lt;"&amp;$A39+7))</f>
        <v>0</v>
      </c>
      <c r="W39">
        <f>IF(W5="","",COUNTIFS(Summary!$E$5:$E$241,W5,Summary!$D$5:$D$241,"&gt;="&amp;$A39,Summary!$D$5:$D$241,"&lt;"&amp;$A39+7))</f>
        <v>0</v>
      </c>
      <c r="X39">
        <f>IF(X5="","",COUNTIFS(Summary!$E$5:$E$241,X5,Summary!$D$5:$D$241,"&gt;="&amp;$A39,Summary!$D$5:$D$241,"&lt;"&amp;$A39+7))</f>
        <v>0</v>
      </c>
      <c r="Y39">
        <f>IF(Y5="","",COUNTIFS(Summary!$E$5:$E$241,Y5,Summary!$D$5:$D$241,"&gt;="&amp;$A39,Summary!$D$5:$D$241,"&lt;"&amp;$A39+7))</f>
        <v>0</v>
      </c>
      <c r="Z39">
        <f>IF(Z5="","",COUNTIFS(Summary!$E$5:$E$241,Z5,Summary!$D$5:$D$241,"&gt;="&amp;$A39,Summary!$D$5:$D$241,"&lt;"&amp;$A39+7))</f>
        <v>0</v>
      </c>
      <c r="AA39">
        <f>IF(AA5="","",COUNTIFS(Summary!$E$5:$E$241,AA5,Summary!$D$5:$D$241,"&gt;="&amp;$A39,Summary!$D$5:$D$241,"&lt;"&amp;$A39+7))</f>
        <v>0</v>
      </c>
      <c r="AB39">
        <f>IF(AB5="","",COUNTIFS(Summary!$E$5:$E$241,AB5,Summary!$D$5:$D$241,"&gt;="&amp;$A39,Summary!$D$5:$D$241,"&lt;"&amp;$A39+7))</f>
        <v>0</v>
      </c>
      <c r="AC39">
        <f>IF(AC5="","",COUNTIFS(Summary!$E$5:$E$241,AC5,Summary!$D$5:$D$241,"&gt;="&amp;$A39,Summary!$D$5:$D$241,"&lt;"&amp;$A39+7))</f>
        <v>0</v>
      </c>
      <c r="AD39">
        <f>IF(AD5="","",COUNTIFS(Summary!$E$5:$E$241,AD5,Summary!$D$5:$D$241,"&gt;="&amp;$A39,Summary!$D$5:$D$241,"&lt;"&amp;$A39+7))</f>
        <v>0</v>
      </c>
      <c r="AE39">
        <f>IF(AE5="","",COUNTIFS(Summary!$E$5:$E$241,AE5,Summary!$D$5:$D$241,"&gt;="&amp;$A39,Summary!$D$5:$D$241,"&lt;"&amp;$A39+7))</f>
        <v>0</v>
      </c>
      <c r="AF39">
        <f>IF(AF5="","",COUNTIFS(Summary!$E$5:$E$241,AF5,Summary!$D$5:$D$241,"&gt;="&amp;$A39,Summary!$D$5:$D$241,"&lt;"&amp;$A39+7))</f>
        <v>0</v>
      </c>
      <c r="AG39">
        <f>IF(AG5="","",COUNTIFS(Summary!$E$5:$E$241,AG5,Summary!$D$5:$D$241,"&gt;="&amp;$A39,Summary!$D$5:$D$241,"&lt;"&amp;$A39+7))</f>
        <v>0</v>
      </c>
      <c r="AH39">
        <f>IF(AH5="","",COUNTIFS(Summary!$E$5:$E$241,AH5,Summary!$D$5:$D$241,"&gt;="&amp;$A39,Summary!$D$5:$D$241,"&lt;"&amp;$A39+7))</f>
        <v>0</v>
      </c>
      <c r="AI39">
        <f>IF(AI5="","",COUNTIFS(Summary!$E$5:$E$241,AI5,Summary!$D$5:$D$241,"&gt;="&amp;$A39,Summary!$D$5:$D$241,"&lt;"&amp;$A39+7))</f>
        <v>0</v>
      </c>
      <c r="AJ39">
        <f>IF(AJ5="","",COUNTIFS(Summary!$E$5:$E$241,AJ5,Summary!$D$5:$D$241,"&gt;="&amp;$A39,Summary!$D$5:$D$241,"&lt;"&amp;$A39+7))</f>
        <v>0</v>
      </c>
      <c r="AK39">
        <f>IF(AK5="","",COUNTIFS(Summary!$E$5:$E$241,AK5,Summary!$D$5:$D$241,"&gt;="&amp;$A39,Summary!$D$5:$D$241,"&lt;"&amp;$A39+7))</f>
        <v>0</v>
      </c>
      <c r="AL39">
        <f>IF(AL5="","",COUNTIFS(Summary!$E$5:$E$241,AL5,Summary!$D$5:$D$241,"&gt;="&amp;$A39,Summary!$D$5:$D$241,"&lt;"&amp;$A39+7))</f>
        <v>0</v>
      </c>
      <c r="AM39">
        <f>IF(AM5="","",COUNTIFS(Summary!$E$5:$E$241,AM5,Summary!$D$5:$D$241,"&gt;="&amp;$A39,Summary!$D$5:$D$241,"&lt;"&amp;$A39+7))</f>
        <v>0</v>
      </c>
      <c r="AN39">
        <f>IF(AN5="","",COUNTIFS(Summary!$E$5:$E$241,AN5,Summary!$D$5:$D$241,"&gt;="&amp;$A39,Summary!$D$5:$D$241,"&lt;"&amp;$A39+7))</f>
        <v>0</v>
      </c>
      <c r="AO39">
        <f>IF(AO5="","",COUNTIFS(Summary!$E$5:$E$241,AO5,Summary!$D$5:$D$241,"&gt;="&amp;$A39,Summary!$D$5:$D$241,"&lt;"&amp;$A39+7))</f>
        <v>0</v>
      </c>
      <c r="AP39">
        <f>IF(AP5="","",COUNTIFS(Summary!$E$5:$E$241,AP5,Summary!$D$5:$D$241,"&gt;="&amp;$A39,Summary!$D$5:$D$241,"&lt;"&amp;$A39+7))</f>
        <v>0</v>
      </c>
      <c r="AQ39">
        <f>IF(AQ5="","",COUNTIFS(Summary!$E$5:$E$241,AQ5,Summary!$D$5:$D$241,"&gt;="&amp;$A39,Summary!$D$5:$D$241,"&lt;"&amp;$A39+7))</f>
        <v>0</v>
      </c>
      <c r="AR39">
        <f>IF(AR5="","",COUNTIFS(Summary!$E$5:$E$241,AR5,Summary!$D$5:$D$241,"&gt;="&amp;$A39,Summary!$D$5:$D$241,"&lt;"&amp;$A39+7))</f>
        <v>0</v>
      </c>
      <c r="AS39">
        <f>IF(AS5="","",COUNTIFS(Summary!$E$5:$E$241,AS5,Summary!$D$5:$D$241,"&gt;="&amp;$A39,Summary!$D$5:$D$241,"&lt;"&amp;$A39+7))</f>
        <v>0</v>
      </c>
      <c r="AT39">
        <f>IF(AT5="","",COUNTIFS(Summary!$E$5:$E$241,AT5,Summary!$D$5:$D$241,"&gt;="&amp;$A39,Summary!$D$5:$D$241,"&lt;"&amp;$A39+7))</f>
        <v>0</v>
      </c>
      <c r="AU39">
        <f>IF(AU5="","",COUNTIFS(Summary!$E$5:$E$241,AU5,Summary!$D$5:$D$241,"&gt;="&amp;$A39,Summary!$D$5:$D$241,"&lt;"&amp;$A39+7))</f>
        <v>0</v>
      </c>
      <c r="AV39">
        <f>IF(AV5="","",COUNTIFS(Summary!$E$5:$E$241,AV5,Summary!$D$5:$D$241,"&gt;="&amp;$A39,Summary!$D$5:$D$241,"&lt;"&amp;$A39+7))</f>
        <v>0</v>
      </c>
      <c r="AW39">
        <f>IF(AW5="","",COUNTIFS(Summary!$E$5:$E$241,AW5,Summary!$D$5:$D$241,"&gt;="&amp;$A39,Summary!$D$5:$D$241,"&lt;"&amp;$A39+7))</f>
        <v>0</v>
      </c>
      <c r="AX39">
        <f>IF(AX5="","",COUNTIFS(Summary!$E$5:$E$241,AX5,Summary!$D$5:$D$241,"&gt;="&amp;$A39,Summary!$D$5:$D$241,"&lt;"&amp;$A39+7))</f>
        <v>0</v>
      </c>
      <c r="AY39">
        <f>IF(AY5="","",COUNTIFS(Summary!$E$5:$E$241,AY5,Summary!$D$5:$D$241,"&gt;="&amp;$A39,Summary!$D$5:$D$241,"&lt;"&amp;$A39+7))</f>
        <v>0</v>
      </c>
      <c r="AZ39">
        <f>IF(AZ5="","",COUNTIFS(Summary!$E$5:$E$241,AZ5,Summary!$D$5:$D$241,"&gt;="&amp;$A39,Summary!$D$5:$D$241,"&lt;"&amp;$A39+7))</f>
        <v>0</v>
      </c>
      <c r="BA39">
        <f>IF(BA5="","",COUNTIFS(Summary!$E$5:$E$241,BA5,Summary!$D$5:$D$241,"&gt;="&amp;$A39,Summary!$D$5:$D$241,"&lt;"&amp;$A39+7))</f>
        <v>0</v>
      </c>
      <c r="BB39">
        <f>IF(BB5="","",COUNTIFS(Summary!$E$5:$E$241,BB5,Summary!$D$5:$D$241,"&gt;="&amp;$A39,Summary!$D$5:$D$241,"&lt;"&amp;$A39+7))</f>
        <v>0</v>
      </c>
      <c r="BC39">
        <f>IF(BC5="","",COUNTIFS(Summary!$E$5:$E$241,BC5,Summary!$D$5:$D$241,"&gt;="&amp;$A39,Summary!$D$5:$D$241,"&lt;"&amp;$A39+7))</f>
        <v>0</v>
      </c>
      <c r="BD39">
        <f>IF(BD5="","",COUNTIFS(Summary!$E$5:$E$241,BD5,Summary!$D$5:$D$241,"&gt;="&amp;$A39,Summary!$D$5:$D$241,"&lt;"&amp;$A39+7))</f>
        <v>0</v>
      </c>
      <c r="BE39">
        <f>IF(BE5="","",COUNTIFS(Summary!$E$5:$E$241,BE5,Summary!$D$5:$D$241,"&gt;="&amp;$A39,Summary!$D$5:$D$241,"&lt;"&amp;$A39+7))</f>
        <v>0</v>
      </c>
      <c r="BF39" s="28">
        <f>IF(BF5="","",COUNTIFS(Summary!$E$5:$E$241,BF5,Summary!$D$5:$D$241,"&gt;="&amp;$A39,Summary!$D$5:$D$241,"&lt;"&amp;$A39+7))</f>
        <v>0</v>
      </c>
    </row>
    <row r="40" spans="1:58">
      <c r="A40" s="18">
        <f t="shared" si="1"/>
        <v>46321</v>
      </c>
      <c r="B40" s="2" t="str">
        <f t="shared" si="0"/>
        <v>Oct 26</v>
      </c>
      <c r="C40">
        <f>IF(C5="","",COUNTIFS(Summary!$E$5:$E$241,C5,Summary!$D$5:$D$241,"&gt;="&amp;$A40,Summary!$D$5:$D$241,"&lt;"&amp;$A40+7))</f>
        <v>0</v>
      </c>
      <c r="D40">
        <f>IF(D5="","",COUNTIFS(Summary!$E$5:$E$241,D5,Summary!$D$5:$D$241,"&gt;="&amp;$A40,Summary!$D$5:$D$241,"&lt;"&amp;$A40+7))</f>
        <v>0</v>
      </c>
      <c r="E40">
        <f>IF(E5="","",COUNTIFS(Summary!$E$5:$E$241,E5,Summary!$D$5:$D$241,"&gt;="&amp;$A40,Summary!$D$5:$D$241,"&lt;"&amp;$A40+7))</f>
        <v>0</v>
      </c>
      <c r="F40">
        <f>IF(F5="","",COUNTIFS(Summary!$E$5:$E$241,F5,Summary!$D$5:$D$241,"&gt;="&amp;$A40,Summary!$D$5:$D$241,"&lt;"&amp;$A40+7))</f>
        <v>0</v>
      </c>
      <c r="G40">
        <f>IF(G5="","",COUNTIFS(Summary!$E$5:$E$241,G5,Summary!$D$5:$D$241,"&gt;="&amp;$A40,Summary!$D$5:$D$241,"&lt;"&amp;$A40+7))</f>
        <v>0</v>
      </c>
      <c r="H40">
        <f>IF(H5="","",COUNTIFS(Summary!$E$5:$E$241,H5,Summary!$D$5:$D$241,"&gt;="&amp;$A40,Summary!$D$5:$D$241,"&lt;"&amp;$A40+7))</f>
        <v>0</v>
      </c>
      <c r="I40">
        <f>IF(I5="","",COUNTIFS(Summary!$E$5:$E$241,I5,Summary!$D$5:$D$241,"&gt;="&amp;$A40,Summary!$D$5:$D$241,"&lt;"&amp;$A40+7))</f>
        <v>0</v>
      </c>
      <c r="J40">
        <f>IF(J5="","",COUNTIFS(Summary!$E$5:$E$241,J5,Summary!$D$5:$D$241,"&gt;="&amp;$A40,Summary!$D$5:$D$241,"&lt;"&amp;$A40+7))</f>
        <v>0</v>
      </c>
      <c r="K40">
        <f>IF(K5="","",COUNTIFS(Summary!$E$5:$E$241,K5,Summary!$D$5:$D$241,"&gt;="&amp;$A40,Summary!$D$5:$D$241,"&lt;"&amp;$A40+7))</f>
        <v>0</v>
      </c>
      <c r="L40">
        <f>IF(L5="","",COUNTIFS(Summary!$E$5:$E$241,L5,Summary!$D$5:$D$241,"&gt;="&amp;$A40,Summary!$D$5:$D$241,"&lt;"&amp;$A40+7))</f>
        <v>0</v>
      </c>
      <c r="M40">
        <f>IF(M5="","",COUNTIFS(Summary!$E$5:$E$241,M5,Summary!$D$5:$D$241,"&gt;="&amp;$A40,Summary!$D$5:$D$241,"&lt;"&amp;$A40+7))</f>
        <v>0</v>
      </c>
      <c r="N40">
        <f>IF(N5="","",COUNTIFS(Summary!$E$5:$E$241,N5,Summary!$D$5:$D$241,"&gt;="&amp;$A40,Summary!$D$5:$D$241,"&lt;"&amp;$A40+7))</f>
        <v>0</v>
      </c>
      <c r="O40">
        <f>IF(O5="","",COUNTIFS(Summary!$E$5:$E$241,O5,Summary!$D$5:$D$241,"&gt;="&amp;$A40,Summary!$D$5:$D$241,"&lt;"&amp;$A40+7))</f>
        <v>0</v>
      </c>
      <c r="P40">
        <f>IF(P5="","",COUNTIFS(Summary!$E$5:$E$241,P5,Summary!$D$5:$D$241,"&gt;="&amp;$A40,Summary!$D$5:$D$241,"&lt;"&amp;$A40+7))</f>
        <v>0</v>
      </c>
      <c r="Q40">
        <f>IF(Q5="","",COUNTIFS(Summary!$E$5:$E$241,Q5,Summary!$D$5:$D$241,"&gt;="&amp;$A40,Summary!$D$5:$D$241,"&lt;"&amp;$A40+7))</f>
        <v>0</v>
      </c>
      <c r="R40">
        <f>IF(R5="","",COUNTIFS(Summary!$E$5:$E$241,R5,Summary!$D$5:$D$241,"&gt;="&amp;$A40,Summary!$D$5:$D$241,"&lt;"&amp;$A40+7))</f>
        <v>0</v>
      </c>
      <c r="S40">
        <f>IF(S5="","",COUNTIFS(Summary!$E$5:$E$241,S5,Summary!$D$5:$D$241,"&gt;="&amp;$A40,Summary!$D$5:$D$241,"&lt;"&amp;$A40+7))</f>
        <v>0</v>
      </c>
      <c r="T40">
        <f>IF(T5="","",COUNTIFS(Summary!$E$5:$E$241,T5,Summary!$D$5:$D$241,"&gt;="&amp;$A40,Summary!$D$5:$D$241,"&lt;"&amp;$A40+7))</f>
        <v>0</v>
      </c>
      <c r="U40">
        <f>IF(U5="","",COUNTIFS(Summary!$E$5:$E$241,U5,Summary!$D$5:$D$241,"&gt;="&amp;$A40,Summary!$D$5:$D$241,"&lt;"&amp;$A40+7))</f>
        <v>0</v>
      </c>
      <c r="V40">
        <f>IF(V5="","",COUNTIFS(Summary!$E$5:$E$241,V5,Summary!$D$5:$D$241,"&gt;="&amp;$A40,Summary!$D$5:$D$241,"&lt;"&amp;$A40+7))</f>
        <v>0</v>
      </c>
      <c r="W40">
        <f>IF(W5="","",COUNTIFS(Summary!$E$5:$E$241,W5,Summary!$D$5:$D$241,"&gt;="&amp;$A40,Summary!$D$5:$D$241,"&lt;"&amp;$A40+7))</f>
        <v>0</v>
      </c>
      <c r="X40">
        <f>IF(X5="","",COUNTIFS(Summary!$E$5:$E$241,X5,Summary!$D$5:$D$241,"&gt;="&amp;$A40,Summary!$D$5:$D$241,"&lt;"&amp;$A40+7))</f>
        <v>0</v>
      </c>
      <c r="Y40">
        <f>IF(Y5="","",COUNTIFS(Summary!$E$5:$E$241,Y5,Summary!$D$5:$D$241,"&gt;="&amp;$A40,Summary!$D$5:$D$241,"&lt;"&amp;$A40+7))</f>
        <v>0</v>
      </c>
      <c r="Z40">
        <f>IF(Z5="","",COUNTIFS(Summary!$E$5:$E$241,Z5,Summary!$D$5:$D$241,"&gt;="&amp;$A40,Summary!$D$5:$D$241,"&lt;"&amp;$A40+7))</f>
        <v>0</v>
      </c>
      <c r="AA40">
        <f>IF(AA5="","",COUNTIFS(Summary!$E$5:$E$241,AA5,Summary!$D$5:$D$241,"&gt;="&amp;$A40,Summary!$D$5:$D$241,"&lt;"&amp;$A40+7))</f>
        <v>0</v>
      </c>
      <c r="AB40">
        <f>IF(AB5="","",COUNTIFS(Summary!$E$5:$E$241,AB5,Summary!$D$5:$D$241,"&gt;="&amp;$A40,Summary!$D$5:$D$241,"&lt;"&amp;$A40+7))</f>
        <v>0</v>
      </c>
      <c r="AC40">
        <f>IF(AC5="","",COUNTIFS(Summary!$E$5:$E$241,AC5,Summary!$D$5:$D$241,"&gt;="&amp;$A40,Summary!$D$5:$D$241,"&lt;"&amp;$A40+7))</f>
        <v>0</v>
      </c>
      <c r="AD40">
        <f>IF(AD5="","",COUNTIFS(Summary!$E$5:$E$241,AD5,Summary!$D$5:$D$241,"&gt;="&amp;$A40,Summary!$D$5:$D$241,"&lt;"&amp;$A40+7))</f>
        <v>0</v>
      </c>
      <c r="AE40">
        <f>IF(AE5="","",COUNTIFS(Summary!$E$5:$E$241,AE5,Summary!$D$5:$D$241,"&gt;="&amp;$A40,Summary!$D$5:$D$241,"&lt;"&amp;$A40+7))</f>
        <v>0</v>
      </c>
      <c r="AF40">
        <f>IF(AF5="","",COUNTIFS(Summary!$E$5:$E$241,AF5,Summary!$D$5:$D$241,"&gt;="&amp;$A40,Summary!$D$5:$D$241,"&lt;"&amp;$A40+7))</f>
        <v>0</v>
      </c>
      <c r="AG40">
        <f>IF(AG5="","",COUNTIFS(Summary!$E$5:$E$241,AG5,Summary!$D$5:$D$241,"&gt;="&amp;$A40,Summary!$D$5:$D$241,"&lt;"&amp;$A40+7))</f>
        <v>0</v>
      </c>
      <c r="AH40">
        <f>IF(AH5="","",COUNTIFS(Summary!$E$5:$E$241,AH5,Summary!$D$5:$D$241,"&gt;="&amp;$A40,Summary!$D$5:$D$241,"&lt;"&amp;$A40+7))</f>
        <v>0</v>
      </c>
      <c r="AI40">
        <f>IF(AI5="","",COUNTIFS(Summary!$E$5:$E$241,AI5,Summary!$D$5:$D$241,"&gt;="&amp;$A40,Summary!$D$5:$D$241,"&lt;"&amp;$A40+7))</f>
        <v>0</v>
      </c>
      <c r="AJ40">
        <f>IF(AJ5="","",COUNTIFS(Summary!$E$5:$E$241,AJ5,Summary!$D$5:$D$241,"&gt;="&amp;$A40,Summary!$D$5:$D$241,"&lt;"&amp;$A40+7))</f>
        <v>0</v>
      </c>
      <c r="AK40">
        <f>IF(AK5="","",COUNTIFS(Summary!$E$5:$E$241,AK5,Summary!$D$5:$D$241,"&gt;="&amp;$A40,Summary!$D$5:$D$241,"&lt;"&amp;$A40+7))</f>
        <v>0</v>
      </c>
      <c r="AL40">
        <f>IF(AL5="","",COUNTIFS(Summary!$E$5:$E$241,AL5,Summary!$D$5:$D$241,"&gt;="&amp;$A40,Summary!$D$5:$D$241,"&lt;"&amp;$A40+7))</f>
        <v>0</v>
      </c>
      <c r="AM40">
        <f>IF(AM5="","",COUNTIFS(Summary!$E$5:$E$241,AM5,Summary!$D$5:$D$241,"&gt;="&amp;$A40,Summary!$D$5:$D$241,"&lt;"&amp;$A40+7))</f>
        <v>0</v>
      </c>
      <c r="AN40">
        <f>IF(AN5="","",COUNTIFS(Summary!$E$5:$E$241,AN5,Summary!$D$5:$D$241,"&gt;="&amp;$A40,Summary!$D$5:$D$241,"&lt;"&amp;$A40+7))</f>
        <v>0</v>
      </c>
      <c r="AO40">
        <f>IF(AO5="","",COUNTIFS(Summary!$E$5:$E$241,AO5,Summary!$D$5:$D$241,"&gt;="&amp;$A40,Summary!$D$5:$D$241,"&lt;"&amp;$A40+7))</f>
        <v>0</v>
      </c>
      <c r="AP40">
        <f>IF(AP5="","",COUNTIFS(Summary!$E$5:$E$241,AP5,Summary!$D$5:$D$241,"&gt;="&amp;$A40,Summary!$D$5:$D$241,"&lt;"&amp;$A40+7))</f>
        <v>0</v>
      </c>
      <c r="AQ40">
        <f>IF(AQ5="","",COUNTIFS(Summary!$E$5:$E$241,AQ5,Summary!$D$5:$D$241,"&gt;="&amp;$A40,Summary!$D$5:$D$241,"&lt;"&amp;$A40+7))</f>
        <v>0</v>
      </c>
      <c r="AR40">
        <f>IF(AR5="","",COUNTIFS(Summary!$E$5:$E$241,AR5,Summary!$D$5:$D$241,"&gt;="&amp;$A40,Summary!$D$5:$D$241,"&lt;"&amp;$A40+7))</f>
        <v>0</v>
      </c>
      <c r="AS40">
        <f>IF(AS5="","",COUNTIFS(Summary!$E$5:$E$241,AS5,Summary!$D$5:$D$241,"&gt;="&amp;$A40,Summary!$D$5:$D$241,"&lt;"&amp;$A40+7))</f>
        <v>0</v>
      </c>
      <c r="AT40">
        <f>IF(AT5="","",COUNTIFS(Summary!$E$5:$E$241,AT5,Summary!$D$5:$D$241,"&gt;="&amp;$A40,Summary!$D$5:$D$241,"&lt;"&amp;$A40+7))</f>
        <v>0</v>
      </c>
      <c r="AU40">
        <f>IF(AU5="","",COUNTIFS(Summary!$E$5:$E$241,AU5,Summary!$D$5:$D$241,"&gt;="&amp;$A40,Summary!$D$5:$D$241,"&lt;"&amp;$A40+7))</f>
        <v>0</v>
      </c>
      <c r="AV40">
        <f>IF(AV5="","",COUNTIFS(Summary!$E$5:$E$241,AV5,Summary!$D$5:$D$241,"&gt;="&amp;$A40,Summary!$D$5:$D$241,"&lt;"&amp;$A40+7))</f>
        <v>0</v>
      </c>
      <c r="AW40">
        <f>IF(AW5="","",COUNTIFS(Summary!$E$5:$E$241,AW5,Summary!$D$5:$D$241,"&gt;="&amp;$A40,Summary!$D$5:$D$241,"&lt;"&amp;$A40+7))</f>
        <v>0</v>
      </c>
      <c r="AX40">
        <f>IF(AX5="","",COUNTIFS(Summary!$E$5:$E$241,AX5,Summary!$D$5:$D$241,"&gt;="&amp;$A40,Summary!$D$5:$D$241,"&lt;"&amp;$A40+7))</f>
        <v>0</v>
      </c>
      <c r="AY40">
        <f>IF(AY5="","",COUNTIFS(Summary!$E$5:$E$241,AY5,Summary!$D$5:$D$241,"&gt;="&amp;$A40,Summary!$D$5:$D$241,"&lt;"&amp;$A40+7))</f>
        <v>0</v>
      </c>
      <c r="AZ40">
        <f>IF(AZ5="","",COUNTIFS(Summary!$E$5:$E$241,AZ5,Summary!$D$5:$D$241,"&gt;="&amp;$A40,Summary!$D$5:$D$241,"&lt;"&amp;$A40+7))</f>
        <v>0</v>
      </c>
      <c r="BA40">
        <f>IF(BA5="","",COUNTIFS(Summary!$E$5:$E$241,BA5,Summary!$D$5:$D$241,"&gt;="&amp;$A40,Summary!$D$5:$D$241,"&lt;"&amp;$A40+7))</f>
        <v>0</v>
      </c>
      <c r="BB40">
        <f>IF(BB5="","",COUNTIFS(Summary!$E$5:$E$241,BB5,Summary!$D$5:$D$241,"&gt;="&amp;$A40,Summary!$D$5:$D$241,"&lt;"&amp;$A40+7))</f>
        <v>0</v>
      </c>
      <c r="BC40">
        <f>IF(BC5="","",COUNTIFS(Summary!$E$5:$E$241,BC5,Summary!$D$5:$D$241,"&gt;="&amp;$A40,Summary!$D$5:$D$241,"&lt;"&amp;$A40+7))</f>
        <v>0</v>
      </c>
      <c r="BD40">
        <f>IF(BD5="","",COUNTIFS(Summary!$E$5:$E$241,BD5,Summary!$D$5:$D$241,"&gt;="&amp;$A40,Summary!$D$5:$D$241,"&lt;"&amp;$A40+7))</f>
        <v>0</v>
      </c>
      <c r="BE40">
        <f>IF(BE5="","",COUNTIFS(Summary!$E$5:$E$241,BE5,Summary!$D$5:$D$241,"&gt;="&amp;$A40,Summary!$D$5:$D$241,"&lt;"&amp;$A40+7))</f>
        <v>0</v>
      </c>
      <c r="BF40" s="28">
        <f>IF(BF5="","",COUNTIFS(Summary!$E$5:$E$241,BF5,Summary!$D$5:$D$241,"&gt;="&amp;$A40,Summary!$D$5:$D$241,"&lt;"&amp;$A40+7))</f>
        <v>0</v>
      </c>
    </row>
    <row r="41" spans="1:58">
      <c r="A41" s="18">
        <f t="shared" si="1"/>
        <v>46328</v>
      </c>
      <c r="B41" s="2" t="str">
        <f t="shared" si="0"/>
        <v>Nov 2</v>
      </c>
      <c r="C41">
        <f>IF(C5="","",COUNTIFS(Summary!$E$5:$E$241,C5,Summary!$D$5:$D$241,"&gt;="&amp;$A41,Summary!$D$5:$D$241,"&lt;"&amp;$A41+7))</f>
        <v>0</v>
      </c>
      <c r="D41">
        <f>IF(D5="","",COUNTIFS(Summary!$E$5:$E$241,D5,Summary!$D$5:$D$241,"&gt;="&amp;$A41,Summary!$D$5:$D$241,"&lt;"&amp;$A41+7))</f>
        <v>0</v>
      </c>
      <c r="E41">
        <f>IF(E5="","",COUNTIFS(Summary!$E$5:$E$241,E5,Summary!$D$5:$D$241,"&gt;="&amp;$A41,Summary!$D$5:$D$241,"&lt;"&amp;$A41+7))</f>
        <v>0</v>
      </c>
      <c r="F41">
        <f>IF(F5="","",COUNTIFS(Summary!$E$5:$E$241,F5,Summary!$D$5:$D$241,"&gt;="&amp;$A41,Summary!$D$5:$D$241,"&lt;"&amp;$A41+7))</f>
        <v>0</v>
      </c>
      <c r="G41">
        <f>IF(G5="","",COUNTIFS(Summary!$E$5:$E$241,G5,Summary!$D$5:$D$241,"&gt;="&amp;$A41,Summary!$D$5:$D$241,"&lt;"&amp;$A41+7))</f>
        <v>0</v>
      </c>
      <c r="H41">
        <f>IF(H5="","",COUNTIFS(Summary!$E$5:$E$241,H5,Summary!$D$5:$D$241,"&gt;="&amp;$A41,Summary!$D$5:$D$241,"&lt;"&amp;$A41+7))</f>
        <v>0</v>
      </c>
      <c r="I41">
        <f>IF(I5="","",COUNTIFS(Summary!$E$5:$E$241,I5,Summary!$D$5:$D$241,"&gt;="&amp;$A41,Summary!$D$5:$D$241,"&lt;"&amp;$A41+7))</f>
        <v>0</v>
      </c>
      <c r="J41">
        <f>IF(J5="","",COUNTIFS(Summary!$E$5:$E$241,J5,Summary!$D$5:$D$241,"&gt;="&amp;$A41,Summary!$D$5:$D$241,"&lt;"&amp;$A41+7))</f>
        <v>0</v>
      </c>
      <c r="K41">
        <f>IF(K5="","",COUNTIFS(Summary!$E$5:$E$241,K5,Summary!$D$5:$D$241,"&gt;="&amp;$A41,Summary!$D$5:$D$241,"&lt;"&amp;$A41+7))</f>
        <v>0</v>
      </c>
      <c r="L41">
        <f>IF(L5="","",COUNTIFS(Summary!$E$5:$E$241,L5,Summary!$D$5:$D$241,"&gt;="&amp;$A41,Summary!$D$5:$D$241,"&lt;"&amp;$A41+7))</f>
        <v>0</v>
      </c>
      <c r="M41">
        <f>IF(M5="","",COUNTIFS(Summary!$E$5:$E$241,M5,Summary!$D$5:$D$241,"&gt;="&amp;$A41,Summary!$D$5:$D$241,"&lt;"&amp;$A41+7))</f>
        <v>0</v>
      </c>
      <c r="N41">
        <f>IF(N5="","",COUNTIFS(Summary!$E$5:$E$241,N5,Summary!$D$5:$D$241,"&gt;="&amp;$A41,Summary!$D$5:$D$241,"&lt;"&amp;$A41+7))</f>
        <v>0</v>
      </c>
      <c r="O41">
        <f>IF(O5="","",COUNTIFS(Summary!$E$5:$E$241,O5,Summary!$D$5:$D$241,"&gt;="&amp;$A41,Summary!$D$5:$D$241,"&lt;"&amp;$A41+7))</f>
        <v>0</v>
      </c>
      <c r="P41">
        <f>IF(P5="","",COUNTIFS(Summary!$E$5:$E$241,P5,Summary!$D$5:$D$241,"&gt;="&amp;$A41,Summary!$D$5:$D$241,"&lt;"&amp;$A41+7))</f>
        <v>0</v>
      </c>
      <c r="Q41">
        <f>IF(Q5="","",COUNTIFS(Summary!$E$5:$E$241,Q5,Summary!$D$5:$D$241,"&gt;="&amp;$A41,Summary!$D$5:$D$241,"&lt;"&amp;$A41+7))</f>
        <v>0</v>
      </c>
      <c r="R41">
        <f>IF(R5="","",COUNTIFS(Summary!$E$5:$E$241,R5,Summary!$D$5:$D$241,"&gt;="&amp;$A41,Summary!$D$5:$D$241,"&lt;"&amp;$A41+7))</f>
        <v>0</v>
      </c>
      <c r="S41">
        <f>IF(S5="","",COUNTIFS(Summary!$E$5:$E$241,S5,Summary!$D$5:$D$241,"&gt;="&amp;$A41,Summary!$D$5:$D$241,"&lt;"&amp;$A41+7))</f>
        <v>0</v>
      </c>
      <c r="T41">
        <f>IF(T5="","",COUNTIFS(Summary!$E$5:$E$241,T5,Summary!$D$5:$D$241,"&gt;="&amp;$A41,Summary!$D$5:$D$241,"&lt;"&amp;$A41+7))</f>
        <v>0</v>
      </c>
      <c r="U41">
        <f>IF(U5="","",COUNTIFS(Summary!$E$5:$E$241,U5,Summary!$D$5:$D$241,"&gt;="&amp;$A41,Summary!$D$5:$D$241,"&lt;"&amp;$A41+7))</f>
        <v>0</v>
      </c>
      <c r="V41">
        <f>IF(V5="","",COUNTIFS(Summary!$E$5:$E$241,V5,Summary!$D$5:$D$241,"&gt;="&amp;$A41,Summary!$D$5:$D$241,"&lt;"&amp;$A41+7))</f>
        <v>0</v>
      </c>
      <c r="W41">
        <f>IF(W5="","",COUNTIFS(Summary!$E$5:$E$241,W5,Summary!$D$5:$D$241,"&gt;="&amp;$A41,Summary!$D$5:$D$241,"&lt;"&amp;$A41+7))</f>
        <v>0</v>
      </c>
      <c r="X41">
        <f>IF(X5="","",COUNTIFS(Summary!$E$5:$E$241,X5,Summary!$D$5:$D$241,"&gt;="&amp;$A41,Summary!$D$5:$D$241,"&lt;"&amp;$A41+7))</f>
        <v>0</v>
      </c>
      <c r="Y41">
        <f>IF(Y5="","",COUNTIFS(Summary!$E$5:$E$241,Y5,Summary!$D$5:$D$241,"&gt;="&amp;$A41,Summary!$D$5:$D$241,"&lt;"&amp;$A41+7))</f>
        <v>0</v>
      </c>
      <c r="Z41">
        <f>IF(Z5="","",COUNTIFS(Summary!$E$5:$E$241,Z5,Summary!$D$5:$D$241,"&gt;="&amp;$A41,Summary!$D$5:$D$241,"&lt;"&amp;$A41+7))</f>
        <v>0</v>
      </c>
      <c r="AA41">
        <f>IF(AA5="","",COUNTIFS(Summary!$E$5:$E$241,AA5,Summary!$D$5:$D$241,"&gt;="&amp;$A41,Summary!$D$5:$D$241,"&lt;"&amp;$A41+7))</f>
        <v>0</v>
      </c>
      <c r="AB41">
        <f>IF(AB5="","",COUNTIFS(Summary!$E$5:$E$241,AB5,Summary!$D$5:$D$241,"&gt;="&amp;$A41,Summary!$D$5:$D$241,"&lt;"&amp;$A41+7))</f>
        <v>0</v>
      </c>
      <c r="AC41">
        <f>IF(AC5="","",COUNTIFS(Summary!$E$5:$E$241,AC5,Summary!$D$5:$D$241,"&gt;="&amp;$A41,Summary!$D$5:$D$241,"&lt;"&amp;$A41+7))</f>
        <v>0</v>
      </c>
      <c r="AD41">
        <f>IF(AD5="","",COUNTIFS(Summary!$E$5:$E$241,AD5,Summary!$D$5:$D$241,"&gt;="&amp;$A41,Summary!$D$5:$D$241,"&lt;"&amp;$A41+7))</f>
        <v>0</v>
      </c>
      <c r="AE41">
        <f>IF(AE5="","",COUNTIFS(Summary!$E$5:$E$241,AE5,Summary!$D$5:$D$241,"&gt;="&amp;$A41,Summary!$D$5:$D$241,"&lt;"&amp;$A41+7))</f>
        <v>0</v>
      </c>
      <c r="AF41">
        <f>IF(AF5="","",COUNTIFS(Summary!$E$5:$E$241,AF5,Summary!$D$5:$D$241,"&gt;="&amp;$A41,Summary!$D$5:$D$241,"&lt;"&amp;$A41+7))</f>
        <v>0</v>
      </c>
      <c r="AG41">
        <f>IF(AG5="","",COUNTIFS(Summary!$E$5:$E$241,AG5,Summary!$D$5:$D$241,"&gt;="&amp;$A41,Summary!$D$5:$D$241,"&lt;"&amp;$A41+7))</f>
        <v>0</v>
      </c>
      <c r="AH41">
        <f>IF(AH5="","",COUNTIFS(Summary!$E$5:$E$241,AH5,Summary!$D$5:$D$241,"&gt;="&amp;$A41,Summary!$D$5:$D$241,"&lt;"&amp;$A41+7))</f>
        <v>0</v>
      </c>
      <c r="AI41">
        <f>IF(AI5="","",COUNTIFS(Summary!$E$5:$E$241,AI5,Summary!$D$5:$D$241,"&gt;="&amp;$A41,Summary!$D$5:$D$241,"&lt;"&amp;$A41+7))</f>
        <v>0</v>
      </c>
      <c r="AJ41">
        <f>IF(AJ5="","",COUNTIFS(Summary!$E$5:$E$241,AJ5,Summary!$D$5:$D$241,"&gt;="&amp;$A41,Summary!$D$5:$D$241,"&lt;"&amp;$A41+7))</f>
        <v>0</v>
      </c>
      <c r="AK41">
        <f>IF(AK5="","",COUNTIFS(Summary!$E$5:$E$241,AK5,Summary!$D$5:$D$241,"&gt;="&amp;$A41,Summary!$D$5:$D$241,"&lt;"&amp;$A41+7))</f>
        <v>0</v>
      </c>
      <c r="AL41">
        <f>IF(AL5="","",COUNTIFS(Summary!$E$5:$E$241,AL5,Summary!$D$5:$D$241,"&gt;="&amp;$A41,Summary!$D$5:$D$241,"&lt;"&amp;$A41+7))</f>
        <v>0</v>
      </c>
      <c r="AM41">
        <f>IF(AM5="","",COUNTIFS(Summary!$E$5:$E$241,AM5,Summary!$D$5:$D$241,"&gt;="&amp;$A41,Summary!$D$5:$D$241,"&lt;"&amp;$A41+7))</f>
        <v>0</v>
      </c>
      <c r="AN41">
        <f>IF(AN5="","",COUNTIFS(Summary!$E$5:$E$241,AN5,Summary!$D$5:$D$241,"&gt;="&amp;$A41,Summary!$D$5:$D$241,"&lt;"&amp;$A41+7))</f>
        <v>0</v>
      </c>
      <c r="AO41">
        <f>IF(AO5="","",COUNTIFS(Summary!$E$5:$E$241,AO5,Summary!$D$5:$D$241,"&gt;="&amp;$A41,Summary!$D$5:$D$241,"&lt;"&amp;$A41+7))</f>
        <v>0</v>
      </c>
      <c r="AP41">
        <f>IF(AP5="","",COUNTIFS(Summary!$E$5:$E$241,AP5,Summary!$D$5:$D$241,"&gt;="&amp;$A41,Summary!$D$5:$D$241,"&lt;"&amp;$A41+7))</f>
        <v>0</v>
      </c>
      <c r="AQ41">
        <f>IF(AQ5="","",COUNTIFS(Summary!$E$5:$E$241,AQ5,Summary!$D$5:$D$241,"&gt;="&amp;$A41,Summary!$D$5:$D$241,"&lt;"&amp;$A41+7))</f>
        <v>0</v>
      </c>
      <c r="AR41">
        <f>IF(AR5="","",COUNTIFS(Summary!$E$5:$E$241,AR5,Summary!$D$5:$D$241,"&gt;="&amp;$A41,Summary!$D$5:$D$241,"&lt;"&amp;$A41+7))</f>
        <v>0</v>
      </c>
      <c r="AS41">
        <f>IF(AS5="","",COUNTIFS(Summary!$E$5:$E$241,AS5,Summary!$D$5:$D$241,"&gt;="&amp;$A41,Summary!$D$5:$D$241,"&lt;"&amp;$A41+7))</f>
        <v>0</v>
      </c>
      <c r="AT41">
        <f>IF(AT5="","",COUNTIFS(Summary!$E$5:$E$241,AT5,Summary!$D$5:$D$241,"&gt;="&amp;$A41,Summary!$D$5:$D$241,"&lt;"&amp;$A41+7))</f>
        <v>0</v>
      </c>
      <c r="AU41">
        <f>IF(AU5="","",COUNTIFS(Summary!$E$5:$E$241,AU5,Summary!$D$5:$D$241,"&gt;="&amp;$A41,Summary!$D$5:$D$241,"&lt;"&amp;$A41+7))</f>
        <v>0</v>
      </c>
      <c r="AV41">
        <f>IF(AV5="","",COUNTIFS(Summary!$E$5:$E$241,AV5,Summary!$D$5:$D$241,"&gt;="&amp;$A41,Summary!$D$5:$D$241,"&lt;"&amp;$A41+7))</f>
        <v>0</v>
      </c>
      <c r="AW41">
        <f>IF(AW5="","",COUNTIFS(Summary!$E$5:$E$241,AW5,Summary!$D$5:$D$241,"&gt;="&amp;$A41,Summary!$D$5:$D$241,"&lt;"&amp;$A41+7))</f>
        <v>0</v>
      </c>
      <c r="AX41">
        <f>IF(AX5="","",COUNTIFS(Summary!$E$5:$E$241,AX5,Summary!$D$5:$D$241,"&gt;="&amp;$A41,Summary!$D$5:$D$241,"&lt;"&amp;$A41+7))</f>
        <v>0</v>
      </c>
      <c r="AY41">
        <f>IF(AY5="","",COUNTIFS(Summary!$E$5:$E$241,AY5,Summary!$D$5:$D$241,"&gt;="&amp;$A41,Summary!$D$5:$D$241,"&lt;"&amp;$A41+7))</f>
        <v>0</v>
      </c>
      <c r="AZ41">
        <f>IF(AZ5="","",COUNTIFS(Summary!$E$5:$E$241,AZ5,Summary!$D$5:$D$241,"&gt;="&amp;$A41,Summary!$D$5:$D$241,"&lt;"&amp;$A41+7))</f>
        <v>0</v>
      </c>
      <c r="BA41">
        <f>IF(BA5="","",COUNTIFS(Summary!$E$5:$E$241,BA5,Summary!$D$5:$D$241,"&gt;="&amp;$A41,Summary!$D$5:$D$241,"&lt;"&amp;$A41+7))</f>
        <v>0</v>
      </c>
      <c r="BB41">
        <f>IF(BB5="","",COUNTIFS(Summary!$E$5:$E$241,BB5,Summary!$D$5:$D$241,"&gt;="&amp;$A41,Summary!$D$5:$D$241,"&lt;"&amp;$A41+7))</f>
        <v>0</v>
      </c>
      <c r="BC41">
        <f>IF(BC5="","",COUNTIFS(Summary!$E$5:$E$241,BC5,Summary!$D$5:$D$241,"&gt;="&amp;$A41,Summary!$D$5:$D$241,"&lt;"&amp;$A41+7))</f>
        <v>0</v>
      </c>
      <c r="BD41">
        <f>IF(BD5="","",COUNTIFS(Summary!$E$5:$E$241,BD5,Summary!$D$5:$D$241,"&gt;="&amp;$A41,Summary!$D$5:$D$241,"&lt;"&amp;$A41+7))</f>
        <v>0</v>
      </c>
      <c r="BE41">
        <f>IF(BE5="","",COUNTIFS(Summary!$E$5:$E$241,BE5,Summary!$D$5:$D$241,"&gt;="&amp;$A41,Summary!$D$5:$D$241,"&lt;"&amp;$A41+7))</f>
        <v>0</v>
      </c>
      <c r="BF41" s="28">
        <f>IF(BF5="","",COUNTIFS(Summary!$E$5:$E$241,BF5,Summary!$D$5:$D$241,"&gt;="&amp;$A41,Summary!$D$5:$D$241,"&lt;"&amp;$A41+7))</f>
        <v>0</v>
      </c>
    </row>
    <row r="42" spans="1:58">
      <c r="A42" s="18">
        <f t="shared" si="1"/>
        <v>46335</v>
      </c>
      <c r="B42" s="2" t="str">
        <f t="shared" si="0"/>
        <v>Nov 9</v>
      </c>
      <c r="C42">
        <f>IF(C5="","",COUNTIFS(Summary!$E$5:$E$241,C5,Summary!$D$5:$D$241,"&gt;="&amp;$A42,Summary!$D$5:$D$241,"&lt;"&amp;$A42+7))</f>
        <v>0</v>
      </c>
      <c r="D42">
        <f>IF(D5="","",COUNTIFS(Summary!$E$5:$E$241,D5,Summary!$D$5:$D$241,"&gt;="&amp;$A42,Summary!$D$5:$D$241,"&lt;"&amp;$A42+7))</f>
        <v>0</v>
      </c>
      <c r="E42">
        <f>IF(E5="","",COUNTIFS(Summary!$E$5:$E$241,E5,Summary!$D$5:$D$241,"&gt;="&amp;$A42,Summary!$D$5:$D$241,"&lt;"&amp;$A42+7))</f>
        <v>0</v>
      </c>
      <c r="F42">
        <f>IF(F5="","",COUNTIFS(Summary!$E$5:$E$241,F5,Summary!$D$5:$D$241,"&gt;="&amp;$A42,Summary!$D$5:$D$241,"&lt;"&amp;$A42+7))</f>
        <v>0</v>
      </c>
      <c r="G42">
        <f>IF(G5="","",COUNTIFS(Summary!$E$5:$E$241,G5,Summary!$D$5:$D$241,"&gt;="&amp;$A42,Summary!$D$5:$D$241,"&lt;"&amp;$A42+7))</f>
        <v>0</v>
      </c>
      <c r="H42">
        <f>IF(H5="","",COUNTIFS(Summary!$E$5:$E$241,H5,Summary!$D$5:$D$241,"&gt;="&amp;$A42,Summary!$D$5:$D$241,"&lt;"&amp;$A42+7))</f>
        <v>0</v>
      </c>
      <c r="I42">
        <f>IF(I5="","",COUNTIFS(Summary!$E$5:$E$241,I5,Summary!$D$5:$D$241,"&gt;="&amp;$A42,Summary!$D$5:$D$241,"&lt;"&amp;$A42+7))</f>
        <v>0</v>
      </c>
      <c r="J42">
        <f>IF(J5="","",COUNTIFS(Summary!$E$5:$E$241,J5,Summary!$D$5:$D$241,"&gt;="&amp;$A42,Summary!$D$5:$D$241,"&lt;"&amp;$A42+7))</f>
        <v>0</v>
      </c>
      <c r="K42">
        <f>IF(K5="","",COUNTIFS(Summary!$E$5:$E$241,K5,Summary!$D$5:$D$241,"&gt;="&amp;$A42,Summary!$D$5:$D$241,"&lt;"&amp;$A42+7))</f>
        <v>0</v>
      </c>
      <c r="L42">
        <f>IF(L5="","",COUNTIFS(Summary!$E$5:$E$241,L5,Summary!$D$5:$D$241,"&gt;="&amp;$A42,Summary!$D$5:$D$241,"&lt;"&amp;$A42+7))</f>
        <v>0</v>
      </c>
      <c r="M42">
        <f>IF(M5="","",COUNTIFS(Summary!$E$5:$E$241,M5,Summary!$D$5:$D$241,"&gt;="&amp;$A42,Summary!$D$5:$D$241,"&lt;"&amp;$A42+7))</f>
        <v>0</v>
      </c>
      <c r="N42">
        <f>IF(N5="","",COUNTIFS(Summary!$E$5:$E$241,N5,Summary!$D$5:$D$241,"&gt;="&amp;$A42,Summary!$D$5:$D$241,"&lt;"&amp;$A42+7))</f>
        <v>0</v>
      </c>
      <c r="O42">
        <f>IF(O5="","",COUNTIFS(Summary!$E$5:$E$241,O5,Summary!$D$5:$D$241,"&gt;="&amp;$A42,Summary!$D$5:$D$241,"&lt;"&amp;$A42+7))</f>
        <v>0</v>
      </c>
      <c r="P42">
        <f>IF(P5="","",COUNTIFS(Summary!$E$5:$E$241,P5,Summary!$D$5:$D$241,"&gt;="&amp;$A42,Summary!$D$5:$D$241,"&lt;"&amp;$A42+7))</f>
        <v>0</v>
      </c>
      <c r="Q42">
        <f>IF(Q5="","",COUNTIFS(Summary!$E$5:$E$241,Q5,Summary!$D$5:$D$241,"&gt;="&amp;$A42,Summary!$D$5:$D$241,"&lt;"&amp;$A42+7))</f>
        <v>0</v>
      </c>
      <c r="R42">
        <f>IF(R5="","",COUNTIFS(Summary!$E$5:$E$241,R5,Summary!$D$5:$D$241,"&gt;="&amp;$A42,Summary!$D$5:$D$241,"&lt;"&amp;$A42+7))</f>
        <v>0</v>
      </c>
      <c r="S42">
        <f>IF(S5="","",COUNTIFS(Summary!$E$5:$E$241,S5,Summary!$D$5:$D$241,"&gt;="&amp;$A42,Summary!$D$5:$D$241,"&lt;"&amp;$A42+7))</f>
        <v>0</v>
      </c>
      <c r="T42">
        <f>IF(T5="","",COUNTIFS(Summary!$E$5:$E$241,T5,Summary!$D$5:$D$241,"&gt;="&amp;$A42,Summary!$D$5:$D$241,"&lt;"&amp;$A42+7))</f>
        <v>0</v>
      </c>
      <c r="U42">
        <f>IF(U5="","",COUNTIFS(Summary!$E$5:$E$241,U5,Summary!$D$5:$D$241,"&gt;="&amp;$A42,Summary!$D$5:$D$241,"&lt;"&amp;$A42+7))</f>
        <v>0</v>
      </c>
      <c r="V42">
        <f>IF(V5="","",COUNTIFS(Summary!$E$5:$E$241,V5,Summary!$D$5:$D$241,"&gt;="&amp;$A42,Summary!$D$5:$D$241,"&lt;"&amp;$A42+7))</f>
        <v>0</v>
      </c>
      <c r="W42">
        <f>IF(W5="","",COUNTIFS(Summary!$E$5:$E$241,W5,Summary!$D$5:$D$241,"&gt;="&amp;$A42,Summary!$D$5:$D$241,"&lt;"&amp;$A42+7))</f>
        <v>0</v>
      </c>
      <c r="X42">
        <f>IF(X5="","",COUNTIFS(Summary!$E$5:$E$241,X5,Summary!$D$5:$D$241,"&gt;="&amp;$A42,Summary!$D$5:$D$241,"&lt;"&amp;$A42+7))</f>
        <v>0</v>
      </c>
      <c r="Y42">
        <f>IF(Y5="","",COUNTIFS(Summary!$E$5:$E$241,Y5,Summary!$D$5:$D$241,"&gt;="&amp;$A42,Summary!$D$5:$D$241,"&lt;"&amp;$A42+7))</f>
        <v>0</v>
      </c>
      <c r="Z42">
        <f>IF(Z5="","",COUNTIFS(Summary!$E$5:$E$241,Z5,Summary!$D$5:$D$241,"&gt;="&amp;$A42,Summary!$D$5:$D$241,"&lt;"&amp;$A42+7))</f>
        <v>0</v>
      </c>
      <c r="AA42">
        <f>IF(AA5="","",COUNTIFS(Summary!$E$5:$E$241,AA5,Summary!$D$5:$D$241,"&gt;="&amp;$A42,Summary!$D$5:$D$241,"&lt;"&amp;$A42+7))</f>
        <v>0</v>
      </c>
      <c r="AB42">
        <f>IF(AB5="","",COUNTIFS(Summary!$E$5:$E$241,AB5,Summary!$D$5:$D$241,"&gt;="&amp;$A42,Summary!$D$5:$D$241,"&lt;"&amp;$A42+7))</f>
        <v>0</v>
      </c>
      <c r="AC42">
        <f>IF(AC5="","",COUNTIFS(Summary!$E$5:$E$241,AC5,Summary!$D$5:$D$241,"&gt;="&amp;$A42,Summary!$D$5:$D$241,"&lt;"&amp;$A42+7))</f>
        <v>0</v>
      </c>
      <c r="AD42">
        <f>IF(AD5="","",COUNTIFS(Summary!$E$5:$E$241,AD5,Summary!$D$5:$D$241,"&gt;="&amp;$A42,Summary!$D$5:$D$241,"&lt;"&amp;$A42+7))</f>
        <v>0</v>
      </c>
      <c r="AE42">
        <f>IF(AE5="","",COUNTIFS(Summary!$E$5:$E$241,AE5,Summary!$D$5:$D$241,"&gt;="&amp;$A42,Summary!$D$5:$D$241,"&lt;"&amp;$A42+7))</f>
        <v>0</v>
      </c>
      <c r="AF42">
        <f>IF(AF5="","",COUNTIFS(Summary!$E$5:$E$241,AF5,Summary!$D$5:$D$241,"&gt;="&amp;$A42,Summary!$D$5:$D$241,"&lt;"&amp;$A42+7))</f>
        <v>0</v>
      </c>
      <c r="AG42">
        <f>IF(AG5="","",COUNTIFS(Summary!$E$5:$E$241,AG5,Summary!$D$5:$D$241,"&gt;="&amp;$A42,Summary!$D$5:$D$241,"&lt;"&amp;$A42+7))</f>
        <v>0</v>
      </c>
      <c r="AH42">
        <f>IF(AH5="","",COUNTIFS(Summary!$E$5:$E$241,AH5,Summary!$D$5:$D$241,"&gt;="&amp;$A42,Summary!$D$5:$D$241,"&lt;"&amp;$A42+7))</f>
        <v>0</v>
      </c>
      <c r="AI42">
        <f>IF(AI5="","",COUNTIFS(Summary!$E$5:$E$241,AI5,Summary!$D$5:$D$241,"&gt;="&amp;$A42,Summary!$D$5:$D$241,"&lt;"&amp;$A42+7))</f>
        <v>0</v>
      </c>
      <c r="AJ42">
        <f>IF(AJ5="","",COUNTIFS(Summary!$E$5:$E$241,AJ5,Summary!$D$5:$D$241,"&gt;="&amp;$A42,Summary!$D$5:$D$241,"&lt;"&amp;$A42+7))</f>
        <v>0</v>
      </c>
      <c r="AK42">
        <f>IF(AK5="","",COUNTIFS(Summary!$E$5:$E$241,AK5,Summary!$D$5:$D$241,"&gt;="&amp;$A42,Summary!$D$5:$D$241,"&lt;"&amp;$A42+7))</f>
        <v>0</v>
      </c>
      <c r="AL42">
        <f>IF(AL5="","",COUNTIFS(Summary!$E$5:$E$241,AL5,Summary!$D$5:$D$241,"&gt;="&amp;$A42,Summary!$D$5:$D$241,"&lt;"&amp;$A42+7))</f>
        <v>0</v>
      </c>
      <c r="AM42">
        <f>IF(AM5="","",COUNTIFS(Summary!$E$5:$E$241,AM5,Summary!$D$5:$D$241,"&gt;="&amp;$A42,Summary!$D$5:$D$241,"&lt;"&amp;$A42+7))</f>
        <v>0</v>
      </c>
      <c r="AN42">
        <f>IF(AN5="","",COUNTIFS(Summary!$E$5:$E$241,AN5,Summary!$D$5:$D$241,"&gt;="&amp;$A42,Summary!$D$5:$D$241,"&lt;"&amp;$A42+7))</f>
        <v>0</v>
      </c>
      <c r="AO42">
        <f>IF(AO5="","",COUNTIFS(Summary!$E$5:$E$241,AO5,Summary!$D$5:$D$241,"&gt;="&amp;$A42,Summary!$D$5:$D$241,"&lt;"&amp;$A42+7))</f>
        <v>0</v>
      </c>
      <c r="AP42">
        <f>IF(AP5="","",COUNTIFS(Summary!$E$5:$E$241,AP5,Summary!$D$5:$D$241,"&gt;="&amp;$A42,Summary!$D$5:$D$241,"&lt;"&amp;$A42+7))</f>
        <v>0</v>
      </c>
      <c r="AQ42">
        <f>IF(AQ5="","",COUNTIFS(Summary!$E$5:$E$241,AQ5,Summary!$D$5:$D$241,"&gt;="&amp;$A42,Summary!$D$5:$D$241,"&lt;"&amp;$A42+7))</f>
        <v>0</v>
      </c>
      <c r="AR42">
        <f>IF(AR5="","",COUNTIFS(Summary!$E$5:$E$241,AR5,Summary!$D$5:$D$241,"&gt;="&amp;$A42,Summary!$D$5:$D$241,"&lt;"&amp;$A42+7))</f>
        <v>0</v>
      </c>
      <c r="AS42">
        <f>IF(AS5="","",COUNTIFS(Summary!$E$5:$E$241,AS5,Summary!$D$5:$D$241,"&gt;="&amp;$A42,Summary!$D$5:$D$241,"&lt;"&amp;$A42+7))</f>
        <v>0</v>
      </c>
      <c r="AT42">
        <f>IF(AT5="","",COUNTIFS(Summary!$E$5:$E$241,AT5,Summary!$D$5:$D$241,"&gt;="&amp;$A42,Summary!$D$5:$D$241,"&lt;"&amp;$A42+7))</f>
        <v>0</v>
      </c>
      <c r="AU42">
        <f>IF(AU5="","",COUNTIFS(Summary!$E$5:$E$241,AU5,Summary!$D$5:$D$241,"&gt;="&amp;$A42,Summary!$D$5:$D$241,"&lt;"&amp;$A42+7))</f>
        <v>0</v>
      </c>
      <c r="AV42">
        <f>IF(AV5="","",COUNTIFS(Summary!$E$5:$E$241,AV5,Summary!$D$5:$D$241,"&gt;="&amp;$A42,Summary!$D$5:$D$241,"&lt;"&amp;$A42+7))</f>
        <v>0</v>
      </c>
      <c r="AW42">
        <f>IF(AW5="","",COUNTIFS(Summary!$E$5:$E$241,AW5,Summary!$D$5:$D$241,"&gt;="&amp;$A42,Summary!$D$5:$D$241,"&lt;"&amp;$A42+7))</f>
        <v>0</v>
      </c>
      <c r="AX42">
        <f>IF(AX5="","",COUNTIFS(Summary!$E$5:$E$241,AX5,Summary!$D$5:$D$241,"&gt;="&amp;$A42,Summary!$D$5:$D$241,"&lt;"&amp;$A42+7))</f>
        <v>0</v>
      </c>
      <c r="AY42">
        <f>IF(AY5="","",COUNTIFS(Summary!$E$5:$E$241,AY5,Summary!$D$5:$D$241,"&gt;="&amp;$A42,Summary!$D$5:$D$241,"&lt;"&amp;$A42+7))</f>
        <v>0</v>
      </c>
      <c r="AZ42">
        <f>IF(AZ5="","",COUNTIFS(Summary!$E$5:$E$241,AZ5,Summary!$D$5:$D$241,"&gt;="&amp;$A42,Summary!$D$5:$D$241,"&lt;"&amp;$A42+7))</f>
        <v>0</v>
      </c>
      <c r="BA42">
        <f>IF(BA5="","",COUNTIFS(Summary!$E$5:$E$241,BA5,Summary!$D$5:$D$241,"&gt;="&amp;$A42,Summary!$D$5:$D$241,"&lt;"&amp;$A42+7))</f>
        <v>0</v>
      </c>
      <c r="BB42">
        <f>IF(BB5="","",COUNTIFS(Summary!$E$5:$E$241,BB5,Summary!$D$5:$D$241,"&gt;="&amp;$A42,Summary!$D$5:$D$241,"&lt;"&amp;$A42+7))</f>
        <v>0</v>
      </c>
      <c r="BC42">
        <f>IF(BC5="","",COUNTIFS(Summary!$E$5:$E$241,BC5,Summary!$D$5:$D$241,"&gt;="&amp;$A42,Summary!$D$5:$D$241,"&lt;"&amp;$A42+7))</f>
        <v>0</v>
      </c>
      <c r="BD42">
        <f>IF(BD5="","",COUNTIFS(Summary!$E$5:$E$241,BD5,Summary!$D$5:$D$241,"&gt;="&amp;$A42,Summary!$D$5:$D$241,"&lt;"&amp;$A42+7))</f>
        <v>0</v>
      </c>
      <c r="BE42">
        <f>IF(BE5="","",COUNTIFS(Summary!$E$5:$E$241,BE5,Summary!$D$5:$D$241,"&gt;="&amp;$A42,Summary!$D$5:$D$241,"&lt;"&amp;$A42+7))</f>
        <v>0</v>
      </c>
      <c r="BF42" s="28">
        <f>IF(BF5="","",COUNTIFS(Summary!$E$5:$E$241,BF5,Summary!$D$5:$D$241,"&gt;="&amp;$A42,Summary!$D$5:$D$241,"&lt;"&amp;$A42+7))</f>
        <v>0</v>
      </c>
    </row>
    <row r="43" spans="1:58">
      <c r="A43" s="18">
        <f t="shared" si="1"/>
        <v>46342</v>
      </c>
      <c r="B43" s="2" t="str">
        <f t="shared" si="0"/>
        <v>Nov 16</v>
      </c>
      <c r="C43">
        <f>IF(C5="","",COUNTIFS(Summary!$E$5:$E$241,C5,Summary!$D$5:$D$241,"&gt;="&amp;$A43,Summary!$D$5:$D$241,"&lt;"&amp;$A43+7))</f>
        <v>0</v>
      </c>
      <c r="D43">
        <f>IF(D5="","",COUNTIFS(Summary!$E$5:$E$241,D5,Summary!$D$5:$D$241,"&gt;="&amp;$A43,Summary!$D$5:$D$241,"&lt;"&amp;$A43+7))</f>
        <v>0</v>
      </c>
      <c r="E43">
        <f>IF(E5="","",COUNTIFS(Summary!$E$5:$E$241,E5,Summary!$D$5:$D$241,"&gt;="&amp;$A43,Summary!$D$5:$D$241,"&lt;"&amp;$A43+7))</f>
        <v>0</v>
      </c>
      <c r="F43">
        <f>IF(F5="","",COUNTIFS(Summary!$E$5:$E$241,F5,Summary!$D$5:$D$241,"&gt;="&amp;$A43,Summary!$D$5:$D$241,"&lt;"&amp;$A43+7))</f>
        <v>0</v>
      </c>
      <c r="G43">
        <f>IF(G5="","",COUNTIFS(Summary!$E$5:$E$241,G5,Summary!$D$5:$D$241,"&gt;="&amp;$A43,Summary!$D$5:$D$241,"&lt;"&amp;$A43+7))</f>
        <v>0</v>
      </c>
      <c r="H43">
        <f>IF(H5="","",COUNTIFS(Summary!$E$5:$E$241,H5,Summary!$D$5:$D$241,"&gt;="&amp;$A43,Summary!$D$5:$D$241,"&lt;"&amp;$A43+7))</f>
        <v>0</v>
      </c>
      <c r="I43">
        <f>IF(I5="","",COUNTIFS(Summary!$E$5:$E$241,I5,Summary!$D$5:$D$241,"&gt;="&amp;$A43,Summary!$D$5:$D$241,"&lt;"&amp;$A43+7))</f>
        <v>0</v>
      </c>
      <c r="J43">
        <f>IF(J5="","",COUNTIFS(Summary!$E$5:$E$241,J5,Summary!$D$5:$D$241,"&gt;="&amp;$A43,Summary!$D$5:$D$241,"&lt;"&amp;$A43+7))</f>
        <v>0</v>
      </c>
      <c r="K43">
        <f>IF(K5="","",COUNTIFS(Summary!$E$5:$E$241,K5,Summary!$D$5:$D$241,"&gt;="&amp;$A43,Summary!$D$5:$D$241,"&lt;"&amp;$A43+7))</f>
        <v>0</v>
      </c>
      <c r="L43">
        <f>IF(L5="","",COUNTIFS(Summary!$E$5:$E$241,L5,Summary!$D$5:$D$241,"&gt;="&amp;$A43,Summary!$D$5:$D$241,"&lt;"&amp;$A43+7))</f>
        <v>0</v>
      </c>
      <c r="M43">
        <f>IF(M5="","",COUNTIFS(Summary!$E$5:$E$241,M5,Summary!$D$5:$D$241,"&gt;="&amp;$A43,Summary!$D$5:$D$241,"&lt;"&amp;$A43+7))</f>
        <v>0</v>
      </c>
      <c r="N43">
        <f>IF(N5="","",COUNTIFS(Summary!$E$5:$E$241,N5,Summary!$D$5:$D$241,"&gt;="&amp;$A43,Summary!$D$5:$D$241,"&lt;"&amp;$A43+7))</f>
        <v>0</v>
      </c>
      <c r="O43">
        <f>IF(O5="","",COUNTIFS(Summary!$E$5:$E$241,O5,Summary!$D$5:$D$241,"&gt;="&amp;$A43,Summary!$D$5:$D$241,"&lt;"&amp;$A43+7))</f>
        <v>0</v>
      </c>
      <c r="P43">
        <f>IF(P5="","",COUNTIFS(Summary!$E$5:$E$241,P5,Summary!$D$5:$D$241,"&gt;="&amp;$A43,Summary!$D$5:$D$241,"&lt;"&amp;$A43+7))</f>
        <v>0</v>
      </c>
      <c r="Q43">
        <f>IF(Q5="","",COUNTIFS(Summary!$E$5:$E$241,Q5,Summary!$D$5:$D$241,"&gt;="&amp;$A43,Summary!$D$5:$D$241,"&lt;"&amp;$A43+7))</f>
        <v>0</v>
      </c>
      <c r="R43">
        <f>IF(R5="","",COUNTIFS(Summary!$E$5:$E$241,R5,Summary!$D$5:$D$241,"&gt;="&amp;$A43,Summary!$D$5:$D$241,"&lt;"&amp;$A43+7))</f>
        <v>0</v>
      </c>
      <c r="S43">
        <f>IF(S5="","",COUNTIFS(Summary!$E$5:$E$241,S5,Summary!$D$5:$D$241,"&gt;="&amp;$A43,Summary!$D$5:$D$241,"&lt;"&amp;$A43+7))</f>
        <v>0</v>
      </c>
      <c r="T43">
        <f>IF(T5="","",COUNTIFS(Summary!$E$5:$E$241,T5,Summary!$D$5:$D$241,"&gt;="&amp;$A43,Summary!$D$5:$D$241,"&lt;"&amp;$A43+7))</f>
        <v>0</v>
      </c>
      <c r="U43">
        <f>IF(U5="","",COUNTIFS(Summary!$E$5:$E$241,U5,Summary!$D$5:$D$241,"&gt;="&amp;$A43,Summary!$D$5:$D$241,"&lt;"&amp;$A43+7))</f>
        <v>0</v>
      </c>
      <c r="V43">
        <f>IF(V5="","",COUNTIFS(Summary!$E$5:$E$241,V5,Summary!$D$5:$D$241,"&gt;="&amp;$A43,Summary!$D$5:$D$241,"&lt;"&amp;$A43+7))</f>
        <v>0</v>
      </c>
      <c r="W43">
        <f>IF(W5="","",COUNTIFS(Summary!$E$5:$E$241,W5,Summary!$D$5:$D$241,"&gt;="&amp;$A43,Summary!$D$5:$D$241,"&lt;"&amp;$A43+7))</f>
        <v>0</v>
      </c>
      <c r="X43">
        <f>IF(X5="","",COUNTIFS(Summary!$E$5:$E$241,X5,Summary!$D$5:$D$241,"&gt;="&amp;$A43,Summary!$D$5:$D$241,"&lt;"&amp;$A43+7))</f>
        <v>0</v>
      </c>
      <c r="Y43">
        <f>IF(Y5="","",COUNTIFS(Summary!$E$5:$E$241,Y5,Summary!$D$5:$D$241,"&gt;="&amp;$A43,Summary!$D$5:$D$241,"&lt;"&amp;$A43+7))</f>
        <v>0</v>
      </c>
      <c r="Z43">
        <f>IF(Z5="","",COUNTIFS(Summary!$E$5:$E$241,Z5,Summary!$D$5:$D$241,"&gt;="&amp;$A43,Summary!$D$5:$D$241,"&lt;"&amp;$A43+7))</f>
        <v>0</v>
      </c>
      <c r="AA43">
        <f>IF(AA5="","",COUNTIFS(Summary!$E$5:$E$241,AA5,Summary!$D$5:$D$241,"&gt;="&amp;$A43,Summary!$D$5:$D$241,"&lt;"&amp;$A43+7))</f>
        <v>0</v>
      </c>
      <c r="AB43">
        <f>IF(AB5="","",COUNTIFS(Summary!$E$5:$E$241,AB5,Summary!$D$5:$D$241,"&gt;="&amp;$A43,Summary!$D$5:$D$241,"&lt;"&amp;$A43+7))</f>
        <v>0</v>
      </c>
      <c r="AC43">
        <f>IF(AC5="","",COUNTIFS(Summary!$E$5:$E$241,AC5,Summary!$D$5:$D$241,"&gt;="&amp;$A43,Summary!$D$5:$D$241,"&lt;"&amp;$A43+7))</f>
        <v>0</v>
      </c>
      <c r="AD43">
        <f>IF(AD5="","",COUNTIFS(Summary!$E$5:$E$241,AD5,Summary!$D$5:$D$241,"&gt;="&amp;$A43,Summary!$D$5:$D$241,"&lt;"&amp;$A43+7))</f>
        <v>0</v>
      </c>
      <c r="AE43">
        <f>IF(AE5="","",COUNTIFS(Summary!$E$5:$E$241,AE5,Summary!$D$5:$D$241,"&gt;="&amp;$A43,Summary!$D$5:$D$241,"&lt;"&amp;$A43+7))</f>
        <v>0</v>
      </c>
      <c r="AF43">
        <f>IF(AF5="","",COUNTIFS(Summary!$E$5:$E$241,AF5,Summary!$D$5:$D$241,"&gt;="&amp;$A43,Summary!$D$5:$D$241,"&lt;"&amp;$A43+7))</f>
        <v>0</v>
      </c>
      <c r="AG43">
        <f>IF(AG5="","",COUNTIFS(Summary!$E$5:$E$241,AG5,Summary!$D$5:$D$241,"&gt;="&amp;$A43,Summary!$D$5:$D$241,"&lt;"&amp;$A43+7))</f>
        <v>0</v>
      </c>
      <c r="AH43">
        <f>IF(AH5="","",COUNTIFS(Summary!$E$5:$E$241,AH5,Summary!$D$5:$D$241,"&gt;="&amp;$A43,Summary!$D$5:$D$241,"&lt;"&amp;$A43+7))</f>
        <v>0</v>
      </c>
      <c r="AI43">
        <f>IF(AI5="","",COUNTIFS(Summary!$E$5:$E$241,AI5,Summary!$D$5:$D$241,"&gt;="&amp;$A43,Summary!$D$5:$D$241,"&lt;"&amp;$A43+7))</f>
        <v>0</v>
      </c>
      <c r="AJ43">
        <f>IF(AJ5="","",COUNTIFS(Summary!$E$5:$E$241,AJ5,Summary!$D$5:$D$241,"&gt;="&amp;$A43,Summary!$D$5:$D$241,"&lt;"&amp;$A43+7))</f>
        <v>0</v>
      </c>
      <c r="AK43">
        <f>IF(AK5="","",COUNTIFS(Summary!$E$5:$E$241,AK5,Summary!$D$5:$D$241,"&gt;="&amp;$A43,Summary!$D$5:$D$241,"&lt;"&amp;$A43+7))</f>
        <v>0</v>
      </c>
      <c r="AL43">
        <f>IF(AL5="","",COUNTIFS(Summary!$E$5:$E$241,AL5,Summary!$D$5:$D$241,"&gt;="&amp;$A43,Summary!$D$5:$D$241,"&lt;"&amp;$A43+7))</f>
        <v>0</v>
      </c>
      <c r="AM43">
        <f>IF(AM5="","",COUNTIFS(Summary!$E$5:$E$241,AM5,Summary!$D$5:$D$241,"&gt;="&amp;$A43,Summary!$D$5:$D$241,"&lt;"&amp;$A43+7))</f>
        <v>0</v>
      </c>
      <c r="AN43">
        <f>IF(AN5="","",COUNTIFS(Summary!$E$5:$E$241,AN5,Summary!$D$5:$D$241,"&gt;="&amp;$A43,Summary!$D$5:$D$241,"&lt;"&amp;$A43+7))</f>
        <v>0</v>
      </c>
      <c r="AO43">
        <f>IF(AO5="","",COUNTIFS(Summary!$E$5:$E$241,AO5,Summary!$D$5:$D$241,"&gt;="&amp;$A43,Summary!$D$5:$D$241,"&lt;"&amp;$A43+7))</f>
        <v>0</v>
      </c>
      <c r="AP43">
        <f>IF(AP5="","",COUNTIFS(Summary!$E$5:$E$241,AP5,Summary!$D$5:$D$241,"&gt;="&amp;$A43,Summary!$D$5:$D$241,"&lt;"&amp;$A43+7))</f>
        <v>0</v>
      </c>
      <c r="AQ43">
        <f>IF(AQ5="","",COUNTIFS(Summary!$E$5:$E$241,AQ5,Summary!$D$5:$D$241,"&gt;="&amp;$A43,Summary!$D$5:$D$241,"&lt;"&amp;$A43+7))</f>
        <v>0</v>
      </c>
      <c r="AR43">
        <f>IF(AR5="","",COUNTIFS(Summary!$E$5:$E$241,AR5,Summary!$D$5:$D$241,"&gt;="&amp;$A43,Summary!$D$5:$D$241,"&lt;"&amp;$A43+7))</f>
        <v>0</v>
      </c>
      <c r="AS43">
        <f>IF(AS5="","",COUNTIFS(Summary!$E$5:$E$241,AS5,Summary!$D$5:$D$241,"&gt;="&amp;$A43,Summary!$D$5:$D$241,"&lt;"&amp;$A43+7))</f>
        <v>0</v>
      </c>
      <c r="AT43">
        <f>IF(AT5="","",COUNTIFS(Summary!$E$5:$E$241,AT5,Summary!$D$5:$D$241,"&gt;="&amp;$A43,Summary!$D$5:$D$241,"&lt;"&amp;$A43+7))</f>
        <v>0</v>
      </c>
      <c r="AU43">
        <f>IF(AU5="","",COUNTIFS(Summary!$E$5:$E$241,AU5,Summary!$D$5:$D$241,"&gt;="&amp;$A43,Summary!$D$5:$D$241,"&lt;"&amp;$A43+7))</f>
        <v>0</v>
      </c>
      <c r="AV43">
        <f>IF(AV5="","",COUNTIFS(Summary!$E$5:$E$241,AV5,Summary!$D$5:$D$241,"&gt;="&amp;$A43,Summary!$D$5:$D$241,"&lt;"&amp;$A43+7))</f>
        <v>0</v>
      </c>
      <c r="AW43">
        <f>IF(AW5="","",COUNTIFS(Summary!$E$5:$E$241,AW5,Summary!$D$5:$D$241,"&gt;="&amp;$A43,Summary!$D$5:$D$241,"&lt;"&amp;$A43+7))</f>
        <v>0</v>
      </c>
      <c r="AX43">
        <f>IF(AX5="","",COUNTIFS(Summary!$E$5:$E$241,AX5,Summary!$D$5:$D$241,"&gt;="&amp;$A43,Summary!$D$5:$D$241,"&lt;"&amp;$A43+7))</f>
        <v>0</v>
      </c>
      <c r="AY43">
        <f>IF(AY5="","",COUNTIFS(Summary!$E$5:$E$241,AY5,Summary!$D$5:$D$241,"&gt;="&amp;$A43,Summary!$D$5:$D$241,"&lt;"&amp;$A43+7))</f>
        <v>0</v>
      </c>
      <c r="AZ43">
        <f>IF(AZ5="","",COUNTIFS(Summary!$E$5:$E$241,AZ5,Summary!$D$5:$D$241,"&gt;="&amp;$A43,Summary!$D$5:$D$241,"&lt;"&amp;$A43+7))</f>
        <v>0</v>
      </c>
      <c r="BA43">
        <f>IF(BA5="","",COUNTIFS(Summary!$E$5:$E$241,BA5,Summary!$D$5:$D$241,"&gt;="&amp;$A43,Summary!$D$5:$D$241,"&lt;"&amp;$A43+7))</f>
        <v>0</v>
      </c>
      <c r="BB43">
        <f>IF(BB5="","",COUNTIFS(Summary!$E$5:$E$241,BB5,Summary!$D$5:$D$241,"&gt;="&amp;$A43,Summary!$D$5:$D$241,"&lt;"&amp;$A43+7))</f>
        <v>0</v>
      </c>
      <c r="BC43">
        <f>IF(BC5="","",COUNTIFS(Summary!$E$5:$E$241,BC5,Summary!$D$5:$D$241,"&gt;="&amp;$A43,Summary!$D$5:$D$241,"&lt;"&amp;$A43+7))</f>
        <v>0</v>
      </c>
      <c r="BD43">
        <f>IF(BD5="","",COUNTIFS(Summary!$E$5:$E$241,BD5,Summary!$D$5:$D$241,"&gt;="&amp;$A43,Summary!$D$5:$D$241,"&lt;"&amp;$A43+7))</f>
        <v>0</v>
      </c>
      <c r="BE43">
        <f>IF(BE5="","",COUNTIFS(Summary!$E$5:$E$241,BE5,Summary!$D$5:$D$241,"&gt;="&amp;$A43,Summary!$D$5:$D$241,"&lt;"&amp;$A43+7))</f>
        <v>0</v>
      </c>
      <c r="BF43" s="28">
        <f>IF(BF5="","",COUNTIFS(Summary!$E$5:$E$241,BF5,Summary!$D$5:$D$241,"&gt;="&amp;$A43,Summary!$D$5:$D$241,"&lt;"&amp;$A43+7))</f>
        <v>0</v>
      </c>
    </row>
    <row r="44" spans="1:58">
      <c r="A44" s="18">
        <f t="shared" si="1"/>
        <v>46349</v>
      </c>
      <c r="B44" s="2" t="str">
        <f t="shared" si="0"/>
        <v>Nov 23</v>
      </c>
      <c r="C44">
        <f>IF(C5="","",COUNTIFS(Summary!$E$5:$E$241,C5,Summary!$D$5:$D$241,"&gt;="&amp;$A44,Summary!$D$5:$D$241,"&lt;"&amp;$A44+7))</f>
        <v>0</v>
      </c>
      <c r="D44">
        <f>IF(D5="","",COUNTIFS(Summary!$E$5:$E$241,D5,Summary!$D$5:$D$241,"&gt;="&amp;$A44,Summary!$D$5:$D$241,"&lt;"&amp;$A44+7))</f>
        <v>0</v>
      </c>
      <c r="E44">
        <f>IF(E5="","",COUNTIFS(Summary!$E$5:$E$241,E5,Summary!$D$5:$D$241,"&gt;="&amp;$A44,Summary!$D$5:$D$241,"&lt;"&amp;$A44+7))</f>
        <v>0</v>
      </c>
      <c r="F44">
        <f>IF(F5="","",COUNTIFS(Summary!$E$5:$E$241,F5,Summary!$D$5:$D$241,"&gt;="&amp;$A44,Summary!$D$5:$D$241,"&lt;"&amp;$A44+7))</f>
        <v>0</v>
      </c>
      <c r="G44">
        <f>IF(G5="","",COUNTIFS(Summary!$E$5:$E$241,G5,Summary!$D$5:$D$241,"&gt;="&amp;$A44,Summary!$D$5:$D$241,"&lt;"&amp;$A44+7))</f>
        <v>0</v>
      </c>
      <c r="H44">
        <f>IF(H5="","",COUNTIFS(Summary!$E$5:$E$241,H5,Summary!$D$5:$D$241,"&gt;="&amp;$A44,Summary!$D$5:$D$241,"&lt;"&amp;$A44+7))</f>
        <v>0</v>
      </c>
      <c r="I44">
        <f>IF(I5="","",COUNTIFS(Summary!$E$5:$E$241,I5,Summary!$D$5:$D$241,"&gt;="&amp;$A44,Summary!$D$5:$D$241,"&lt;"&amp;$A44+7))</f>
        <v>0</v>
      </c>
      <c r="J44">
        <f>IF(J5="","",COUNTIFS(Summary!$E$5:$E$241,J5,Summary!$D$5:$D$241,"&gt;="&amp;$A44,Summary!$D$5:$D$241,"&lt;"&amp;$A44+7))</f>
        <v>0</v>
      </c>
      <c r="K44">
        <f>IF(K5="","",COUNTIFS(Summary!$E$5:$E$241,K5,Summary!$D$5:$D$241,"&gt;="&amp;$A44,Summary!$D$5:$D$241,"&lt;"&amp;$A44+7))</f>
        <v>0</v>
      </c>
      <c r="L44">
        <f>IF(L5="","",COUNTIFS(Summary!$E$5:$E$241,L5,Summary!$D$5:$D$241,"&gt;="&amp;$A44,Summary!$D$5:$D$241,"&lt;"&amp;$A44+7))</f>
        <v>0</v>
      </c>
      <c r="M44">
        <f>IF(M5="","",COUNTIFS(Summary!$E$5:$E$241,M5,Summary!$D$5:$D$241,"&gt;="&amp;$A44,Summary!$D$5:$D$241,"&lt;"&amp;$A44+7))</f>
        <v>0</v>
      </c>
      <c r="N44">
        <f>IF(N5="","",COUNTIFS(Summary!$E$5:$E$241,N5,Summary!$D$5:$D$241,"&gt;="&amp;$A44,Summary!$D$5:$D$241,"&lt;"&amp;$A44+7))</f>
        <v>0</v>
      </c>
      <c r="O44">
        <f>IF(O5="","",COUNTIFS(Summary!$E$5:$E$241,O5,Summary!$D$5:$D$241,"&gt;="&amp;$A44,Summary!$D$5:$D$241,"&lt;"&amp;$A44+7))</f>
        <v>0</v>
      </c>
      <c r="P44">
        <f>IF(P5="","",COUNTIFS(Summary!$E$5:$E$241,P5,Summary!$D$5:$D$241,"&gt;="&amp;$A44,Summary!$D$5:$D$241,"&lt;"&amp;$A44+7))</f>
        <v>0</v>
      </c>
      <c r="Q44">
        <f>IF(Q5="","",COUNTIFS(Summary!$E$5:$E$241,Q5,Summary!$D$5:$D$241,"&gt;="&amp;$A44,Summary!$D$5:$D$241,"&lt;"&amp;$A44+7))</f>
        <v>0</v>
      </c>
      <c r="R44">
        <f>IF(R5="","",COUNTIFS(Summary!$E$5:$E$241,R5,Summary!$D$5:$D$241,"&gt;="&amp;$A44,Summary!$D$5:$D$241,"&lt;"&amp;$A44+7))</f>
        <v>0</v>
      </c>
      <c r="S44">
        <f>IF(S5="","",COUNTIFS(Summary!$E$5:$E$241,S5,Summary!$D$5:$D$241,"&gt;="&amp;$A44,Summary!$D$5:$D$241,"&lt;"&amp;$A44+7))</f>
        <v>0</v>
      </c>
      <c r="T44">
        <f>IF(T5="","",COUNTIFS(Summary!$E$5:$E$241,T5,Summary!$D$5:$D$241,"&gt;="&amp;$A44,Summary!$D$5:$D$241,"&lt;"&amp;$A44+7))</f>
        <v>0</v>
      </c>
      <c r="U44">
        <f>IF(U5="","",COUNTIFS(Summary!$E$5:$E$241,U5,Summary!$D$5:$D$241,"&gt;="&amp;$A44,Summary!$D$5:$D$241,"&lt;"&amp;$A44+7))</f>
        <v>0</v>
      </c>
      <c r="V44">
        <f>IF(V5="","",COUNTIFS(Summary!$E$5:$E$241,V5,Summary!$D$5:$D$241,"&gt;="&amp;$A44,Summary!$D$5:$D$241,"&lt;"&amp;$A44+7))</f>
        <v>0</v>
      </c>
      <c r="W44">
        <f>IF(W5="","",COUNTIFS(Summary!$E$5:$E$241,W5,Summary!$D$5:$D$241,"&gt;="&amp;$A44,Summary!$D$5:$D$241,"&lt;"&amp;$A44+7))</f>
        <v>0</v>
      </c>
      <c r="X44">
        <f>IF(X5="","",COUNTIFS(Summary!$E$5:$E$241,X5,Summary!$D$5:$D$241,"&gt;="&amp;$A44,Summary!$D$5:$D$241,"&lt;"&amp;$A44+7))</f>
        <v>0</v>
      </c>
      <c r="Y44">
        <f>IF(Y5="","",COUNTIFS(Summary!$E$5:$E$241,Y5,Summary!$D$5:$D$241,"&gt;="&amp;$A44,Summary!$D$5:$D$241,"&lt;"&amp;$A44+7))</f>
        <v>0</v>
      </c>
      <c r="Z44">
        <f>IF(Z5="","",COUNTIFS(Summary!$E$5:$E$241,Z5,Summary!$D$5:$D$241,"&gt;="&amp;$A44,Summary!$D$5:$D$241,"&lt;"&amp;$A44+7))</f>
        <v>0</v>
      </c>
      <c r="AA44">
        <f>IF(AA5="","",COUNTIFS(Summary!$E$5:$E$241,AA5,Summary!$D$5:$D$241,"&gt;="&amp;$A44,Summary!$D$5:$D$241,"&lt;"&amp;$A44+7))</f>
        <v>0</v>
      </c>
      <c r="AB44">
        <f>IF(AB5="","",COUNTIFS(Summary!$E$5:$E$241,AB5,Summary!$D$5:$D$241,"&gt;="&amp;$A44,Summary!$D$5:$D$241,"&lt;"&amp;$A44+7))</f>
        <v>0</v>
      </c>
      <c r="AC44">
        <f>IF(AC5="","",COUNTIFS(Summary!$E$5:$E$241,AC5,Summary!$D$5:$D$241,"&gt;="&amp;$A44,Summary!$D$5:$D$241,"&lt;"&amp;$A44+7))</f>
        <v>0</v>
      </c>
      <c r="AD44">
        <f>IF(AD5="","",COUNTIFS(Summary!$E$5:$E$241,AD5,Summary!$D$5:$D$241,"&gt;="&amp;$A44,Summary!$D$5:$D$241,"&lt;"&amp;$A44+7))</f>
        <v>0</v>
      </c>
      <c r="AE44">
        <f>IF(AE5="","",COUNTIFS(Summary!$E$5:$E$241,AE5,Summary!$D$5:$D$241,"&gt;="&amp;$A44,Summary!$D$5:$D$241,"&lt;"&amp;$A44+7))</f>
        <v>0</v>
      </c>
      <c r="AF44">
        <f>IF(AF5="","",COUNTIFS(Summary!$E$5:$E$241,AF5,Summary!$D$5:$D$241,"&gt;="&amp;$A44,Summary!$D$5:$D$241,"&lt;"&amp;$A44+7))</f>
        <v>0</v>
      </c>
      <c r="AG44">
        <f>IF(AG5="","",COUNTIFS(Summary!$E$5:$E$241,AG5,Summary!$D$5:$D$241,"&gt;="&amp;$A44,Summary!$D$5:$D$241,"&lt;"&amp;$A44+7))</f>
        <v>0</v>
      </c>
      <c r="AH44">
        <f>IF(AH5="","",COUNTIFS(Summary!$E$5:$E$241,AH5,Summary!$D$5:$D$241,"&gt;="&amp;$A44,Summary!$D$5:$D$241,"&lt;"&amp;$A44+7))</f>
        <v>0</v>
      </c>
      <c r="AI44">
        <f>IF(AI5="","",COUNTIFS(Summary!$E$5:$E$241,AI5,Summary!$D$5:$D$241,"&gt;="&amp;$A44,Summary!$D$5:$D$241,"&lt;"&amp;$A44+7))</f>
        <v>0</v>
      </c>
      <c r="AJ44">
        <f>IF(AJ5="","",COUNTIFS(Summary!$E$5:$E$241,AJ5,Summary!$D$5:$D$241,"&gt;="&amp;$A44,Summary!$D$5:$D$241,"&lt;"&amp;$A44+7))</f>
        <v>0</v>
      </c>
      <c r="AK44">
        <f>IF(AK5="","",COUNTIFS(Summary!$E$5:$E$241,AK5,Summary!$D$5:$D$241,"&gt;="&amp;$A44,Summary!$D$5:$D$241,"&lt;"&amp;$A44+7))</f>
        <v>0</v>
      </c>
      <c r="AL44">
        <f>IF(AL5="","",COUNTIFS(Summary!$E$5:$E$241,AL5,Summary!$D$5:$D$241,"&gt;="&amp;$A44,Summary!$D$5:$D$241,"&lt;"&amp;$A44+7))</f>
        <v>0</v>
      </c>
      <c r="AM44">
        <f>IF(AM5="","",COUNTIFS(Summary!$E$5:$E$241,AM5,Summary!$D$5:$D$241,"&gt;="&amp;$A44,Summary!$D$5:$D$241,"&lt;"&amp;$A44+7))</f>
        <v>0</v>
      </c>
      <c r="AN44">
        <f>IF(AN5="","",COUNTIFS(Summary!$E$5:$E$241,AN5,Summary!$D$5:$D$241,"&gt;="&amp;$A44,Summary!$D$5:$D$241,"&lt;"&amp;$A44+7))</f>
        <v>0</v>
      </c>
      <c r="AO44">
        <f>IF(AO5="","",COUNTIFS(Summary!$E$5:$E$241,AO5,Summary!$D$5:$D$241,"&gt;="&amp;$A44,Summary!$D$5:$D$241,"&lt;"&amp;$A44+7))</f>
        <v>0</v>
      </c>
      <c r="AP44">
        <f>IF(AP5="","",COUNTIFS(Summary!$E$5:$E$241,AP5,Summary!$D$5:$D$241,"&gt;="&amp;$A44,Summary!$D$5:$D$241,"&lt;"&amp;$A44+7))</f>
        <v>0</v>
      </c>
      <c r="AQ44">
        <f>IF(AQ5="","",COUNTIFS(Summary!$E$5:$E$241,AQ5,Summary!$D$5:$D$241,"&gt;="&amp;$A44,Summary!$D$5:$D$241,"&lt;"&amp;$A44+7))</f>
        <v>0</v>
      </c>
      <c r="AR44">
        <f>IF(AR5="","",COUNTIFS(Summary!$E$5:$E$241,AR5,Summary!$D$5:$D$241,"&gt;="&amp;$A44,Summary!$D$5:$D$241,"&lt;"&amp;$A44+7))</f>
        <v>0</v>
      </c>
      <c r="AS44">
        <f>IF(AS5="","",COUNTIFS(Summary!$E$5:$E$241,AS5,Summary!$D$5:$D$241,"&gt;="&amp;$A44,Summary!$D$5:$D$241,"&lt;"&amp;$A44+7))</f>
        <v>0</v>
      </c>
      <c r="AT44">
        <f>IF(AT5="","",COUNTIFS(Summary!$E$5:$E$241,AT5,Summary!$D$5:$D$241,"&gt;="&amp;$A44,Summary!$D$5:$D$241,"&lt;"&amp;$A44+7))</f>
        <v>0</v>
      </c>
      <c r="AU44">
        <f>IF(AU5="","",COUNTIFS(Summary!$E$5:$E$241,AU5,Summary!$D$5:$D$241,"&gt;="&amp;$A44,Summary!$D$5:$D$241,"&lt;"&amp;$A44+7))</f>
        <v>0</v>
      </c>
      <c r="AV44">
        <f>IF(AV5="","",COUNTIFS(Summary!$E$5:$E$241,AV5,Summary!$D$5:$D$241,"&gt;="&amp;$A44,Summary!$D$5:$D$241,"&lt;"&amp;$A44+7))</f>
        <v>0</v>
      </c>
      <c r="AW44">
        <f>IF(AW5="","",COUNTIFS(Summary!$E$5:$E$241,AW5,Summary!$D$5:$D$241,"&gt;="&amp;$A44,Summary!$D$5:$D$241,"&lt;"&amp;$A44+7))</f>
        <v>0</v>
      </c>
      <c r="AX44">
        <f>IF(AX5="","",COUNTIFS(Summary!$E$5:$E$241,AX5,Summary!$D$5:$D$241,"&gt;="&amp;$A44,Summary!$D$5:$D$241,"&lt;"&amp;$A44+7))</f>
        <v>0</v>
      </c>
      <c r="AY44">
        <f>IF(AY5="","",COUNTIFS(Summary!$E$5:$E$241,AY5,Summary!$D$5:$D$241,"&gt;="&amp;$A44,Summary!$D$5:$D$241,"&lt;"&amp;$A44+7))</f>
        <v>0</v>
      </c>
      <c r="AZ44">
        <f>IF(AZ5="","",COUNTIFS(Summary!$E$5:$E$241,AZ5,Summary!$D$5:$D$241,"&gt;="&amp;$A44,Summary!$D$5:$D$241,"&lt;"&amp;$A44+7))</f>
        <v>0</v>
      </c>
      <c r="BA44">
        <f>IF(BA5="","",COUNTIFS(Summary!$E$5:$E$241,BA5,Summary!$D$5:$D$241,"&gt;="&amp;$A44,Summary!$D$5:$D$241,"&lt;"&amp;$A44+7))</f>
        <v>0</v>
      </c>
      <c r="BB44">
        <f>IF(BB5="","",COUNTIFS(Summary!$E$5:$E$241,BB5,Summary!$D$5:$D$241,"&gt;="&amp;$A44,Summary!$D$5:$D$241,"&lt;"&amp;$A44+7))</f>
        <v>0</v>
      </c>
      <c r="BC44">
        <f>IF(BC5="","",COUNTIFS(Summary!$E$5:$E$241,BC5,Summary!$D$5:$D$241,"&gt;="&amp;$A44,Summary!$D$5:$D$241,"&lt;"&amp;$A44+7))</f>
        <v>0</v>
      </c>
      <c r="BD44">
        <f>IF(BD5="","",COUNTIFS(Summary!$E$5:$E$241,BD5,Summary!$D$5:$D$241,"&gt;="&amp;$A44,Summary!$D$5:$D$241,"&lt;"&amp;$A44+7))</f>
        <v>0</v>
      </c>
      <c r="BE44">
        <f>IF(BE5="","",COUNTIFS(Summary!$E$5:$E$241,BE5,Summary!$D$5:$D$241,"&gt;="&amp;$A44,Summary!$D$5:$D$241,"&lt;"&amp;$A44+7))</f>
        <v>0</v>
      </c>
      <c r="BF44" s="28">
        <f>IF(BF5="","",COUNTIFS(Summary!$E$5:$E$241,BF5,Summary!$D$5:$D$241,"&gt;="&amp;$A44,Summary!$D$5:$D$241,"&lt;"&amp;$A44+7))</f>
        <v>0</v>
      </c>
    </row>
    <row r="45" spans="1:58">
      <c r="A45" s="18">
        <f t="shared" si="1"/>
        <v>46356</v>
      </c>
      <c r="B45" s="2" t="str">
        <f t="shared" si="0"/>
        <v>Nov 30</v>
      </c>
      <c r="C45">
        <f>IF(C5="","",COUNTIFS(Summary!$E$5:$E$241,C5,Summary!$D$5:$D$241,"&gt;="&amp;$A45,Summary!$D$5:$D$241,"&lt;"&amp;$A45+7))</f>
        <v>0</v>
      </c>
      <c r="D45">
        <f>IF(D5="","",COUNTIFS(Summary!$E$5:$E$241,D5,Summary!$D$5:$D$241,"&gt;="&amp;$A45,Summary!$D$5:$D$241,"&lt;"&amp;$A45+7))</f>
        <v>0</v>
      </c>
      <c r="E45">
        <f>IF(E5="","",COUNTIFS(Summary!$E$5:$E$241,E5,Summary!$D$5:$D$241,"&gt;="&amp;$A45,Summary!$D$5:$D$241,"&lt;"&amp;$A45+7))</f>
        <v>0</v>
      </c>
      <c r="F45">
        <f>IF(F5="","",COUNTIFS(Summary!$E$5:$E$241,F5,Summary!$D$5:$D$241,"&gt;="&amp;$A45,Summary!$D$5:$D$241,"&lt;"&amp;$A45+7))</f>
        <v>0</v>
      </c>
      <c r="G45">
        <f>IF(G5="","",COUNTIFS(Summary!$E$5:$E$241,G5,Summary!$D$5:$D$241,"&gt;="&amp;$A45,Summary!$D$5:$D$241,"&lt;"&amp;$A45+7))</f>
        <v>0</v>
      </c>
      <c r="H45">
        <f>IF(H5="","",COUNTIFS(Summary!$E$5:$E$241,H5,Summary!$D$5:$D$241,"&gt;="&amp;$A45,Summary!$D$5:$D$241,"&lt;"&amp;$A45+7))</f>
        <v>0</v>
      </c>
      <c r="I45">
        <f>IF(I5="","",COUNTIFS(Summary!$E$5:$E$241,I5,Summary!$D$5:$D$241,"&gt;="&amp;$A45,Summary!$D$5:$D$241,"&lt;"&amp;$A45+7))</f>
        <v>0</v>
      </c>
      <c r="J45">
        <f>IF(J5="","",COUNTIFS(Summary!$E$5:$E$241,J5,Summary!$D$5:$D$241,"&gt;="&amp;$A45,Summary!$D$5:$D$241,"&lt;"&amp;$A45+7))</f>
        <v>0</v>
      </c>
      <c r="K45">
        <f>IF(K5="","",COUNTIFS(Summary!$E$5:$E$241,K5,Summary!$D$5:$D$241,"&gt;="&amp;$A45,Summary!$D$5:$D$241,"&lt;"&amp;$A45+7))</f>
        <v>0</v>
      </c>
      <c r="L45">
        <f>IF(L5="","",COUNTIFS(Summary!$E$5:$E$241,L5,Summary!$D$5:$D$241,"&gt;="&amp;$A45,Summary!$D$5:$D$241,"&lt;"&amp;$A45+7))</f>
        <v>0</v>
      </c>
      <c r="M45">
        <f>IF(M5="","",COUNTIFS(Summary!$E$5:$E$241,M5,Summary!$D$5:$D$241,"&gt;="&amp;$A45,Summary!$D$5:$D$241,"&lt;"&amp;$A45+7))</f>
        <v>0</v>
      </c>
      <c r="N45">
        <f>IF(N5="","",COUNTIFS(Summary!$E$5:$E$241,N5,Summary!$D$5:$D$241,"&gt;="&amp;$A45,Summary!$D$5:$D$241,"&lt;"&amp;$A45+7))</f>
        <v>0</v>
      </c>
      <c r="O45">
        <f>IF(O5="","",COUNTIFS(Summary!$E$5:$E$241,O5,Summary!$D$5:$D$241,"&gt;="&amp;$A45,Summary!$D$5:$D$241,"&lt;"&amp;$A45+7))</f>
        <v>0</v>
      </c>
      <c r="P45">
        <f>IF(P5="","",COUNTIFS(Summary!$E$5:$E$241,P5,Summary!$D$5:$D$241,"&gt;="&amp;$A45,Summary!$D$5:$D$241,"&lt;"&amp;$A45+7))</f>
        <v>0</v>
      </c>
      <c r="Q45">
        <f>IF(Q5="","",COUNTIFS(Summary!$E$5:$E$241,Q5,Summary!$D$5:$D$241,"&gt;="&amp;$A45,Summary!$D$5:$D$241,"&lt;"&amp;$A45+7))</f>
        <v>0</v>
      </c>
      <c r="R45">
        <f>IF(R5="","",COUNTIFS(Summary!$E$5:$E$241,R5,Summary!$D$5:$D$241,"&gt;="&amp;$A45,Summary!$D$5:$D$241,"&lt;"&amp;$A45+7))</f>
        <v>0</v>
      </c>
      <c r="S45">
        <f>IF(S5="","",COUNTIFS(Summary!$E$5:$E$241,S5,Summary!$D$5:$D$241,"&gt;="&amp;$A45,Summary!$D$5:$D$241,"&lt;"&amp;$A45+7))</f>
        <v>0</v>
      </c>
      <c r="T45">
        <f>IF(T5="","",COUNTIFS(Summary!$E$5:$E$241,T5,Summary!$D$5:$D$241,"&gt;="&amp;$A45,Summary!$D$5:$D$241,"&lt;"&amp;$A45+7))</f>
        <v>0</v>
      </c>
      <c r="U45">
        <f>IF(U5="","",COUNTIFS(Summary!$E$5:$E$241,U5,Summary!$D$5:$D$241,"&gt;="&amp;$A45,Summary!$D$5:$D$241,"&lt;"&amp;$A45+7))</f>
        <v>0</v>
      </c>
      <c r="V45">
        <f>IF(V5="","",COUNTIFS(Summary!$E$5:$E$241,V5,Summary!$D$5:$D$241,"&gt;="&amp;$A45,Summary!$D$5:$D$241,"&lt;"&amp;$A45+7))</f>
        <v>0</v>
      </c>
      <c r="W45">
        <f>IF(W5="","",COUNTIFS(Summary!$E$5:$E$241,W5,Summary!$D$5:$D$241,"&gt;="&amp;$A45,Summary!$D$5:$D$241,"&lt;"&amp;$A45+7))</f>
        <v>0</v>
      </c>
      <c r="X45">
        <f>IF(X5="","",COUNTIFS(Summary!$E$5:$E$241,X5,Summary!$D$5:$D$241,"&gt;="&amp;$A45,Summary!$D$5:$D$241,"&lt;"&amp;$A45+7))</f>
        <v>0</v>
      </c>
      <c r="Y45">
        <f>IF(Y5="","",COUNTIFS(Summary!$E$5:$E$241,Y5,Summary!$D$5:$D$241,"&gt;="&amp;$A45,Summary!$D$5:$D$241,"&lt;"&amp;$A45+7))</f>
        <v>0</v>
      </c>
      <c r="Z45">
        <f>IF(Z5="","",COUNTIFS(Summary!$E$5:$E$241,Z5,Summary!$D$5:$D$241,"&gt;="&amp;$A45,Summary!$D$5:$D$241,"&lt;"&amp;$A45+7))</f>
        <v>0</v>
      </c>
      <c r="AA45">
        <f>IF(AA5="","",COUNTIFS(Summary!$E$5:$E$241,AA5,Summary!$D$5:$D$241,"&gt;="&amp;$A45,Summary!$D$5:$D$241,"&lt;"&amp;$A45+7))</f>
        <v>0</v>
      </c>
      <c r="AB45">
        <f>IF(AB5="","",COUNTIFS(Summary!$E$5:$E$241,AB5,Summary!$D$5:$D$241,"&gt;="&amp;$A45,Summary!$D$5:$D$241,"&lt;"&amp;$A45+7))</f>
        <v>0</v>
      </c>
      <c r="AC45">
        <f>IF(AC5="","",COUNTIFS(Summary!$E$5:$E$241,AC5,Summary!$D$5:$D$241,"&gt;="&amp;$A45,Summary!$D$5:$D$241,"&lt;"&amp;$A45+7))</f>
        <v>0</v>
      </c>
      <c r="AD45">
        <f>IF(AD5="","",COUNTIFS(Summary!$E$5:$E$241,AD5,Summary!$D$5:$D$241,"&gt;="&amp;$A45,Summary!$D$5:$D$241,"&lt;"&amp;$A45+7))</f>
        <v>0</v>
      </c>
      <c r="AE45">
        <f>IF(AE5="","",COUNTIFS(Summary!$E$5:$E$241,AE5,Summary!$D$5:$D$241,"&gt;="&amp;$A45,Summary!$D$5:$D$241,"&lt;"&amp;$A45+7))</f>
        <v>0</v>
      </c>
      <c r="AF45">
        <f>IF(AF5="","",COUNTIFS(Summary!$E$5:$E$241,AF5,Summary!$D$5:$D$241,"&gt;="&amp;$A45,Summary!$D$5:$D$241,"&lt;"&amp;$A45+7))</f>
        <v>0</v>
      </c>
      <c r="AG45">
        <f>IF(AG5="","",COUNTIFS(Summary!$E$5:$E$241,AG5,Summary!$D$5:$D$241,"&gt;="&amp;$A45,Summary!$D$5:$D$241,"&lt;"&amp;$A45+7))</f>
        <v>0</v>
      </c>
      <c r="AH45">
        <f>IF(AH5="","",COUNTIFS(Summary!$E$5:$E$241,AH5,Summary!$D$5:$D$241,"&gt;="&amp;$A45,Summary!$D$5:$D$241,"&lt;"&amp;$A45+7))</f>
        <v>0</v>
      </c>
      <c r="AI45">
        <f>IF(AI5="","",COUNTIFS(Summary!$E$5:$E$241,AI5,Summary!$D$5:$D$241,"&gt;="&amp;$A45,Summary!$D$5:$D$241,"&lt;"&amp;$A45+7))</f>
        <v>0</v>
      </c>
      <c r="AJ45">
        <f>IF(AJ5="","",COUNTIFS(Summary!$E$5:$E$241,AJ5,Summary!$D$5:$D$241,"&gt;="&amp;$A45,Summary!$D$5:$D$241,"&lt;"&amp;$A45+7))</f>
        <v>0</v>
      </c>
      <c r="AK45">
        <f>IF(AK5="","",COUNTIFS(Summary!$E$5:$E$241,AK5,Summary!$D$5:$D$241,"&gt;="&amp;$A45,Summary!$D$5:$D$241,"&lt;"&amp;$A45+7))</f>
        <v>0</v>
      </c>
      <c r="AL45">
        <f>IF(AL5="","",COUNTIFS(Summary!$E$5:$E$241,AL5,Summary!$D$5:$D$241,"&gt;="&amp;$A45,Summary!$D$5:$D$241,"&lt;"&amp;$A45+7))</f>
        <v>0</v>
      </c>
      <c r="AM45">
        <f>IF(AM5="","",COUNTIFS(Summary!$E$5:$E$241,AM5,Summary!$D$5:$D$241,"&gt;="&amp;$A45,Summary!$D$5:$D$241,"&lt;"&amp;$A45+7))</f>
        <v>0</v>
      </c>
      <c r="AN45">
        <f>IF(AN5="","",COUNTIFS(Summary!$E$5:$E$241,AN5,Summary!$D$5:$D$241,"&gt;="&amp;$A45,Summary!$D$5:$D$241,"&lt;"&amp;$A45+7))</f>
        <v>0</v>
      </c>
      <c r="AO45">
        <f>IF(AO5="","",COUNTIFS(Summary!$E$5:$E$241,AO5,Summary!$D$5:$D$241,"&gt;="&amp;$A45,Summary!$D$5:$D$241,"&lt;"&amp;$A45+7))</f>
        <v>0</v>
      </c>
      <c r="AP45">
        <f>IF(AP5="","",COUNTIFS(Summary!$E$5:$E$241,AP5,Summary!$D$5:$D$241,"&gt;="&amp;$A45,Summary!$D$5:$D$241,"&lt;"&amp;$A45+7))</f>
        <v>0</v>
      </c>
      <c r="AQ45">
        <f>IF(AQ5="","",COUNTIFS(Summary!$E$5:$E$241,AQ5,Summary!$D$5:$D$241,"&gt;="&amp;$A45,Summary!$D$5:$D$241,"&lt;"&amp;$A45+7))</f>
        <v>0</v>
      </c>
      <c r="AR45">
        <f>IF(AR5="","",COUNTIFS(Summary!$E$5:$E$241,AR5,Summary!$D$5:$D$241,"&gt;="&amp;$A45,Summary!$D$5:$D$241,"&lt;"&amp;$A45+7))</f>
        <v>0</v>
      </c>
      <c r="AS45">
        <f>IF(AS5="","",COUNTIFS(Summary!$E$5:$E$241,AS5,Summary!$D$5:$D$241,"&gt;="&amp;$A45,Summary!$D$5:$D$241,"&lt;"&amp;$A45+7))</f>
        <v>0</v>
      </c>
      <c r="AT45">
        <f>IF(AT5="","",COUNTIFS(Summary!$E$5:$E$241,AT5,Summary!$D$5:$D$241,"&gt;="&amp;$A45,Summary!$D$5:$D$241,"&lt;"&amp;$A45+7))</f>
        <v>0</v>
      </c>
      <c r="AU45">
        <f>IF(AU5="","",COUNTIFS(Summary!$E$5:$E$241,AU5,Summary!$D$5:$D$241,"&gt;="&amp;$A45,Summary!$D$5:$D$241,"&lt;"&amp;$A45+7))</f>
        <v>0</v>
      </c>
      <c r="AV45">
        <f>IF(AV5="","",COUNTIFS(Summary!$E$5:$E$241,AV5,Summary!$D$5:$D$241,"&gt;="&amp;$A45,Summary!$D$5:$D$241,"&lt;"&amp;$A45+7))</f>
        <v>0</v>
      </c>
      <c r="AW45">
        <f>IF(AW5="","",COUNTIFS(Summary!$E$5:$E$241,AW5,Summary!$D$5:$D$241,"&gt;="&amp;$A45,Summary!$D$5:$D$241,"&lt;"&amp;$A45+7))</f>
        <v>0</v>
      </c>
      <c r="AX45">
        <f>IF(AX5="","",COUNTIFS(Summary!$E$5:$E$241,AX5,Summary!$D$5:$D$241,"&gt;="&amp;$A45,Summary!$D$5:$D$241,"&lt;"&amp;$A45+7))</f>
        <v>0</v>
      </c>
      <c r="AY45">
        <f>IF(AY5="","",COUNTIFS(Summary!$E$5:$E$241,AY5,Summary!$D$5:$D$241,"&gt;="&amp;$A45,Summary!$D$5:$D$241,"&lt;"&amp;$A45+7))</f>
        <v>0</v>
      </c>
      <c r="AZ45">
        <f>IF(AZ5="","",COUNTIFS(Summary!$E$5:$E$241,AZ5,Summary!$D$5:$D$241,"&gt;="&amp;$A45,Summary!$D$5:$D$241,"&lt;"&amp;$A45+7))</f>
        <v>0</v>
      </c>
      <c r="BA45">
        <f>IF(BA5="","",COUNTIFS(Summary!$E$5:$E$241,BA5,Summary!$D$5:$D$241,"&gt;="&amp;$A45,Summary!$D$5:$D$241,"&lt;"&amp;$A45+7))</f>
        <v>0</v>
      </c>
      <c r="BB45">
        <f>IF(BB5="","",COUNTIFS(Summary!$E$5:$E$241,BB5,Summary!$D$5:$D$241,"&gt;="&amp;$A45,Summary!$D$5:$D$241,"&lt;"&amp;$A45+7))</f>
        <v>0</v>
      </c>
      <c r="BC45">
        <f>IF(BC5="","",COUNTIFS(Summary!$E$5:$E$241,BC5,Summary!$D$5:$D$241,"&gt;="&amp;$A45,Summary!$D$5:$D$241,"&lt;"&amp;$A45+7))</f>
        <v>0</v>
      </c>
      <c r="BD45">
        <f>IF(BD5="","",COUNTIFS(Summary!$E$5:$E$241,BD5,Summary!$D$5:$D$241,"&gt;="&amp;$A45,Summary!$D$5:$D$241,"&lt;"&amp;$A45+7))</f>
        <v>0</v>
      </c>
      <c r="BE45">
        <f>IF(BE5="","",COUNTIFS(Summary!$E$5:$E$241,BE5,Summary!$D$5:$D$241,"&gt;="&amp;$A45,Summary!$D$5:$D$241,"&lt;"&amp;$A45+7))</f>
        <v>0</v>
      </c>
      <c r="BF45" s="28">
        <f>IF(BF5="","",COUNTIFS(Summary!$E$5:$E$241,BF5,Summary!$D$5:$D$241,"&gt;="&amp;$A45,Summary!$D$5:$D$241,"&lt;"&amp;$A45+7))</f>
        <v>0</v>
      </c>
    </row>
    <row r="46" spans="1:58">
      <c r="A46" s="18">
        <f t="shared" si="1"/>
        <v>46363</v>
      </c>
      <c r="B46" s="2" t="str">
        <f t="shared" si="0"/>
        <v>Dec 7</v>
      </c>
      <c r="C46">
        <f>IF(C5="","",COUNTIFS(Summary!$E$5:$E$241,C5,Summary!$D$5:$D$241,"&gt;="&amp;$A46,Summary!$D$5:$D$241,"&lt;"&amp;$A46+7))</f>
        <v>0</v>
      </c>
      <c r="D46">
        <f>IF(D5="","",COUNTIFS(Summary!$E$5:$E$241,D5,Summary!$D$5:$D$241,"&gt;="&amp;$A46,Summary!$D$5:$D$241,"&lt;"&amp;$A46+7))</f>
        <v>0</v>
      </c>
      <c r="E46">
        <f>IF(E5="","",COUNTIFS(Summary!$E$5:$E$241,E5,Summary!$D$5:$D$241,"&gt;="&amp;$A46,Summary!$D$5:$D$241,"&lt;"&amp;$A46+7))</f>
        <v>0</v>
      </c>
      <c r="F46">
        <f>IF(F5="","",COUNTIFS(Summary!$E$5:$E$241,F5,Summary!$D$5:$D$241,"&gt;="&amp;$A46,Summary!$D$5:$D$241,"&lt;"&amp;$A46+7))</f>
        <v>0</v>
      </c>
      <c r="G46">
        <f>IF(G5="","",COUNTIFS(Summary!$E$5:$E$241,G5,Summary!$D$5:$D$241,"&gt;="&amp;$A46,Summary!$D$5:$D$241,"&lt;"&amp;$A46+7))</f>
        <v>0</v>
      </c>
      <c r="H46">
        <f>IF(H5="","",COUNTIFS(Summary!$E$5:$E$241,H5,Summary!$D$5:$D$241,"&gt;="&amp;$A46,Summary!$D$5:$D$241,"&lt;"&amp;$A46+7))</f>
        <v>0</v>
      </c>
      <c r="I46">
        <f>IF(I5="","",COUNTIFS(Summary!$E$5:$E$241,I5,Summary!$D$5:$D$241,"&gt;="&amp;$A46,Summary!$D$5:$D$241,"&lt;"&amp;$A46+7))</f>
        <v>0</v>
      </c>
      <c r="J46">
        <f>IF(J5="","",COUNTIFS(Summary!$E$5:$E$241,J5,Summary!$D$5:$D$241,"&gt;="&amp;$A46,Summary!$D$5:$D$241,"&lt;"&amp;$A46+7))</f>
        <v>0</v>
      </c>
      <c r="K46">
        <f>IF(K5="","",COUNTIFS(Summary!$E$5:$E$241,K5,Summary!$D$5:$D$241,"&gt;="&amp;$A46,Summary!$D$5:$D$241,"&lt;"&amp;$A46+7))</f>
        <v>0</v>
      </c>
      <c r="L46">
        <f>IF(L5="","",COUNTIFS(Summary!$E$5:$E$241,L5,Summary!$D$5:$D$241,"&gt;="&amp;$A46,Summary!$D$5:$D$241,"&lt;"&amp;$A46+7))</f>
        <v>0</v>
      </c>
      <c r="M46">
        <f>IF(M5="","",COUNTIFS(Summary!$E$5:$E$241,M5,Summary!$D$5:$D$241,"&gt;="&amp;$A46,Summary!$D$5:$D$241,"&lt;"&amp;$A46+7))</f>
        <v>0</v>
      </c>
      <c r="N46">
        <f>IF(N5="","",COUNTIFS(Summary!$E$5:$E$241,N5,Summary!$D$5:$D$241,"&gt;="&amp;$A46,Summary!$D$5:$D$241,"&lt;"&amp;$A46+7))</f>
        <v>0</v>
      </c>
      <c r="O46">
        <f>IF(O5="","",COUNTIFS(Summary!$E$5:$E$241,O5,Summary!$D$5:$D$241,"&gt;="&amp;$A46,Summary!$D$5:$D$241,"&lt;"&amp;$A46+7))</f>
        <v>0</v>
      </c>
      <c r="P46">
        <f>IF(P5="","",COUNTIFS(Summary!$E$5:$E$241,P5,Summary!$D$5:$D$241,"&gt;="&amp;$A46,Summary!$D$5:$D$241,"&lt;"&amp;$A46+7))</f>
        <v>0</v>
      </c>
      <c r="Q46">
        <f>IF(Q5="","",COUNTIFS(Summary!$E$5:$E$241,Q5,Summary!$D$5:$D$241,"&gt;="&amp;$A46,Summary!$D$5:$D$241,"&lt;"&amp;$A46+7))</f>
        <v>0</v>
      </c>
      <c r="R46">
        <f>IF(R5="","",COUNTIFS(Summary!$E$5:$E$241,R5,Summary!$D$5:$D$241,"&gt;="&amp;$A46,Summary!$D$5:$D$241,"&lt;"&amp;$A46+7))</f>
        <v>0</v>
      </c>
      <c r="S46">
        <f>IF(S5="","",COUNTIFS(Summary!$E$5:$E$241,S5,Summary!$D$5:$D$241,"&gt;="&amp;$A46,Summary!$D$5:$D$241,"&lt;"&amp;$A46+7))</f>
        <v>0</v>
      </c>
      <c r="T46">
        <f>IF(T5="","",COUNTIFS(Summary!$E$5:$E$241,T5,Summary!$D$5:$D$241,"&gt;="&amp;$A46,Summary!$D$5:$D$241,"&lt;"&amp;$A46+7))</f>
        <v>0</v>
      </c>
      <c r="U46">
        <f>IF(U5="","",COUNTIFS(Summary!$E$5:$E$241,U5,Summary!$D$5:$D$241,"&gt;="&amp;$A46,Summary!$D$5:$D$241,"&lt;"&amp;$A46+7))</f>
        <v>0</v>
      </c>
      <c r="V46">
        <f>IF(V5="","",COUNTIFS(Summary!$E$5:$E$241,V5,Summary!$D$5:$D$241,"&gt;="&amp;$A46,Summary!$D$5:$D$241,"&lt;"&amp;$A46+7))</f>
        <v>0</v>
      </c>
      <c r="W46">
        <f>IF(W5="","",COUNTIFS(Summary!$E$5:$E$241,W5,Summary!$D$5:$D$241,"&gt;="&amp;$A46,Summary!$D$5:$D$241,"&lt;"&amp;$A46+7))</f>
        <v>0</v>
      </c>
      <c r="X46">
        <f>IF(X5="","",COUNTIFS(Summary!$E$5:$E$241,X5,Summary!$D$5:$D$241,"&gt;="&amp;$A46,Summary!$D$5:$D$241,"&lt;"&amp;$A46+7))</f>
        <v>0</v>
      </c>
      <c r="Y46">
        <f>IF(Y5="","",COUNTIFS(Summary!$E$5:$E$241,Y5,Summary!$D$5:$D$241,"&gt;="&amp;$A46,Summary!$D$5:$D$241,"&lt;"&amp;$A46+7))</f>
        <v>0</v>
      </c>
      <c r="Z46">
        <f>IF(Z5="","",COUNTIFS(Summary!$E$5:$E$241,Z5,Summary!$D$5:$D$241,"&gt;="&amp;$A46,Summary!$D$5:$D$241,"&lt;"&amp;$A46+7))</f>
        <v>0</v>
      </c>
      <c r="AA46">
        <f>IF(AA5="","",COUNTIFS(Summary!$E$5:$E$241,AA5,Summary!$D$5:$D$241,"&gt;="&amp;$A46,Summary!$D$5:$D$241,"&lt;"&amp;$A46+7))</f>
        <v>0</v>
      </c>
      <c r="AB46">
        <f>IF(AB5="","",COUNTIFS(Summary!$E$5:$E$241,AB5,Summary!$D$5:$D$241,"&gt;="&amp;$A46,Summary!$D$5:$D$241,"&lt;"&amp;$A46+7))</f>
        <v>0</v>
      </c>
      <c r="AC46">
        <f>IF(AC5="","",COUNTIFS(Summary!$E$5:$E$241,AC5,Summary!$D$5:$D$241,"&gt;="&amp;$A46,Summary!$D$5:$D$241,"&lt;"&amp;$A46+7))</f>
        <v>0</v>
      </c>
      <c r="AD46">
        <f>IF(AD5="","",COUNTIFS(Summary!$E$5:$E$241,AD5,Summary!$D$5:$D$241,"&gt;="&amp;$A46,Summary!$D$5:$D$241,"&lt;"&amp;$A46+7))</f>
        <v>0</v>
      </c>
      <c r="AE46">
        <f>IF(AE5="","",COUNTIFS(Summary!$E$5:$E$241,AE5,Summary!$D$5:$D$241,"&gt;="&amp;$A46,Summary!$D$5:$D$241,"&lt;"&amp;$A46+7))</f>
        <v>0</v>
      </c>
      <c r="AF46">
        <f>IF(AF5="","",COUNTIFS(Summary!$E$5:$E$241,AF5,Summary!$D$5:$D$241,"&gt;="&amp;$A46,Summary!$D$5:$D$241,"&lt;"&amp;$A46+7))</f>
        <v>0</v>
      </c>
      <c r="AG46">
        <f>IF(AG5="","",COUNTIFS(Summary!$E$5:$E$241,AG5,Summary!$D$5:$D$241,"&gt;="&amp;$A46,Summary!$D$5:$D$241,"&lt;"&amp;$A46+7))</f>
        <v>0</v>
      </c>
      <c r="AH46">
        <f>IF(AH5="","",COUNTIFS(Summary!$E$5:$E$241,AH5,Summary!$D$5:$D$241,"&gt;="&amp;$A46,Summary!$D$5:$D$241,"&lt;"&amp;$A46+7))</f>
        <v>0</v>
      </c>
      <c r="AI46">
        <f>IF(AI5="","",COUNTIFS(Summary!$E$5:$E$241,AI5,Summary!$D$5:$D$241,"&gt;="&amp;$A46,Summary!$D$5:$D$241,"&lt;"&amp;$A46+7))</f>
        <v>0</v>
      </c>
      <c r="AJ46">
        <f>IF(AJ5="","",COUNTIFS(Summary!$E$5:$E$241,AJ5,Summary!$D$5:$D$241,"&gt;="&amp;$A46,Summary!$D$5:$D$241,"&lt;"&amp;$A46+7))</f>
        <v>0</v>
      </c>
      <c r="AK46">
        <f>IF(AK5="","",COUNTIFS(Summary!$E$5:$E$241,AK5,Summary!$D$5:$D$241,"&gt;="&amp;$A46,Summary!$D$5:$D$241,"&lt;"&amp;$A46+7))</f>
        <v>0</v>
      </c>
      <c r="AL46">
        <f>IF(AL5="","",COUNTIFS(Summary!$E$5:$E$241,AL5,Summary!$D$5:$D$241,"&gt;="&amp;$A46,Summary!$D$5:$D$241,"&lt;"&amp;$A46+7))</f>
        <v>0</v>
      </c>
      <c r="AM46">
        <f>IF(AM5="","",COUNTIFS(Summary!$E$5:$E$241,AM5,Summary!$D$5:$D$241,"&gt;="&amp;$A46,Summary!$D$5:$D$241,"&lt;"&amp;$A46+7))</f>
        <v>0</v>
      </c>
      <c r="AN46">
        <f>IF(AN5="","",COUNTIFS(Summary!$E$5:$E$241,AN5,Summary!$D$5:$D$241,"&gt;="&amp;$A46,Summary!$D$5:$D$241,"&lt;"&amp;$A46+7))</f>
        <v>0</v>
      </c>
      <c r="AO46">
        <f>IF(AO5="","",COUNTIFS(Summary!$E$5:$E$241,AO5,Summary!$D$5:$D$241,"&gt;="&amp;$A46,Summary!$D$5:$D$241,"&lt;"&amp;$A46+7))</f>
        <v>0</v>
      </c>
      <c r="AP46">
        <f>IF(AP5="","",COUNTIFS(Summary!$E$5:$E$241,AP5,Summary!$D$5:$D$241,"&gt;="&amp;$A46,Summary!$D$5:$D$241,"&lt;"&amp;$A46+7))</f>
        <v>0</v>
      </c>
      <c r="AQ46">
        <f>IF(AQ5="","",COUNTIFS(Summary!$E$5:$E$241,AQ5,Summary!$D$5:$D$241,"&gt;="&amp;$A46,Summary!$D$5:$D$241,"&lt;"&amp;$A46+7))</f>
        <v>0</v>
      </c>
      <c r="AR46">
        <f>IF(AR5="","",COUNTIFS(Summary!$E$5:$E$241,AR5,Summary!$D$5:$D$241,"&gt;="&amp;$A46,Summary!$D$5:$D$241,"&lt;"&amp;$A46+7))</f>
        <v>0</v>
      </c>
      <c r="AS46">
        <f>IF(AS5="","",COUNTIFS(Summary!$E$5:$E$241,AS5,Summary!$D$5:$D$241,"&gt;="&amp;$A46,Summary!$D$5:$D$241,"&lt;"&amp;$A46+7))</f>
        <v>0</v>
      </c>
      <c r="AT46">
        <f>IF(AT5="","",COUNTIFS(Summary!$E$5:$E$241,AT5,Summary!$D$5:$D$241,"&gt;="&amp;$A46,Summary!$D$5:$D$241,"&lt;"&amp;$A46+7))</f>
        <v>0</v>
      </c>
      <c r="AU46">
        <f>IF(AU5="","",COUNTIFS(Summary!$E$5:$E$241,AU5,Summary!$D$5:$D$241,"&gt;="&amp;$A46,Summary!$D$5:$D$241,"&lt;"&amp;$A46+7))</f>
        <v>0</v>
      </c>
      <c r="AV46">
        <f>IF(AV5="","",COUNTIFS(Summary!$E$5:$E$241,AV5,Summary!$D$5:$D$241,"&gt;="&amp;$A46,Summary!$D$5:$D$241,"&lt;"&amp;$A46+7))</f>
        <v>0</v>
      </c>
      <c r="AW46">
        <f>IF(AW5="","",COUNTIFS(Summary!$E$5:$E$241,AW5,Summary!$D$5:$D$241,"&gt;="&amp;$A46,Summary!$D$5:$D$241,"&lt;"&amp;$A46+7))</f>
        <v>0</v>
      </c>
      <c r="AX46">
        <f>IF(AX5="","",COUNTIFS(Summary!$E$5:$E$241,AX5,Summary!$D$5:$D$241,"&gt;="&amp;$A46,Summary!$D$5:$D$241,"&lt;"&amp;$A46+7))</f>
        <v>0</v>
      </c>
      <c r="AY46">
        <f>IF(AY5="","",COUNTIFS(Summary!$E$5:$E$241,AY5,Summary!$D$5:$D$241,"&gt;="&amp;$A46,Summary!$D$5:$D$241,"&lt;"&amp;$A46+7))</f>
        <v>0</v>
      </c>
      <c r="AZ46">
        <f>IF(AZ5="","",COUNTIFS(Summary!$E$5:$E$241,AZ5,Summary!$D$5:$D$241,"&gt;="&amp;$A46,Summary!$D$5:$D$241,"&lt;"&amp;$A46+7))</f>
        <v>0</v>
      </c>
      <c r="BA46">
        <f>IF(BA5="","",COUNTIFS(Summary!$E$5:$E$241,BA5,Summary!$D$5:$D$241,"&gt;="&amp;$A46,Summary!$D$5:$D$241,"&lt;"&amp;$A46+7))</f>
        <v>0</v>
      </c>
      <c r="BB46">
        <f>IF(BB5="","",COUNTIFS(Summary!$E$5:$E$241,BB5,Summary!$D$5:$D$241,"&gt;="&amp;$A46,Summary!$D$5:$D$241,"&lt;"&amp;$A46+7))</f>
        <v>0</v>
      </c>
      <c r="BC46">
        <f>IF(BC5="","",COUNTIFS(Summary!$E$5:$E$241,BC5,Summary!$D$5:$D$241,"&gt;="&amp;$A46,Summary!$D$5:$D$241,"&lt;"&amp;$A46+7))</f>
        <v>0</v>
      </c>
      <c r="BD46">
        <f>IF(BD5="","",COUNTIFS(Summary!$E$5:$E$241,BD5,Summary!$D$5:$D$241,"&gt;="&amp;$A46,Summary!$D$5:$D$241,"&lt;"&amp;$A46+7))</f>
        <v>0</v>
      </c>
      <c r="BE46">
        <f>IF(BE5="","",COUNTIFS(Summary!$E$5:$E$241,BE5,Summary!$D$5:$D$241,"&gt;="&amp;$A46,Summary!$D$5:$D$241,"&lt;"&amp;$A46+7))</f>
        <v>0</v>
      </c>
      <c r="BF46" s="28">
        <f>IF(BF5="","",COUNTIFS(Summary!$E$5:$E$241,BF5,Summary!$D$5:$D$241,"&gt;="&amp;$A46,Summary!$D$5:$D$241,"&lt;"&amp;$A46+7))</f>
        <v>0</v>
      </c>
    </row>
    <row r="47" spans="1:58">
      <c r="A47" s="18">
        <f t="shared" si="1"/>
        <v>46370</v>
      </c>
      <c r="B47" s="2" t="str">
        <f t="shared" si="0"/>
        <v>Dec 14</v>
      </c>
      <c r="C47">
        <f>IF(C5="","",COUNTIFS(Summary!$E$5:$E$241,C5,Summary!$D$5:$D$241,"&gt;="&amp;$A47,Summary!$D$5:$D$241,"&lt;"&amp;$A47+7))</f>
        <v>0</v>
      </c>
      <c r="D47">
        <f>IF(D5="","",COUNTIFS(Summary!$E$5:$E$241,D5,Summary!$D$5:$D$241,"&gt;="&amp;$A47,Summary!$D$5:$D$241,"&lt;"&amp;$A47+7))</f>
        <v>0</v>
      </c>
      <c r="E47">
        <f>IF(E5="","",COUNTIFS(Summary!$E$5:$E$241,E5,Summary!$D$5:$D$241,"&gt;="&amp;$A47,Summary!$D$5:$D$241,"&lt;"&amp;$A47+7))</f>
        <v>0</v>
      </c>
      <c r="F47">
        <f>IF(F5="","",COUNTIFS(Summary!$E$5:$E$241,F5,Summary!$D$5:$D$241,"&gt;="&amp;$A47,Summary!$D$5:$D$241,"&lt;"&amp;$A47+7))</f>
        <v>0</v>
      </c>
      <c r="G47">
        <f>IF(G5="","",COUNTIFS(Summary!$E$5:$E$241,G5,Summary!$D$5:$D$241,"&gt;="&amp;$A47,Summary!$D$5:$D$241,"&lt;"&amp;$A47+7))</f>
        <v>0</v>
      </c>
      <c r="H47">
        <f>IF(H5="","",COUNTIFS(Summary!$E$5:$E$241,H5,Summary!$D$5:$D$241,"&gt;="&amp;$A47,Summary!$D$5:$D$241,"&lt;"&amp;$A47+7))</f>
        <v>0</v>
      </c>
      <c r="I47">
        <f>IF(I5="","",COUNTIFS(Summary!$E$5:$E$241,I5,Summary!$D$5:$D$241,"&gt;="&amp;$A47,Summary!$D$5:$D$241,"&lt;"&amp;$A47+7))</f>
        <v>0</v>
      </c>
      <c r="J47">
        <f>IF(J5="","",COUNTIFS(Summary!$E$5:$E$241,J5,Summary!$D$5:$D$241,"&gt;="&amp;$A47,Summary!$D$5:$D$241,"&lt;"&amp;$A47+7))</f>
        <v>0</v>
      </c>
      <c r="K47">
        <f>IF(K5="","",COUNTIFS(Summary!$E$5:$E$241,K5,Summary!$D$5:$D$241,"&gt;="&amp;$A47,Summary!$D$5:$D$241,"&lt;"&amp;$A47+7))</f>
        <v>0</v>
      </c>
      <c r="L47">
        <f>IF(L5="","",COUNTIFS(Summary!$E$5:$E$241,L5,Summary!$D$5:$D$241,"&gt;="&amp;$A47,Summary!$D$5:$D$241,"&lt;"&amp;$A47+7))</f>
        <v>0</v>
      </c>
      <c r="M47">
        <f>IF(M5="","",COUNTIFS(Summary!$E$5:$E$241,M5,Summary!$D$5:$D$241,"&gt;="&amp;$A47,Summary!$D$5:$D$241,"&lt;"&amp;$A47+7))</f>
        <v>0</v>
      </c>
      <c r="N47">
        <f>IF(N5="","",COUNTIFS(Summary!$E$5:$E$241,N5,Summary!$D$5:$D$241,"&gt;="&amp;$A47,Summary!$D$5:$D$241,"&lt;"&amp;$A47+7))</f>
        <v>0</v>
      </c>
      <c r="O47">
        <f>IF(O5="","",COUNTIFS(Summary!$E$5:$E$241,O5,Summary!$D$5:$D$241,"&gt;="&amp;$A47,Summary!$D$5:$D$241,"&lt;"&amp;$A47+7))</f>
        <v>0</v>
      </c>
      <c r="P47">
        <f>IF(P5="","",COUNTIFS(Summary!$E$5:$E$241,P5,Summary!$D$5:$D$241,"&gt;="&amp;$A47,Summary!$D$5:$D$241,"&lt;"&amp;$A47+7))</f>
        <v>0</v>
      </c>
      <c r="Q47">
        <f>IF(Q5="","",COUNTIFS(Summary!$E$5:$E$241,Q5,Summary!$D$5:$D$241,"&gt;="&amp;$A47,Summary!$D$5:$D$241,"&lt;"&amp;$A47+7))</f>
        <v>0</v>
      </c>
      <c r="R47">
        <f>IF(R5="","",COUNTIFS(Summary!$E$5:$E$241,R5,Summary!$D$5:$D$241,"&gt;="&amp;$A47,Summary!$D$5:$D$241,"&lt;"&amp;$A47+7))</f>
        <v>0</v>
      </c>
      <c r="S47">
        <f>IF(S5="","",COUNTIFS(Summary!$E$5:$E$241,S5,Summary!$D$5:$D$241,"&gt;="&amp;$A47,Summary!$D$5:$D$241,"&lt;"&amp;$A47+7))</f>
        <v>0</v>
      </c>
      <c r="T47">
        <f>IF(T5="","",COUNTIFS(Summary!$E$5:$E$241,T5,Summary!$D$5:$D$241,"&gt;="&amp;$A47,Summary!$D$5:$D$241,"&lt;"&amp;$A47+7))</f>
        <v>0</v>
      </c>
      <c r="U47">
        <f>IF(U5="","",COUNTIFS(Summary!$E$5:$E$241,U5,Summary!$D$5:$D$241,"&gt;="&amp;$A47,Summary!$D$5:$D$241,"&lt;"&amp;$A47+7))</f>
        <v>0</v>
      </c>
      <c r="V47">
        <f>IF(V5="","",COUNTIFS(Summary!$E$5:$E$241,V5,Summary!$D$5:$D$241,"&gt;="&amp;$A47,Summary!$D$5:$D$241,"&lt;"&amp;$A47+7))</f>
        <v>0</v>
      </c>
      <c r="W47">
        <f>IF(W5="","",COUNTIFS(Summary!$E$5:$E$241,W5,Summary!$D$5:$D$241,"&gt;="&amp;$A47,Summary!$D$5:$D$241,"&lt;"&amp;$A47+7))</f>
        <v>0</v>
      </c>
      <c r="X47">
        <f>IF(X5="","",COUNTIFS(Summary!$E$5:$E$241,X5,Summary!$D$5:$D$241,"&gt;="&amp;$A47,Summary!$D$5:$D$241,"&lt;"&amp;$A47+7))</f>
        <v>0</v>
      </c>
      <c r="Y47">
        <f>IF(Y5="","",COUNTIFS(Summary!$E$5:$E$241,Y5,Summary!$D$5:$D$241,"&gt;="&amp;$A47,Summary!$D$5:$D$241,"&lt;"&amp;$A47+7))</f>
        <v>0</v>
      </c>
      <c r="Z47">
        <f>IF(Z5="","",COUNTIFS(Summary!$E$5:$E$241,Z5,Summary!$D$5:$D$241,"&gt;="&amp;$A47,Summary!$D$5:$D$241,"&lt;"&amp;$A47+7))</f>
        <v>0</v>
      </c>
      <c r="AA47">
        <f>IF(AA5="","",COUNTIFS(Summary!$E$5:$E$241,AA5,Summary!$D$5:$D$241,"&gt;="&amp;$A47,Summary!$D$5:$D$241,"&lt;"&amp;$A47+7))</f>
        <v>0</v>
      </c>
      <c r="AB47">
        <f>IF(AB5="","",COUNTIFS(Summary!$E$5:$E$241,AB5,Summary!$D$5:$D$241,"&gt;="&amp;$A47,Summary!$D$5:$D$241,"&lt;"&amp;$A47+7))</f>
        <v>0</v>
      </c>
      <c r="AC47">
        <f>IF(AC5="","",COUNTIFS(Summary!$E$5:$E$241,AC5,Summary!$D$5:$D$241,"&gt;="&amp;$A47,Summary!$D$5:$D$241,"&lt;"&amp;$A47+7))</f>
        <v>0</v>
      </c>
      <c r="AD47">
        <f>IF(AD5="","",COUNTIFS(Summary!$E$5:$E$241,AD5,Summary!$D$5:$D$241,"&gt;="&amp;$A47,Summary!$D$5:$D$241,"&lt;"&amp;$A47+7))</f>
        <v>0</v>
      </c>
      <c r="AE47">
        <f>IF(AE5="","",COUNTIFS(Summary!$E$5:$E$241,AE5,Summary!$D$5:$D$241,"&gt;="&amp;$A47,Summary!$D$5:$D$241,"&lt;"&amp;$A47+7))</f>
        <v>0</v>
      </c>
      <c r="AF47">
        <f>IF(AF5="","",COUNTIFS(Summary!$E$5:$E$241,AF5,Summary!$D$5:$D$241,"&gt;="&amp;$A47,Summary!$D$5:$D$241,"&lt;"&amp;$A47+7))</f>
        <v>0</v>
      </c>
      <c r="AG47">
        <f>IF(AG5="","",COUNTIFS(Summary!$E$5:$E$241,AG5,Summary!$D$5:$D$241,"&gt;="&amp;$A47,Summary!$D$5:$D$241,"&lt;"&amp;$A47+7))</f>
        <v>0</v>
      </c>
      <c r="AH47">
        <f>IF(AH5="","",COUNTIFS(Summary!$E$5:$E$241,AH5,Summary!$D$5:$D$241,"&gt;="&amp;$A47,Summary!$D$5:$D$241,"&lt;"&amp;$A47+7))</f>
        <v>0</v>
      </c>
      <c r="AI47">
        <f>IF(AI5="","",COUNTIFS(Summary!$E$5:$E$241,AI5,Summary!$D$5:$D$241,"&gt;="&amp;$A47,Summary!$D$5:$D$241,"&lt;"&amp;$A47+7))</f>
        <v>0</v>
      </c>
      <c r="AJ47">
        <f>IF(AJ5="","",COUNTIFS(Summary!$E$5:$E$241,AJ5,Summary!$D$5:$D$241,"&gt;="&amp;$A47,Summary!$D$5:$D$241,"&lt;"&amp;$A47+7))</f>
        <v>0</v>
      </c>
      <c r="AK47">
        <f>IF(AK5="","",COUNTIFS(Summary!$E$5:$E$241,AK5,Summary!$D$5:$D$241,"&gt;="&amp;$A47,Summary!$D$5:$D$241,"&lt;"&amp;$A47+7))</f>
        <v>0</v>
      </c>
      <c r="AL47">
        <f>IF(AL5="","",COUNTIFS(Summary!$E$5:$E$241,AL5,Summary!$D$5:$D$241,"&gt;="&amp;$A47,Summary!$D$5:$D$241,"&lt;"&amp;$A47+7))</f>
        <v>0</v>
      </c>
      <c r="AM47">
        <f>IF(AM5="","",COUNTIFS(Summary!$E$5:$E$241,AM5,Summary!$D$5:$D$241,"&gt;="&amp;$A47,Summary!$D$5:$D$241,"&lt;"&amp;$A47+7))</f>
        <v>0</v>
      </c>
      <c r="AN47">
        <f>IF(AN5="","",COUNTIFS(Summary!$E$5:$E$241,AN5,Summary!$D$5:$D$241,"&gt;="&amp;$A47,Summary!$D$5:$D$241,"&lt;"&amp;$A47+7))</f>
        <v>0</v>
      </c>
      <c r="AO47">
        <f>IF(AO5="","",COUNTIFS(Summary!$E$5:$E$241,AO5,Summary!$D$5:$D$241,"&gt;="&amp;$A47,Summary!$D$5:$D$241,"&lt;"&amp;$A47+7))</f>
        <v>0</v>
      </c>
      <c r="AP47">
        <f>IF(AP5="","",COUNTIFS(Summary!$E$5:$E$241,AP5,Summary!$D$5:$D$241,"&gt;="&amp;$A47,Summary!$D$5:$D$241,"&lt;"&amp;$A47+7))</f>
        <v>0</v>
      </c>
      <c r="AQ47">
        <f>IF(AQ5="","",COUNTIFS(Summary!$E$5:$E$241,AQ5,Summary!$D$5:$D$241,"&gt;="&amp;$A47,Summary!$D$5:$D$241,"&lt;"&amp;$A47+7))</f>
        <v>0</v>
      </c>
      <c r="AR47">
        <f>IF(AR5="","",COUNTIFS(Summary!$E$5:$E$241,AR5,Summary!$D$5:$D$241,"&gt;="&amp;$A47,Summary!$D$5:$D$241,"&lt;"&amp;$A47+7))</f>
        <v>0</v>
      </c>
      <c r="AS47">
        <f>IF(AS5="","",COUNTIFS(Summary!$E$5:$E$241,AS5,Summary!$D$5:$D$241,"&gt;="&amp;$A47,Summary!$D$5:$D$241,"&lt;"&amp;$A47+7))</f>
        <v>0</v>
      </c>
      <c r="AT47">
        <f>IF(AT5="","",COUNTIFS(Summary!$E$5:$E$241,AT5,Summary!$D$5:$D$241,"&gt;="&amp;$A47,Summary!$D$5:$D$241,"&lt;"&amp;$A47+7))</f>
        <v>0</v>
      </c>
      <c r="AU47">
        <f>IF(AU5="","",COUNTIFS(Summary!$E$5:$E$241,AU5,Summary!$D$5:$D$241,"&gt;="&amp;$A47,Summary!$D$5:$D$241,"&lt;"&amp;$A47+7))</f>
        <v>0</v>
      </c>
      <c r="AV47">
        <f>IF(AV5="","",COUNTIFS(Summary!$E$5:$E$241,AV5,Summary!$D$5:$D$241,"&gt;="&amp;$A47,Summary!$D$5:$D$241,"&lt;"&amp;$A47+7))</f>
        <v>0</v>
      </c>
      <c r="AW47">
        <f>IF(AW5="","",COUNTIFS(Summary!$E$5:$E$241,AW5,Summary!$D$5:$D$241,"&gt;="&amp;$A47,Summary!$D$5:$D$241,"&lt;"&amp;$A47+7))</f>
        <v>0</v>
      </c>
      <c r="AX47">
        <f>IF(AX5="","",COUNTIFS(Summary!$E$5:$E$241,AX5,Summary!$D$5:$D$241,"&gt;="&amp;$A47,Summary!$D$5:$D$241,"&lt;"&amp;$A47+7))</f>
        <v>0</v>
      </c>
      <c r="AY47">
        <f>IF(AY5="","",COUNTIFS(Summary!$E$5:$E$241,AY5,Summary!$D$5:$D$241,"&gt;="&amp;$A47,Summary!$D$5:$D$241,"&lt;"&amp;$A47+7))</f>
        <v>0</v>
      </c>
      <c r="AZ47">
        <f>IF(AZ5="","",COUNTIFS(Summary!$E$5:$E$241,AZ5,Summary!$D$5:$D$241,"&gt;="&amp;$A47,Summary!$D$5:$D$241,"&lt;"&amp;$A47+7))</f>
        <v>0</v>
      </c>
      <c r="BA47">
        <f>IF(BA5="","",COUNTIFS(Summary!$E$5:$E$241,BA5,Summary!$D$5:$D$241,"&gt;="&amp;$A47,Summary!$D$5:$D$241,"&lt;"&amp;$A47+7))</f>
        <v>0</v>
      </c>
      <c r="BB47">
        <f>IF(BB5="","",COUNTIFS(Summary!$E$5:$E$241,BB5,Summary!$D$5:$D$241,"&gt;="&amp;$A47,Summary!$D$5:$D$241,"&lt;"&amp;$A47+7))</f>
        <v>0</v>
      </c>
      <c r="BC47">
        <f>IF(BC5="","",COUNTIFS(Summary!$E$5:$E$241,BC5,Summary!$D$5:$D$241,"&gt;="&amp;$A47,Summary!$D$5:$D$241,"&lt;"&amp;$A47+7))</f>
        <v>0</v>
      </c>
      <c r="BD47">
        <f>IF(BD5="","",COUNTIFS(Summary!$E$5:$E$241,BD5,Summary!$D$5:$D$241,"&gt;="&amp;$A47,Summary!$D$5:$D$241,"&lt;"&amp;$A47+7))</f>
        <v>0</v>
      </c>
      <c r="BE47">
        <f>IF(BE5="","",COUNTIFS(Summary!$E$5:$E$241,BE5,Summary!$D$5:$D$241,"&gt;="&amp;$A47,Summary!$D$5:$D$241,"&lt;"&amp;$A47+7))</f>
        <v>0</v>
      </c>
      <c r="BF47" s="28">
        <f>IF(BF5="","",COUNTIFS(Summary!$E$5:$E$241,BF5,Summary!$D$5:$D$241,"&gt;="&amp;$A47,Summary!$D$5:$D$241,"&lt;"&amp;$A47+7))</f>
        <v>0</v>
      </c>
    </row>
    <row r="48" spans="1:58">
      <c r="A48" s="18">
        <f t="shared" si="1"/>
        <v>46377</v>
      </c>
      <c r="B48" s="2" t="str">
        <f t="shared" si="0"/>
        <v>Dec 21</v>
      </c>
      <c r="C48">
        <f>IF(C5="","",COUNTIFS(Summary!$E$5:$E$241,C5,Summary!$D$5:$D$241,"&gt;="&amp;$A48,Summary!$D$5:$D$241,"&lt;"&amp;$A48+7))</f>
        <v>0</v>
      </c>
      <c r="D48">
        <f>IF(D5="","",COUNTIFS(Summary!$E$5:$E$241,D5,Summary!$D$5:$D$241,"&gt;="&amp;$A48,Summary!$D$5:$D$241,"&lt;"&amp;$A48+7))</f>
        <v>0</v>
      </c>
      <c r="E48">
        <f>IF(E5="","",COUNTIFS(Summary!$E$5:$E$241,E5,Summary!$D$5:$D$241,"&gt;="&amp;$A48,Summary!$D$5:$D$241,"&lt;"&amp;$A48+7))</f>
        <v>0</v>
      </c>
      <c r="F48">
        <f>IF(F5="","",COUNTIFS(Summary!$E$5:$E$241,F5,Summary!$D$5:$D$241,"&gt;="&amp;$A48,Summary!$D$5:$D$241,"&lt;"&amp;$A48+7))</f>
        <v>0</v>
      </c>
      <c r="G48">
        <f>IF(G5="","",COUNTIFS(Summary!$E$5:$E$241,G5,Summary!$D$5:$D$241,"&gt;="&amp;$A48,Summary!$D$5:$D$241,"&lt;"&amp;$A48+7))</f>
        <v>0</v>
      </c>
      <c r="H48">
        <f>IF(H5="","",COUNTIFS(Summary!$E$5:$E$241,H5,Summary!$D$5:$D$241,"&gt;="&amp;$A48,Summary!$D$5:$D$241,"&lt;"&amp;$A48+7))</f>
        <v>0</v>
      </c>
      <c r="I48">
        <f>IF(I5="","",COUNTIFS(Summary!$E$5:$E$241,I5,Summary!$D$5:$D$241,"&gt;="&amp;$A48,Summary!$D$5:$D$241,"&lt;"&amp;$A48+7))</f>
        <v>0</v>
      </c>
      <c r="J48">
        <f>IF(J5="","",COUNTIFS(Summary!$E$5:$E$241,J5,Summary!$D$5:$D$241,"&gt;="&amp;$A48,Summary!$D$5:$D$241,"&lt;"&amp;$A48+7))</f>
        <v>0</v>
      </c>
      <c r="K48">
        <f>IF(K5="","",COUNTIFS(Summary!$E$5:$E$241,K5,Summary!$D$5:$D$241,"&gt;="&amp;$A48,Summary!$D$5:$D$241,"&lt;"&amp;$A48+7))</f>
        <v>0</v>
      </c>
      <c r="L48">
        <f>IF(L5="","",COUNTIFS(Summary!$E$5:$E$241,L5,Summary!$D$5:$D$241,"&gt;="&amp;$A48,Summary!$D$5:$D$241,"&lt;"&amp;$A48+7))</f>
        <v>0</v>
      </c>
      <c r="M48">
        <f>IF(M5="","",COUNTIFS(Summary!$E$5:$E$241,M5,Summary!$D$5:$D$241,"&gt;="&amp;$A48,Summary!$D$5:$D$241,"&lt;"&amp;$A48+7))</f>
        <v>0</v>
      </c>
      <c r="N48">
        <f>IF(N5="","",COUNTIFS(Summary!$E$5:$E$241,N5,Summary!$D$5:$D$241,"&gt;="&amp;$A48,Summary!$D$5:$D$241,"&lt;"&amp;$A48+7))</f>
        <v>0</v>
      </c>
      <c r="O48">
        <f>IF(O5="","",COUNTIFS(Summary!$E$5:$E$241,O5,Summary!$D$5:$D$241,"&gt;="&amp;$A48,Summary!$D$5:$D$241,"&lt;"&amp;$A48+7))</f>
        <v>0</v>
      </c>
      <c r="P48">
        <f>IF(P5="","",COUNTIFS(Summary!$E$5:$E$241,P5,Summary!$D$5:$D$241,"&gt;="&amp;$A48,Summary!$D$5:$D$241,"&lt;"&amp;$A48+7))</f>
        <v>0</v>
      </c>
      <c r="Q48">
        <f>IF(Q5="","",COUNTIFS(Summary!$E$5:$E$241,Q5,Summary!$D$5:$D$241,"&gt;="&amp;$A48,Summary!$D$5:$D$241,"&lt;"&amp;$A48+7))</f>
        <v>0</v>
      </c>
      <c r="R48">
        <f>IF(R5="","",COUNTIFS(Summary!$E$5:$E$241,R5,Summary!$D$5:$D$241,"&gt;="&amp;$A48,Summary!$D$5:$D$241,"&lt;"&amp;$A48+7))</f>
        <v>0</v>
      </c>
      <c r="S48">
        <f>IF(S5="","",COUNTIFS(Summary!$E$5:$E$241,S5,Summary!$D$5:$D$241,"&gt;="&amp;$A48,Summary!$D$5:$D$241,"&lt;"&amp;$A48+7))</f>
        <v>0</v>
      </c>
      <c r="T48">
        <f>IF(T5="","",COUNTIFS(Summary!$E$5:$E$241,T5,Summary!$D$5:$D$241,"&gt;="&amp;$A48,Summary!$D$5:$D$241,"&lt;"&amp;$A48+7))</f>
        <v>0</v>
      </c>
      <c r="U48">
        <f>IF(U5="","",COUNTIFS(Summary!$E$5:$E$241,U5,Summary!$D$5:$D$241,"&gt;="&amp;$A48,Summary!$D$5:$D$241,"&lt;"&amp;$A48+7))</f>
        <v>0</v>
      </c>
      <c r="V48">
        <f>IF(V5="","",COUNTIFS(Summary!$E$5:$E$241,V5,Summary!$D$5:$D$241,"&gt;="&amp;$A48,Summary!$D$5:$D$241,"&lt;"&amp;$A48+7))</f>
        <v>0</v>
      </c>
      <c r="W48">
        <f>IF(W5="","",COUNTIFS(Summary!$E$5:$E$241,W5,Summary!$D$5:$D$241,"&gt;="&amp;$A48,Summary!$D$5:$D$241,"&lt;"&amp;$A48+7))</f>
        <v>0</v>
      </c>
      <c r="X48">
        <f>IF(X5="","",COUNTIFS(Summary!$E$5:$E$241,X5,Summary!$D$5:$D$241,"&gt;="&amp;$A48,Summary!$D$5:$D$241,"&lt;"&amp;$A48+7))</f>
        <v>0</v>
      </c>
      <c r="Y48">
        <f>IF(Y5="","",COUNTIFS(Summary!$E$5:$E$241,Y5,Summary!$D$5:$D$241,"&gt;="&amp;$A48,Summary!$D$5:$D$241,"&lt;"&amp;$A48+7))</f>
        <v>0</v>
      </c>
      <c r="Z48">
        <f>IF(Z5="","",COUNTIFS(Summary!$E$5:$E$241,Z5,Summary!$D$5:$D$241,"&gt;="&amp;$A48,Summary!$D$5:$D$241,"&lt;"&amp;$A48+7))</f>
        <v>0</v>
      </c>
      <c r="AA48">
        <f>IF(AA5="","",COUNTIFS(Summary!$E$5:$E$241,AA5,Summary!$D$5:$D$241,"&gt;="&amp;$A48,Summary!$D$5:$D$241,"&lt;"&amp;$A48+7))</f>
        <v>0</v>
      </c>
      <c r="AB48">
        <f>IF(AB5="","",COUNTIFS(Summary!$E$5:$E$241,AB5,Summary!$D$5:$D$241,"&gt;="&amp;$A48,Summary!$D$5:$D$241,"&lt;"&amp;$A48+7))</f>
        <v>0</v>
      </c>
      <c r="AC48">
        <f>IF(AC5="","",COUNTIFS(Summary!$E$5:$E$241,AC5,Summary!$D$5:$D$241,"&gt;="&amp;$A48,Summary!$D$5:$D$241,"&lt;"&amp;$A48+7))</f>
        <v>0</v>
      </c>
      <c r="AD48">
        <f>IF(AD5="","",COUNTIFS(Summary!$E$5:$E$241,AD5,Summary!$D$5:$D$241,"&gt;="&amp;$A48,Summary!$D$5:$D$241,"&lt;"&amp;$A48+7))</f>
        <v>0</v>
      </c>
      <c r="AE48">
        <f>IF(AE5="","",COUNTIFS(Summary!$E$5:$E$241,AE5,Summary!$D$5:$D$241,"&gt;="&amp;$A48,Summary!$D$5:$D$241,"&lt;"&amp;$A48+7))</f>
        <v>0</v>
      </c>
      <c r="AF48">
        <f>IF(AF5="","",COUNTIFS(Summary!$E$5:$E$241,AF5,Summary!$D$5:$D$241,"&gt;="&amp;$A48,Summary!$D$5:$D$241,"&lt;"&amp;$A48+7))</f>
        <v>0</v>
      </c>
      <c r="AG48">
        <f>IF(AG5="","",COUNTIFS(Summary!$E$5:$E$241,AG5,Summary!$D$5:$D$241,"&gt;="&amp;$A48,Summary!$D$5:$D$241,"&lt;"&amp;$A48+7))</f>
        <v>0</v>
      </c>
      <c r="AH48">
        <f>IF(AH5="","",COUNTIFS(Summary!$E$5:$E$241,AH5,Summary!$D$5:$D$241,"&gt;="&amp;$A48,Summary!$D$5:$D$241,"&lt;"&amp;$A48+7))</f>
        <v>0</v>
      </c>
      <c r="AI48">
        <f>IF(AI5="","",COUNTIFS(Summary!$E$5:$E$241,AI5,Summary!$D$5:$D$241,"&gt;="&amp;$A48,Summary!$D$5:$D$241,"&lt;"&amp;$A48+7))</f>
        <v>0</v>
      </c>
      <c r="AJ48">
        <f>IF(AJ5="","",COUNTIFS(Summary!$E$5:$E$241,AJ5,Summary!$D$5:$D$241,"&gt;="&amp;$A48,Summary!$D$5:$D$241,"&lt;"&amp;$A48+7))</f>
        <v>0</v>
      </c>
      <c r="AK48">
        <f>IF(AK5="","",COUNTIFS(Summary!$E$5:$E$241,AK5,Summary!$D$5:$D$241,"&gt;="&amp;$A48,Summary!$D$5:$D$241,"&lt;"&amp;$A48+7))</f>
        <v>0</v>
      </c>
      <c r="AL48">
        <f>IF(AL5="","",COUNTIFS(Summary!$E$5:$E$241,AL5,Summary!$D$5:$D$241,"&gt;="&amp;$A48,Summary!$D$5:$D$241,"&lt;"&amp;$A48+7))</f>
        <v>0</v>
      </c>
      <c r="AM48">
        <f>IF(AM5="","",COUNTIFS(Summary!$E$5:$E$241,AM5,Summary!$D$5:$D$241,"&gt;="&amp;$A48,Summary!$D$5:$D$241,"&lt;"&amp;$A48+7))</f>
        <v>0</v>
      </c>
      <c r="AN48">
        <f>IF(AN5="","",COUNTIFS(Summary!$E$5:$E$241,AN5,Summary!$D$5:$D$241,"&gt;="&amp;$A48,Summary!$D$5:$D$241,"&lt;"&amp;$A48+7))</f>
        <v>0</v>
      </c>
      <c r="AO48">
        <f>IF(AO5="","",COUNTIFS(Summary!$E$5:$E$241,AO5,Summary!$D$5:$D$241,"&gt;="&amp;$A48,Summary!$D$5:$D$241,"&lt;"&amp;$A48+7))</f>
        <v>0</v>
      </c>
      <c r="AP48">
        <f>IF(AP5="","",COUNTIFS(Summary!$E$5:$E$241,AP5,Summary!$D$5:$D$241,"&gt;="&amp;$A48,Summary!$D$5:$D$241,"&lt;"&amp;$A48+7))</f>
        <v>0</v>
      </c>
      <c r="AQ48">
        <f>IF(AQ5="","",COUNTIFS(Summary!$E$5:$E$241,AQ5,Summary!$D$5:$D$241,"&gt;="&amp;$A48,Summary!$D$5:$D$241,"&lt;"&amp;$A48+7))</f>
        <v>0</v>
      </c>
      <c r="AR48">
        <f>IF(AR5="","",COUNTIFS(Summary!$E$5:$E$241,AR5,Summary!$D$5:$D$241,"&gt;="&amp;$A48,Summary!$D$5:$D$241,"&lt;"&amp;$A48+7))</f>
        <v>0</v>
      </c>
      <c r="AS48">
        <f>IF(AS5="","",COUNTIFS(Summary!$E$5:$E$241,AS5,Summary!$D$5:$D$241,"&gt;="&amp;$A48,Summary!$D$5:$D$241,"&lt;"&amp;$A48+7))</f>
        <v>0</v>
      </c>
      <c r="AT48">
        <f>IF(AT5="","",COUNTIFS(Summary!$E$5:$E$241,AT5,Summary!$D$5:$D$241,"&gt;="&amp;$A48,Summary!$D$5:$D$241,"&lt;"&amp;$A48+7))</f>
        <v>0</v>
      </c>
      <c r="AU48">
        <f>IF(AU5="","",COUNTIFS(Summary!$E$5:$E$241,AU5,Summary!$D$5:$D$241,"&gt;="&amp;$A48,Summary!$D$5:$D$241,"&lt;"&amp;$A48+7))</f>
        <v>0</v>
      </c>
      <c r="AV48">
        <f>IF(AV5="","",COUNTIFS(Summary!$E$5:$E$241,AV5,Summary!$D$5:$D$241,"&gt;="&amp;$A48,Summary!$D$5:$D$241,"&lt;"&amp;$A48+7))</f>
        <v>0</v>
      </c>
      <c r="AW48">
        <f>IF(AW5="","",COUNTIFS(Summary!$E$5:$E$241,AW5,Summary!$D$5:$D$241,"&gt;="&amp;$A48,Summary!$D$5:$D$241,"&lt;"&amp;$A48+7))</f>
        <v>0</v>
      </c>
      <c r="AX48">
        <f>IF(AX5="","",COUNTIFS(Summary!$E$5:$E$241,AX5,Summary!$D$5:$D$241,"&gt;="&amp;$A48,Summary!$D$5:$D$241,"&lt;"&amp;$A48+7))</f>
        <v>0</v>
      </c>
      <c r="AY48">
        <f>IF(AY5="","",COUNTIFS(Summary!$E$5:$E$241,AY5,Summary!$D$5:$D$241,"&gt;="&amp;$A48,Summary!$D$5:$D$241,"&lt;"&amp;$A48+7))</f>
        <v>0</v>
      </c>
      <c r="AZ48">
        <f>IF(AZ5="","",COUNTIFS(Summary!$E$5:$E$241,AZ5,Summary!$D$5:$D$241,"&gt;="&amp;$A48,Summary!$D$5:$D$241,"&lt;"&amp;$A48+7))</f>
        <v>0</v>
      </c>
      <c r="BA48">
        <f>IF(BA5="","",COUNTIFS(Summary!$E$5:$E$241,BA5,Summary!$D$5:$D$241,"&gt;="&amp;$A48,Summary!$D$5:$D$241,"&lt;"&amp;$A48+7))</f>
        <v>0</v>
      </c>
      <c r="BB48">
        <f>IF(BB5="","",COUNTIFS(Summary!$E$5:$E$241,BB5,Summary!$D$5:$D$241,"&gt;="&amp;$A48,Summary!$D$5:$D$241,"&lt;"&amp;$A48+7))</f>
        <v>0</v>
      </c>
      <c r="BC48">
        <f>IF(BC5="","",COUNTIFS(Summary!$E$5:$E$241,BC5,Summary!$D$5:$D$241,"&gt;="&amp;$A48,Summary!$D$5:$D$241,"&lt;"&amp;$A48+7))</f>
        <v>0</v>
      </c>
      <c r="BD48">
        <f>IF(BD5="","",COUNTIFS(Summary!$E$5:$E$241,BD5,Summary!$D$5:$D$241,"&gt;="&amp;$A48,Summary!$D$5:$D$241,"&lt;"&amp;$A48+7))</f>
        <v>0</v>
      </c>
      <c r="BE48">
        <f>IF(BE5="","",COUNTIFS(Summary!$E$5:$E$241,BE5,Summary!$D$5:$D$241,"&gt;="&amp;$A48,Summary!$D$5:$D$241,"&lt;"&amp;$A48+7))</f>
        <v>0</v>
      </c>
      <c r="BF48" s="28">
        <f>IF(BF5="","",COUNTIFS(Summary!$E$5:$E$241,BF5,Summary!$D$5:$D$241,"&gt;="&amp;$A48,Summary!$D$5:$D$241,"&lt;"&amp;$A48+7))</f>
        <v>0</v>
      </c>
    </row>
    <row r="49" spans="1:58">
      <c r="A49" s="18">
        <f t="shared" si="1"/>
        <v>46384</v>
      </c>
      <c r="B49" s="2" t="str">
        <f t="shared" si="0"/>
        <v>Dec 28</v>
      </c>
      <c r="C49">
        <f>IF(C5="","",COUNTIFS(Summary!$E$5:$E$241,C5,Summary!$D$5:$D$241,"&gt;="&amp;$A49,Summary!$D$5:$D$241,"&lt;"&amp;$A49+7))</f>
        <v>0</v>
      </c>
      <c r="D49">
        <f>IF(D5="","",COUNTIFS(Summary!$E$5:$E$241,D5,Summary!$D$5:$D$241,"&gt;="&amp;$A49,Summary!$D$5:$D$241,"&lt;"&amp;$A49+7))</f>
        <v>0</v>
      </c>
      <c r="E49">
        <f>IF(E5="","",COUNTIFS(Summary!$E$5:$E$241,E5,Summary!$D$5:$D$241,"&gt;="&amp;$A49,Summary!$D$5:$D$241,"&lt;"&amp;$A49+7))</f>
        <v>0</v>
      </c>
      <c r="F49">
        <f>IF(F5="","",COUNTIFS(Summary!$E$5:$E$241,F5,Summary!$D$5:$D$241,"&gt;="&amp;$A49,Summary!$D$5:$D$241,"&lt;"&amp;$A49+7))</f>
        <v>0</v>
      </c>
      <c r="G49">
        <f>IF(G5="","",COUNTIFS(Summary!$E$5:$E$241,G5,Summary!$D$5:$D$241,"&gt;="&amp;$A49,Summary!$D$5:$D$241,"&lt;"&amp;$A49+7))</f>
        <v>0</v>
      </c>
      <c r="H49">
        <f>IF(H5="","",COUNTIFS(Summary!$E$5:$E$241,H5,Summary!$D$5:$D$241,"&gt;="&amp;$A49,Summary!$D$5:$D$241,"&lt;"&amp;$A49+7))</f>
        <v>0</v>
      </c>
      <c r="I49">
        <f>IF(I5="","",COUNTIFS(Summary!$E$5:$E$241,I5,Summary!$D$5:$D$241,"&gt;="&amp;$A49,Summary!$D$5:$D$241,"&lt;"&amp;$A49+7))</f>
        <v>0</v>
      </c>
      <c r="J49">
        <f>IF(J5="","",COUNTIFS(Summary!$E$5:$E$241,J5,Summary!$D$5:$D$241,"&gt;="&amp;$A49,Summary!$D$5:$D$241,"&lt;"&amp;$A49+7))</f>
        <v>0</v>
      </c>
      <c r="K49">
        <f>IF(K5="","",COUNTIFS(Summary!$E$5:$E$241,K5,Summary!$D$5:$D$241,"&gt;="&amp;$A49,Summary!$D$5:$D$241,"&lt;"&amp;$A49+7))</f>
        <v>0</v>
      </c>
      <c r="L49">
        <f>IF(L5="","",COUNTIFS(Summary!$E$5:$E$241,L5,Summary!$D$5:$D$241,"&gt;="&amp;$A49,Summary!$D$5:$D$241,"&lt;"&amp;$A49+7))</f>
        <v>0</v>
      </c>
      <c r="M49">
        <f>IF(M5="","",COUNTIFS(Summary!$E$5:$E$241,M5,Summary!$D$5:$D$241,"&gt;="&amp;$A49,Summary!$D$5:$D$241,"&lt;"&amp;$A49+7))</f>
        <v>0</v>
      </c>
      <c r="N49">
        <f>IF(N5="","",COUNTIFS(Summary!$E$5:$E$241,N5,Summary!$D$5:$D$241,"&gt;="&amp;$A49,Summary!$D$5:$D$241,"&lt;"&amp;$A49+7))</f>
        <v>0</v>
      </c>
      <c r="O49">
        <f>IF(O5="","",COUNTIFS(Summary!$E$5:$E$241,O5,Summary!$D$5:$D$241,"&gt;="&amp;$A49,Summary!$D$5:$D$241,"&lt;"&amp;$A49+7))</f>
        <v>0</v>
      </c>
      <c r="P49">
        <f>IF(P5="","",COUNTIFS(Summary!$E$5:$E$241,P5,Summary!$D$5:$D$241,"&gt;="&amp;$A49,Summary!$D$5:$D$241,"&lt;"&amp;$A49+7))</f>
        <v>0</v>
      </c>
      <c r="Q49">
        <f>IF(Q5="","",COUNTIFS(Summary!$E$5:$E$241,Q5,Summary!$D$5:$D$241,"&gt;="&amp;$A49,Summary!$D$5:$D$241,"&lt;"&amp;$A49+7))</f>
        <v>0</v>
      </c>
      <c r="R49">
        <f>IF(R5="","",COUNTIFS(Summary!$E$5:$E$241,R5,Summary!$D$5:$D$241,"&gt;="&amp;$A49,Summary!$D$5:$D$241,"&lt;"&amp;$A49+7))</f>
        <v>0</v>
      </c>
      <c r="S49">
        <f>IF(S5="","",COUNTIFS(Summary!$E$5:$E$241,S5,Summary!$D$5:$D$241,"&gt;="&amp;$A49,Summary!$D$5:$D$241,"&lt;"&amp;$A49+7))</f>
        <v>0</v>
      </c>
      <c r="T49">
        <f>IF(T5="","",COUNTIFS(Summary!$E$5:$E$241,T5,Summary!$D$5:$D$241,"&gt;="&amp;$A49,Summary!$D$5:$D$241,"&lt;"&amp;$A49+7))</f>
        <v>0</v>
      </c>
      <c r="U49">
        <f>IF(U5="","",COUNTIFS(Summary!$E$5:$E$241,U5,Summary!$D$5:$D$241,"&gt;="&amp;$A49,Summary!$D$5:$D$241,"&lt;"&amp;$A49+7))</f>
        <v>0</v>
      </c>
      <c r="V49">
        <f>IF(V5="","",COUNTIFS(Summary!$E$5:$E$241,V5,Summary!$D$5:$D$241,"&gt;="&amp;$A49,Summary!$D$5:$D$241,"&lt;"&amp;$A49+7))</f>
        <v>0</v>
      </c>
      <c r="W49">
        <f>IF(W5="","",COUNTIFS(Summary!$E$5:$E$241,W5,Summary!$D$5:$D$241,"&gt;="&amp;$A49,Summary!$D$5:$D$241,"&lt;"&amp;$A49+7))</f>
        <v>0</v>
      </c>
      <c r="X49">
        <f>IF(X5="","",COUNTIFS(Summary!$E$5:$E$241,X5,Summary!$D$5:$D$241,"&gt;="&amp;$A49,Summary!$D$5:$D$241,"&lt;"&amp;$A49+7))</f>
        <v>0</v>
      </c>
      <c r="Y49">
        <f>IF(Y5="","",COUNTIFS(Summary!$E$5:$E$241,Y5,Summary!$D$5:$D$241,"&gt;="&amp;$A49,Summary!$D$5:$D$241,"&lt;"&amp;$A49+7))</f>
        <v>0</v>
      </c>
      <c r="Z49">
        <f>IF(Z5="","",COUNTIFS(Summary!$E$5:$E$241,Z5,Summary!$D$5:$D$241,"&gt;="&amp;$A49,Summary!$D$5:$D$241,"&lt;"&amp;$A49+7))</f>
        <v>0</v>
      </c>
      <c r="AA49">
        <f>IF(AA5="","",COUNTIFS(Summary!$E$5:$E$241,AA5,Summary!$D$5:$D$241,"&gt;="&amp;$A49,Summary!$D$5:$D$241,"&lt;"&amp;$A49+7))</f>
        <v>0</v>
      </c>
      <c r="AB49">
        <f>IF(AB5="","",COUNTIFS(Summary!$E$5:$E$241,AB5,Summary!$D$5:$D$241,"&gt;="&amp;$A49,Summary!$D$5:$D$241,"&lt;"&amp;$A49+7))</f>
        <v>0</v>
      </c>
      <c r="AC49">
        <f>IF(AC5="","",COUNTIFS(Summary!$E$5:$E$241,AC5,Summary!$D$5:$D$241,"&gt;="&amp;$A49,Summary!$D$5:$D$241,"&lt;"&amp;$A49+7))</f>
        <v>0</v>
      </c>
      <c r="AD49">
        <f>IF(AD5="","",COUNTIFS(Summary!$E$5:$E$241,AD5,Summary!$D$5:$D$241,"&gt;="&amp;$A49,Summary!$D$5:$D$241,"&lt;"&amp;$A49+7))</f>
        <v>0</v>
      </c>
      <c r="AE49">
        <f>IF(AE5="","",COUNTIFS(Summary!$E$5:$E$241,AE5,Summary!$D$5:$D$241,"&gt;="&amp;$A49,Summary!$D$5:$D$241,"&lt;"&amp;$A49+7))</f>
        <v>0</v>
      </c>
      <c r="AF49">
        <f>IF(AF5="","",COUNTIFS(Summary!$E$5:$E$241,AF5,Summary!$D$5:$D$241,"&gt;="&amp;$A49,Summary!$D$5:$D$241,"&lt;"&amp;$A49+7))</f>
        <v>0</v>
      </c>
      <c r="AG49">
        <f>IF(AG5="","",COUNTIFS(Summary!$E$5:$E$241,AG5,Summary!$D$5:$D$241,"&gt;="&amp;$A49,Summary!$D$5:$D$241,"&lt;"&amp;$A49+7))</f>
        <v>0</v>
      </c>
      <c r="AH49">
        <f>IF(AH5="","",COUNTIFS(Summary!$E$5:$E$241,AH5,Summary!$D$5:$D$241,"&gt;="&amp;$A49,Summary!$D$5:$D$241,"&lt;"&amp;$A49+7))</f>
        <v>0</v>
      </c>
      <c r="AI49">
        <f>IF(AI5="","",COUNTIFS(Summary!$E$5:$E$241,AI5,Summary!$D$5:$D$241,"&gt;="&amp;$A49,Summary!$D$5:$D$241,"&lt;"&amp;$A49+7))</f>
        <v>0</v>
      </c>
      <c r="AJ49">
        <f>IF(AJ5="","",COUNTIFS(Summary!$E$5:$E$241,AJ5,Summary!$D$5:$D$241,"&gt;="&amp;$A49,Summary!$D$5:$D$241,"&lt;"&amp;$A49+7))</f>
        <v>0</v>
      </c>
      <c r="AK49">
        <f>IF(AK5="","",COUNTIFS(Summary!$E$5:$E$241,AK5,Summary!$D$5:$D$241,"&gt;="&amp;$A49,Summary!$D$5:$D$241,"&lt;"&amp;$A49+7))</f>
        <v>0</v>
      </c>
      <c r="AL49">
        <f>IF(AL5="","",COUNTIFS(Summary!$E$5:$E$241,AL5,Summary!$D$5:$D$241,"&gt;="&amp;$A49,Summary!$D$5:$D$241,"&lt;"&amp;$A49+7))</f>
        <v>0</v>
      </c>
      <c r="AM49">
        <f>IF(AM5="","",COUNTIFS(Summary!$E$5:$E$241,AM5,Summary!$D$5:$D$241,"&gt;="&amp;$A49,Summary!$D$5:$D$241,"&lt;"&amp;$A49+7))</f>
        <v>0</v>
      </c>
      <c r="AN49">
        <f>IF(AN5="","",COUNTIFS(Summary!$E$5:$E$241,AN5,Summary!$D$5:$D$241,"&gt;="&amp;$A49,Summary!$D$5:$D$241,"&lt;"&amp;$A49+7))</f>
        <v>0</v>
      </c>
      <c r="AO49">
        <f>IF(AO5="","",COUNTIFS(Summary!$E$5:$E$241,AO5,Summary!$D$5:$D$241,"&gt;="&amp;$A49,Summary!$D$5:$D$241,"&lt;"&amp;$A49+7))</f>
        <v>0</v>
      </c>
      <c r="AP49">
        <f>IF(AP5="","",COUNTIFS(Summary!$E$5:$E$241,AP5,Summary!$D$5:$D$241,"&gt;="&amp;$A49,Summary!$D$5:$D$241,"&lt;"&amp;$A49+7))</f>
        <v>0</v>
      </c>
      <c r="AQ49">
        <f>IF(AQ5="","",COUNTIFS(Summary!$E$5:$E$241,AQ5,Summary!$D$5:$D$241,"&gt;="&amp;$A49,Summary!$D$5:$D$241,"&lt;"&amp;$A49+7))</f>
        <v>0</v>
      </c>
      <c r="AR49">
        <f>IF(AR5="","",COUNTIFS(Summary!$E$5:$E$241,AR5,Summary!$D$5:$D$241,"&gt;="&amp;$A49,Summary!$D$5:$D$241,"&lt;"&amp;$A49+7))</f>
        <v>0</v>
      </c>
      <c r="AS49">
        <f>IF(AS5="","",COUNTIFS(Summary!$E$5:$E$241,AS5,Summary!$D$5:$D$241,"&gt;="&amp;$A49,Summary!$D$5:$D$241,"&lt;"&amp;$A49+7))</f>
        <v>0</v>
      </c>
      <c r="AT49">
        <f>IF(AT5="","",COUNTIFS(Summary!$E$5:$E$241,AT5,Summary!$D$5:$D$241,"&gt;="&amp;$A49,Summary!$D$5:$D$241,"&lt;"&amp;$A49+7))</f>
        <v>0</v>
      </c>
      <c r="AU49">
        <f>IF(AU5="","",COUNTIFS(Summary!$E$5:$E$241,AU5,Summary!$D$5:$D$241,"&gt;="&amp;$A49,Summary!$D$5:$D$241,"&lt;"&amp;$A49+7))</f>
        <v>0</v>
      </c>
      <c r="AV49">
        <f>IF(AV5="","",COUNTIFS(Summary!$E$5:$E$241,AV5,Summary!$D$5:$D$241,"&gt;="&amp;$A49,Summary!$D$5:$D$241,"&lt;"&amp;$A49+7))</f>
        <v>0</v>
      </c>
      <c r="AW49">
        <f>IF(AW5="","",COUNTIFS(Summary!$E$5:$E$241,AW5,Summary!$D$5:$D$241,"&gt;="&amp;$A49,Summary!$D$5:$D$241,"&lt;"&amp;$A49+7))</f>
        <v>0</v>
      </c>
      <c r="AX49">
        <f>IF(AX5="","",COUNTIFS(Summary!$E$5:$E$241,AX5,Summary!$D$5:$D$241,"&gt;="&amp;$A49,Summary!$D$5:$D$241,"&lt;"&amp;$A49+7))</f>
        <v>0</v>
      </c>
      <c r="AY49">
        <f>IF(AY5="","",COUNTIFS(Summary!$E$5:$E$241,AY5,Summary!$D$5:$D$241,"&gt;="&amp;$A49,Summary!$D$5:$D$241,"&lt;"&amp;$A49+7))</f>
        <v>0</v>
      </c>
      <c r="AZ49">
        <f>IF(AZ5="","",COUNTIFS(Summary!$E$5:$E$241,AZ5,Summary!$D$5:$D$241,"&gt;="&amp;$A49,Summary!$D$5:$D$241,"&lt;"&amp;$A49+7))</f>
        <v>0</v>
      </c>
      <c r="BA49">
        <f>IF(BA5="","",COUNTIFS(Summary!$E$5:$E$241,BA5,Summary!$D$5:$D$241,"&gt;="&amp;$A49,Summary!$D$5:$D$241,"&lt;"&amp;$A49+7))</f>
        <v>0</v>
      </c>
      <c r="BB49">
        <f>IF(BB5="","",COUNTIFS(Summary!$E$5:$E$241,BB5,Summary!$D$5:$D$241,"&gt;="&amp;$A49,Summary!$D$5:$D$241,"&lt;"&amp;$A49+7))</f>
        <v>0</v>
      </c>
      <c r="BC49">
        <f>IF(BC5="","",COUNTIFS(Summary!$E$5:$E$241,BC5,Summary!$D$5:$D$241,"&gt;="&amp;$A49,Summary!$D$5:$D$241,"&lt;"&amp;$A49+7))</f>
        <v>0</v>
      </c>
      <c r="BD49">
        <f>IF(BD5="","",COUNTIFS(Summary!$E$5:$E$241,BD5,Summary!$D$5:$D$241,"&gt;="&amp;$A49,Summary!$D$5:$D$241,"&lt;"&amp;$A49+7))</f>
        <v>0</v>
      </c>
      <c r="BE49">
        <f>IF(BE5="","",COUNTIFS(Summary!$E$5:$E$241,BE5,Summary!$D$5:$D$241,"&gt;="&amp;$A49,Summary!$D$5:$D$241,"&lt;"&amp;$A49+7))</f>
        <v>0</v>
      </c>
      <c r="BF49" s="28">
        <f>IF(BF5="","",COUNTIFS(Summary!$E$5:$E$241,BF5,Summary!$D$5:$D$241,"&gt;="&amp;$A49,Summary!$D$5:$D$241,"&lt;"&amp;$A49+7))</f>
        <v>0</v>
      </c>
    </row>
    <row r="50" spans="1:58">
      <c r="A50" s="18">
        <f t="shared" si="1"/>
        <v>46391</v>
      </c>
      <c r="B50" s="2" t="str">
        <f t="shared" si="0"/>
        <v>Jan 4</v>
      </c>
      <c r="C50">
        <f>IF(C5="","",COUNTIFS(Summary!$E$5:$E$241,C5,Summary!$D$5:$D$241,"&gt;="&amp;$A50,Summary!$D$5:$D$241,"&lt;"&amp;$A50+7))</f>
        <v>0</v>
      </c>
      <c r="D50">
        <f>IF(D5="","",COUNTIFS(Summary!$E$5:$E$241,D5,Summary!$D$5:$D$241,"&gt;="&amp;$A50,Summary!$D$5:$D$241,"&lt;"&amp;$A50+7))</f>
        <v>0</v>
      </c>
      <c r="E50">
        <f>IF(E5="","",COUNTIFS(Summary!$E$5:$E$241,E5,Summary!$D$5:$D$241,"&gt;="&amp;$A50,Summary!$D$5:$D$241,"&lt;"&amp;$A50+7))</f>
        <v>0</v>
      </c>
      <c r="F50">
        <f>IF(F5="","",COUNTIFS(Summary!$E$5:$E$241,F5,Summary!$D$5:$D$241,"&gt;="&amp;$A50,Summary!$D$5:$D$241,"&lt;"&amp;$A50+7))</f>
        <v>0</v>
      </c>
      <c r="G50">
        <f>IF(G5="","",COUNTIFS(Summary!$E$5:$E$241,G5,Summary!$D$5:$D$241,"&gt;="&amp;$A50,Summary!$D$5:$D$241,"&lt;"&amp;$A50+7))</f>
        <v>0</v>
      </c>
      <c r="H50">
        <f>IF(H5="","",COUNTIFS(Summary!$E$5:$E$241,H5,Summary!$D$5:$D$241,"&gt;="&amp;$A50,Summary!$D$5:$D$241,"&lt;"&amp;$A50+7))</f>
        <v>0</v>
      </c>
      <c r="I50">
        <f>IF(I5="","",COUNTIFS(Summary!$E$5:$E$241,I5,Summary!$D$5:$D$241,"&gt;="&amp;$A50,Summary!$D$5:$D$241,"&lt;"&amp;$A50+7))</f>
        <v>0</v>
      </c>
      <c r="J50">
        <f>IF(J5="","",COUNTIFS(Summary!$E$5:$E$241,J5,Summary!$D$5:$D$241,"&gt;="&amp;$A50,Summary!$D$5:$D$241,"&lt;"&amp;$A50+7))</f>
        <v>0</v>
      </c>
      <c r="K50">
        <f>IF(K5="","",COUNTIFS(Summary!$E$5:$E$241,K5,Summary!$D$5:$D$241,"&gt;="&amp;$A50,Summary!$D$5:$D$241,"&lt;"&amp;$A50+7))</f>
        <v>0</v>
      </c>
      <c r="L50">
        <f>IF(L5="","",COUNTIFS(Summary!$E$5:$E$241,L5,Summary!$D$5:$D$241,"&gt;="&amp;$A50,Summary!$D$5:$D$241,"&lt;"&amp;$A50+7))</f>
        <v>0</v>
      </c>
      <c r="M50">
        <f>IF(M5="","",COUNTIFS(Summary!$E$5:$E$241,M5,Summary!$D$5:$D$241,"&gt;="&amp;$A50,Summary!$D$5:$D$241,"&lt;"&amp;$A50+7))</f>
        <v>0</v>
      </c>
      <c r="N50">
        <f>IF(N5="","",COUNTIFS(Summary!$E$5:$E$241,N5,Summary!$D$5:$D$241,"&gt;="&amp;$A50,Summary!$D$5:$D$241,"&lt;"&amp;$A50+7))</f>
        <v>0</v>
      </c>
      <c r="O50">
        <f>IF(O5="","",COUNTIFS(Summary!$E$5:$E$241,O5,Summary!$D$5:$D$241,"&gt;="&amp;$A50,Summary!$D$5:$D$241,"&lt;"&amp;$A50+7))</f>
        <v>0</v>
      </c>
      <c r="P50">
        <f>IF(P5="","",COUNTIFS(Summary!$E$5:$E$241,P5,Summary!$D$5:$D$241,"&gt;="&amp;$A50,Summary!$D$5:$D$241,"&lt;"&amp;$A50+7))</f>
        <v>0</v>
      </c>
      <c r="Q50">
        <f>IF(Q5="","",COUNTIFS(Summary!$E$5:$E$241,Q5,Summary!$D$5:$D$241,"&gt;="&amp;$A50,Summary!$D$5:$D$241,"&lt;"&amp;$A50+7))</f>
        <v>0</v>
      </c>
      <c r="R50">
        <f>IF(R5="","",COUNTIFS(Summary!$E$5:$E$241,R5,Summary!$D$5:$D$241,"&gt;="&amp;$A50,Summary!$D$5:$D$241,"&lt;"&amp;$A50+7))</f>
        <v>0</v>
      </c>
      <c r="S50">
        <f>IF(S5="","",COUNTIFS(Summary!$E$5:$E$241,S5,Summary!$D$5:$D$241,"&gt;="&amp;$A50,Summary!$D$5:$D$241,"&lt;"&amp;$A50+7))</f>
        <v>0</v>
      </c>
      <c r="T50">
        <f>IF(T5="","",COUNTIFS(Summary!$E$5:$E$241,T5,Summary!$D$5:$D$241,"&gt;="&amp;$A50,Summary!$D$5:$D$241,"&lt;"&amp;$A50+7))</f>
        <v>0</v>
      </c>
      <c r="U50">
        <f>IF(U5="","",COUNTIFS(Summary!$E$5:$E$241,U5,Summary!$D$5:$D$241,"&gt;="&amp;$A50,Summary!$D$5:$D$241,"&lt;"&amp;$A50+7))</f>
        <v>0</v>
      </c>
      <c r="V50">
        <f>IF(V5="","",COUNTIFS(Summary!$E$5:$E$241,V5,Summary!$D$5:$D$241,"&gt;="&amp;$A50,Summary!$D$5:$D$241,"&lt;"&amp;$A50+7))</f>
        <v>0</v>
      </c>
      <c r="W50">
        <f>IF(W5="","",COUNTIFS(Summary!$E$5:$E$241,W5,Summary!$D$5:$D$241,"&gt;="&amp;$A50,Summary!$D$5:$D$241,"&lt;"&amp;$A50+7))</f>
        <v>0</v>
      </c>
      <c r="X50">
        <f>IF(X5="","",COUNTIFS(Summary!$E$5:$E$241,X5,Summary!$D$5:$D$241,"&gt;="&amp;$A50,Summary!$D$5:$D$241,"&lt;"&amp;$A50+7))</f>
        <v>0</v>
      </c>
      <c r="Y50">
        <f>IF(Y5="","",COUNTIFS(Summary!$E$5:$E$241,Y5,Summary!$D$5:$D$241,"&gt;="&amp;$A50,Summary!$D$5:$D$241,"&lt;"&amp;$A50+7))</f>
        <v>0</v>
      </c>
      <c r="Z50">
        <f>IF(Z5="","",COUNTIFS(Summary!$E$5:$E$241,Z5,Summary!$D$5:$D$241,"&gt;="&amp;$A50,Summary!$D$5:$D$241,"&lt;"&amp;$A50+7))</f>
        <v>0</v>
      </c>
      <c r="AA50">
        <f>IF(AA5="","",COUNTIFS(Summary!$E$5:$E$241,AA5,Summary!$D$5:$D$241,"&gt;="&amp;$A50,Summary!$D$5:$D$241,"&lt;"&amp;$A50+7))</f>
        <v>0</v>
      </c>
      <c r="AB50">
        <f>IF(AB5="","",COUNTIFS(Summary!$E$5:$E$241,AB5,Summary!$D$5:$D$241,"&gt;="&amp;$A50,Summary!$D$5:$D$241,"&lt;"&amp;$A50+7))</f>
        <v>0</v>
      </c>
      <c r="AC50">
        <f>IF(AC5="","",COUNTIFS(Summary!$E$5:$E$241,AC5,Summary!$D$5:$D$241,"&gt;="&amp;$A50,Summary!$D$5:$D$241,"&lt;"&amp;$A50+7))</f>
        <v>0</v>
      </c>
      <c r="AD50">
        <f>IF(AD5="","",COUNTIFS(Summary!$E$5:$E$241,AD5,Summary!$D$5:$D$241,"&gt;="&amp;$A50,Summary!$D$5:$D$241,"&lt;"&amp;$A50+7))</f>
        <v>0</v>
      </c>
      <c r="AE50">
        <f>IF(AE5="","",COUNTIFS(Summary!$E$5:$E$241,AE5,Summary!$D$5:$D$241,"&gt;="&amp;$A50,Summary!$D$5:$D$241,"&lt;"&amp;$A50+7))</f>
        <v>0</v>
      </c>
      <c r="AF50">
        <f>IF(AF5="","",COUNTIFS(Summary!$E$5:$E$241,AF5,Summary!$D$5:$D$241,"&gt;="&amp;$A50,Summary!$D$5:$D$241,"&lt;"&amp;$A50+7))</f>
        <v>0</v>
      </c>
      <c r="AG50">
        <f>IF(AG5="","",COUNTIFS(Summary!$E$5:$E$241,AG5,Summary!$D$5:$D$241,"&gt;="&amp;$A50,Summary!$D$5:$D$241,"&lt;"&amp;$A50+7))</f>
        <v>0</v>
      </c>
      <c r="AH50">
        <f>IF(AH5="","",COUNTIFS(Summary!$E$5:$E$241,AH5,Summary!$D$5:$D$241,"&gt;="&amp;$A50,Summary!$D$5:$D$241,"&lt;"&amp;$A50+7))</f>
        <v>0</v>
      </c>
      <c r="AI50">
        <f>IF(AI5="","",COUNTIFS(Summary!$E$5:$E$241,AI5,Summary!$D$5:$D$241,"&gt;="&amp;$A50,Summary!$D$5:$D$241,"&lt;"&amp;$A50+7))</f>
        <v>0</v>
      </c>
      <c r="AJ50">
        <f>IF(AJ5="","",COUNTIFS(Summary!$E$5:$E$241,AJ5,Summary!$D$5:$D$241,"&gt;="&amp;$A50,Summary!$D$5:$D$241,"&lt;"&amp;$A50+7))</f>
        <v>0</v>
      </c>
      <c r="AK50">
        <f>IF(AK5="","",COUNTIFS(Summary!$E$5:$E$241,AK5,Summary!$D$5:$D$241,"&gt;="&amp;$A50,Summary!$D$5:$D$241,"&lt;"&amp;$A50+7))</f>
        <v>0</v>
      </c>
      <c r="AL50">
        <f>IF(AL5="","",COUNTIFS(Summary!$E$5:$E$241,AL5,Summary!$D$5:$D$241,"&gt;="&amp;$A50,Summary!$D$5:$D$241,"&lt;"&amp;$A50+7))</f>
        <v>0</v>
      </c>
      <c r="AM50">
        <f>IF(AM5="","",COUNTIFS(Summary!$E$5:$E$241,AM5,Summary!$D$5:$D$241,"&gt;="&amp;$A50,Summary!$D$5:$D$241,"&lt;"&amp;$A50+7))</f>
        <v>0</v>
      </c>
      <c r="AN50">
        <f>IF(AN5="","",COUNTIFS(Summary!$E$5:$E$241,AN5,Summary!$D$5:$D$241,"&gt;="&amp;$A50,Summary!$D$5:$D$241,"&lt;"&amp;$A50+7))</f>
        <v>0</v>
      </c>
      <c r="AO50">
        <f>IF(AO5="","",COUNTIFS(Summary!$E$5:$E$241,AO5,Summary!$D$5:$D$241,"&gt;="&amp;$A50,Summary!$D$5:$D$241,"&lt;"&amp;$A50+7))</f>
        <v>0</v>
      </c>
      <c r="AP50">
        <f>IF(AP5="","",COUNTIFS(Summary!$E$5:$E$241,AP5,Summary!$D$5:$D$241,"&gt;="&amp;$A50,Summary!$D$5:$D$241,"&lt;"&amp;$A50+7))</f>
        <v>0</v>
      </c>
      <c r="AQ50">
        <f>IF(AQ5="","",COUNTIFS(Summary!$E$5:$E$241,AQ5,Summary!$D$5:$D$241,"&gt;="&amp;$A50,Summary!$D$5:$D$241,"&lt;"&amp;$A50+7))</f>
        <v>0</v>
      </c>
      <c r="AR50">
        <f>IF(AR5="","",COUNTIFS(Summary!$E$5:$E$241,AR5,Summary!$D$5:$D$241,"&gt;="&amp;$A50,Summary!$D$5:$D$241,"&lt;"&amp;$A50+7))</f>
        <v>0</v>
      </c>
      <c r="AS50">
        <f>IF(AS5="","",COUNTIFS(Summary!$E$5:$E$241,AS5,Summary!$D$5:$D$241,"&gt;="&amp;$A50,Summary!$D$5:$D$241,"&lt;"&amp;$A50+7))</f>
        <v>0</v>
      </c>
      <c r="AT50">
        <f>IF(AT5="","",COUNTIFS(Summary!$E$5:$E$241,AT5,Summary!$D$5:$D$241,"&gt;="&amp;$A50,Summary!$D$5:$D$241,"&lt;"&amp;$A50+7))</f>
        <v>0</v>
      </c>
      <c r="AU50">
        <f>IF(AU5="","",COUNTIFS(Summary!$E$5:$E$241,AU5,Summary!$D$5:$D$241,"&gt;="&amp;$A50,Summary!$D$5:$D$241,"&lt;"&amp;$A50+7))</f>
        <v>0</v>
      </c>
      <c r="AV50">
        <f>IF(AV5="","",COUNTIFS(Summary!$E$5:$E$241,AV5,Summary!$D$5:$D$241,"&gt;="&amp;$A50,Summary!$D$5:$D$241,"&lt;"&amp;$A50+7))</f>
        <v>0</v>
      </c>
      <c r="AW50">
        <f>IF(AW5="","",COUNTIFS(Summary!$E$5:$E$241,AW5,Summary!$D$5:$D$241,"&gt;="&amp;$A50,Summary!$D$5:$D$241,"&lt;"&amp;$A50+7))</f>
        <v>0</v>
      </c>
      <c r="AX50">
        <f>IF(AX5="","",COUNTIFS(Summary!$E$5:$E$241,AX5,Summary!$D$5:$D$241,"&gt;="&amp;$A50,Summary!$D$5:$D$241,"&lt;"&amp;$A50+7))</f>
        <v>0</v>
      </c>
      <c r="AY50">
        <f>IF(AY5="","",COUNTIFS(Summary!$E$5:$E$241,AY5,Summary!$D$5:$D$241,"&gt;="&amp;$A50,Summary!$D$5:$D$241,"&lt;"&amp;$A50+7))</f>
        <v>0</v>
      </c>
      <c r="AZ50">
        <f>IF(AZ5="","",COUNTIFS(Summary!$E$5:$E$241,AZ5,Summary!$D$5:$D$241,"&gt;="&amp;$A50,Summary!$D$5:$D$241,"&lt;"&amp;$A50+7))</f>
        <v>0</v>
      </c>
      <c r="BA50">
        <f>IF(BA5="","",COUNTIFS(Summary!$E$5:$E$241,BA5,Summary!$D$5:$D$241,"&gt;="&amp;$A50,Summary!$D$5:$D$241,"&lt;"&amp;$A50+7))</f>
        <v>0</v>
      </c>
      <c r="BB50">
        <f>IF(BB5="","",COUNTIFS(Summary!$E$5:$E$241,BB5,Summary!$D$5:$D$241,"&gt;="&amp;$A50,Summary!$D$5:$D$241,"&lt;"&amp;$A50+7))</f>
        <v>0</v>
      </c>
      <c r="BC50">
        <f>IF(BC5="","",COUNTIFS(Summary!$E$5:$E$241,BC5,Summary!$D$5:$D$241,"&gt;="&amp;$A50,Summary!$D$5:$D$241,"&lt;"&amp;$A50+7))</f>
        <v>0</v>
      </c>
      <c r="BD50">
        <f>IF(BD5="","",COUNTIFS(Summary!$E$5:$E$241,BD5,Summary!$D$5:$D$241,"&gt;="&amp;$A50,Summary!$D$5:$D$241,"&lt;"&amp;$A50+7))</f>
        <v>0</v>
      </c>
      <c r="BE50">
        <f>IF(BE5="","",COUNTIFS(Summary!$E$5:$E$241,BE5,Summary!$D$5:$D$241,"&gt;="&amp;$A50,Summary!$D$5:$D$241,"&lt;"&amp;$A50+7))</f>
        <v>0</v>
      </c>
      <c r="BF50" s="28">
        <f>IF(BF5="","",COUNTIFS(Summary!$E$5:$E$241,BF5,Summary!$D$5:$D$241,"&gt;="&amp;$A50,Summary!$D$5:$D$241,"&lt;"&amp;$A50+7))</f>
        <v>0</v>
      </c>
    </row>
    <row r="51" spans="1:58">
      <c r="A51" s="12" t="s">
        <v>1281</v>
      </c>
      <c r="B51" s="13"/>
      <c r="C51" s="13">
        <f t="shared" ref="C51:AH51" si="2">SUM(C6:C50)</f>
        <v>11</v>
      </c>
      <c r="D51" s="13">
        <f t="shared" si="2"/>
        <v>13</v>
      </c>
      <c r="E51" s="13">
        <f t="shared" si="2"/>
        <v>3</v>
      </c>
      <c r="F51" s="13">
        <f t="shared" si="2"/>
        <v>4</v>
      </c>
      <c r="G51" s="13">
        <f t="shared" si="2"/>
        <v>1</v>
      </c>
      <c r="H51" s="13">
        <f t="shared" si="2"/>
        <v>14</v>
      </c>
      <c r="I51" s="13">
        <f t="shared" si="2"/>
        <v>6</v>
      </c>
      <c r="J51" s="13">
        <f t="shared" si="2"/>
        <v>10</v>
      </c>
      <c r="K51" s="13">
        <f t="shared" si="2"/>
        <v>7</v>
      </c>
      <c r="L51" s="13">
        <f t="shared" si="2"/>
        <v>9</v>
      </c>
      <c r="M51" s="13">
        <f t="shared" si="2"/>
        <v>12</v>
      </c>
      <c r="N51" s="13">
        <f t="shared" si="2"/>
        <v>3</v>
      </c>
      <c r="O51" s="13">
        <f t="shared" si="2"/>
        <v>6</v>
      </c>
      <c r="P51" s="13">
        <f t="shared" si="2"/>
        <v>4</v>
      </c>
      <c r="Q51" s="13">
        <f t="shared" si="2"/>
        <v>14</v>
      </c>
      <c r="R51" s="13">
        <f t="shared" si="2"/>
        <v>1</v>
      </c>
      <c r="S51" s="13">
        <f t="shared" si="2"/>
        <v>4</v>
      </c>
      <c r="T51" s="13">
        <f t="shared" si="2"/>
        <v>1</v>
      </c>
      <c r="U51" s="13">
        <f t="shared" si="2"/>
        <v>1</v>
      </c>
      <c r="V51" s="13">
        <f t="shared" si="2"/>
        <v>3</v>
      </c>
      <c r="W51" s="13">
        <f t="shared" si="2"/>
        <v>4</v>
      </c>
      <c r="X51" s="13">
        <f t="shared" si="2"/>
        <v>1</v>
      </c>
      <c r="Y51" s="13">
        <f t="shared" si="2"/>
        <v>7</v>
      </c>
      <c r="Z51" s="13">
        <f t="shared" si="2"/>
        <v>7</v>
      </c>
      <c r="AA51" s="13">
        <f t="shared" si="2"/>
        <v>1</v>
      </c>
      <c r="AB51" s="13">
        <f t="shared" si="2"/>
        <v>4</v>
      </c>
      <c r="AC51" s="13">
        <f t="shared" si="2"/>
        <v>0</v>
      </c>
      <c r="AD51" s="13">
        <f t="shared" si="2"/>
        <v>0</v>
      </c>
      <c r="AE51" s="13">
        <f t="shared" si="2"/>
        <v>0</v>
      </c>
      <c r="AF51" s="13">
        <f t="shared" si="2"/>
        <v>0</v>
      </c>
      <c r="AG51" s="13">
        <f t="shared" si="2"/>
        <v>0</v>
      </c>
      <c r="AH51" s="13">
        <f t="shared" si="2"/>
        <v>0</v>
      </c>
      <c r="AI51" s="13">
        <f t="shared" ref="AI51:BF51" si="3">SUM(AI6:AI50)</f>
        <v>0</v>
      </c>
      <c r="AJ51" s="13">
        <f t="shared" si="3"/>
        <v>0</v>
      </c>
      <c r="AK51" s="13">
        <f t="shared" si="3"/>
        <v>0</v>
      </c>
      <c r="AL51" s="13">
        <f t="shared" si="3"/>
        <v>0</v>
      </c>
      <c r="AM51" s="13">
        <f t="shared" si="3"/>
        <v>0</v>
      </c>
      <c r="AN51" s="13">
        <f t="shared" si="3"/>
        <v>0</v>
      </c>
      <c r="AO51" s="13">
        <f t="shared" si="3"/>
        <v>0</v>
      </c>
      <c r="AP51" s="13">
        <f t="shared" si="3"/>
        <v>0</v>
      </c>
      <c r="AQ51" s="13">
        <f t="shared" si="3"/>
        <v>0</v>
      </c>
      <c r="AR51" s="13">
        <f t="shared" si="3"/>
        <v>0</v>
      </c>
      <c r="AS51" s="13">
        <f t="shared" si="3"/>
        <v>0</v>
      </c>
      <c r="AT51" s="13">
        <f t="shared" si="3"/>
        <v>0</v>
      </c>
      <c r="AU51" s="13">
        <f t="shared" si="3"/>
        <v>0</v>
      </c>
      <c r="AV51" s="13">
        <f t="shared" si="3"/>
        <v>0</v>
      </c>
      <c r="AW51" s="13">
        <f t="shared" si="3"/>
        <v>0</v>
      </c>
      <c r="AX51" s="13">
        <f t="shared" si="3"/>
        <v>0</v>
      </c>
      <c r="AY51" s="13">
        <f t="shared" si="3"/>
        <v>0</v>
      </c>
      <c r="AZ51" s="13">
        <f t="shared" si="3"/>
        <v>0</v>
      </c>
      <c r="BA51" s="13">
        <f t="shared" si="3"/>
        <v>0</v>
      </c>
      <c r="BB51" s="13">
        <f t="shared" si="3"/>
        <v>0</v>
      </c>
      <c r="BC51" s="13">
        <f t="shared" si="3"/>
        <v>0</v>
      </c>
      <c r="BD51" s="13">
        <f t="shared" si="3"/>
        <v>0</v>
      </c>
      <c r="BE51" s="13">
        <f t="shared" si="3"/>
        <v>0</v>
      </c>
      <c r="BF51" s="14">
        <f t="shared" si="3"/>
        <v>0</v>
      </c>
    </row>
    <row r="53" spans="1:58" ht="55.2">
      <c r="A53" s="8" t="s">
        <v>1282</v>
      </c>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row>
    <row r="54" spans="1:58" ht="41.4">
      <c r="A54" s="9"/>
      <c r="B54" s="10" t="s">
        <v>1257</v>
      </c>
      <c r="C54" s="10" t="str">
        <f>Settings!B4</f>
        <v>Ref. leak/ Low charge</v>
      </c>
      <c r="D54" s="10" t="str">
        <f>Settings!B5</f>
        <v>Doors</v>
      </c>
      <c r="E54" s="10" t="str">
        <f>Settings!B6</f>
        <v>Doors</v>
      </c>
      <c r="F54" s="10" t="str">
        <f>Settings!B7</f>
        <v>Doors</v>
      </c>
      <c r="G54" s="10" t="str">
        <f>Settings!B8</f>
        <v>Doors</v>
      </c>
      <c r="H54" s="10" t="str">
        <f>Settings!B9</f>
        <v>Doors</v>
      </c>
      <c r="I54" s="10" t="str">
        <f>Settings!B10</f>
        <v>Doors</v>
      </c>
      <c r="J54" s="10" t="str">
        <f>Settings!B11</f>
        <v>Drain tube blocked</v>
      </c>
      <c r="K54" s="10" t="str">
        <f>Settings!B12</f>
        <v>Wrong / Loose wiring</v>
      </c>
      <c r="L54" s="10" t="str">
        <f>Settings!B13</f>
        <v>Communication problem</v>
      </c>
      <c r="M54" s="10" t="str">
        <f>Settings!B14</f>
        <v>High Store RH</v>
      </c>
      <c r="N54" s="10" t="str">
        <f>Settings!B15</f>
        <v>Enclosure Seal</v>
      </c>
      <c r="O54" s="10" t="str">
        <f>Settings!B16</f>
        <v>Component Failure</v>
      </c>
      <c r="P54" s="10" t="str">
        <f>Settings!B17</f>
        <v>Defrost Sync</v>
      </c>
      <c r="Q54" s="10" t="str">
        <f>Settings!B18</f>
        <v>False Alarm</v>
      </c>
      <c r="R54" s="10" t="str">
        <f>Settings!B19</f>
        <v>Setpoint change</v>
      </c>
      <c r="S54" s="10" t="str">
        <f>Settings!B20</f>
        <v>Overstocking</v>
      </c>
      <c r="T54" s="10" t="str">
        <f>Settings!B21</f>
        <v>Case End Seal</v>
      </c>
      <c r="U54" s="10" t="str">
        <f>Settings!B22</f>
        <v>Return Air blocked</v>
      </c>
      <c r="V54" s="10" t="str">
        <f>Settings!B23</f>
        <v>Unidentified air leak</v>
      </c>
      <c r="W54" s="10" t="str">
        <f>Settings!B24</f>
        <v>Freedom</v>
      </c>
      <c r="X54" s="10" t="str">
        <f>Settings!B25</f>
        <v>Heavy case load</v>
      </c>
      <c r="Y54" s="10" t="str">
        <f>Settings!B26</f>
        <v>DG Installation issue</v>
      </c>
      <c r="Z54" s="10" t="str">
        <f>Settings!B27</f>
        <v>Unknown</v>
      </c>
      <c r="AA54" s="10" t="str">
        <f>Settings!B28</f>
        <v>Program change - Hussmann</v>
      </c>
      <c r="AB54" s="10" t="str">
        <f>Settings!B29</f>
        <v>Wrong program</v>
      </c>
      <c r="AC54" s="10">
        <f>Settings!B30</f>
        <v>0</v>
      </c>
      <c r="AD54" s="10">
        <f>Settings!B31</f>
        <v>0</v>
      </c>
      <c r="AE54" s="10">
        <f>Settings!B32</f>
        <v>0</v>
      </c>
      <c r="AF54" s="10">
        <f>Settings!B33</f>
        <v>0</v>
      </c>
      <c r="AG54" s="10">
        <f>Settings!B34</f>
        <v>0</v>
      </c>
      <c r="AH54" s="10">
        <f>Settings!B35</f>
        <v>0</v>
      </c>
      <c r="AI54" s="10">
        <f>Settings!B36</f>
        <v>0</v>
      </c>
      <c r="AJ54" s="10">
        <f>Settings!B37</f>
        <v>0</v>
      </c>
      <c r="AK54" s="10">
        <f>Settings!B38</f>
        <v>0</v>
      </c>
      <c r="AL54" s="10">
        <f>Settings!B39</f>
        <v>0</v>
      </c>
      <c r="AM54" s="10">
        <f>Settings!B40</f>
        <v>0</v>
      </c>
      <c r="AN54" s="10">
        <f>Settings!B41</f>
        <v>0</v>
      </c>
      <c r="AO54" s="10">
        <f>Settings!B42</f>
        <v>0</v>
      </c>
      <c r="AP54" s="10">
        <f>Settings!B43</f>
        <v>0</v>
      </c>
      <c r="AQ54" s="10">
        <f>Settings!B44</f>
        <v>0</v>
      </c>
      <c r="AR54" s="10">
        <f>Settings!B45</f>
        <v>0</v>
      </c>
      <c r="AS54" s="10">
        <f>Settings!B46</f>
        <v>0</v>
      </c>
      <c r="AT54" s="10">
        <f>Settings!B47</f>
        <v>0</v>
      </c>
      <c r="AU54" s="10">
        <f>Settings!B48</f>
        <v>0</v>
      </c>
      <c r="AV54" s="10">
        <f>Settings!B49</f>
        <v>0</v>
      </c>
      <c r="AW54" s="10">
        <f>Settings!B50</f>
        <v>0</v>
      </c>
      <c r="AX54" s="10">
        <f>Settings!B51</f>
        <v>0</v>
      </c>
      <c r="AY54" s="10">
        <f>Settings!B52</f>
        <v>0</v>
      </c>
      <c r="AZ54" s="10">
        <f>Settings!B53</f>
        <v>0</v>
      </c>
      <c r="BA54" s="10">
        <f>Settings!B54</f>
        <v>0</v>
      </c>
      <c r="BB54" s="10">
        <f>Settings!B55</f>
        <v>0</v>
      </c>
      <c r="BC54" s="10">
        <f>Settings!B56</f>
        <v>0</v>
      </c>
      <c r="BD54" s="10">
        <f>Settings!B57</f>
        <v>0</v>
      </c>
      <c r="BE54" s="10">
        <f>Settings!B58</f>
        <v>0</v>
      </c>
      <c r="BF54" s="11">
        <f>Settings!B59</f>
        <v>0</v>
      </c>
    </row>
    <row r="55" spans="1:58" ht="41.4">
      <c r="A55" s="83" t="s">
        <v>1280</v>
      </c>
      <c r="B55" s="84" t="s">
        <v>1139</v>
      </c>
      <c r="C55" s="84" t="str">
        <f>Settings!A4</f>
        <v>Ref. leak/ Low charge</v>
      </c>
      <c r="D55" s="84" t="str">
        <f>Settings!A5</f>
        <v>Door Torque</v>
      </c>
      <c r="E55" s="84" t="str">
        <f>Settings!A6</f>
        <v>Door Gasket</v>
      </c>
      <c r="F55" s="84" t="str">
        <f>Settings!A7</f>
        <v>Door frame heater</v>
      </c>
      <c r="G55" s="84" t="str">
        <f>Settings!A8</f>
        <v>Door Torsion rod</v>
      </c>
      <c r="H55" s="84" t="str">
        <f>Settings!A9</f>
        <v>Door not closed (Overnight)</v>
      </c>
      <c r="I55" s="84" t="str">
        <f>Settings!A10</f>
        <v>Door - general</v>
      </c>
      <c r="J55" s="84" t="str">
        <f>Settings!A11</f>
        <v>Drain tube blocked</v>
      </c>
      <c r="K55" s="84" t="str">
        <f>Settings!A12</f>
        <v>Wrong / Loose wiring</v>
      </c>
      <c r="L55" s="84" t="str">
        <f>Settings!A13</f>
        <v>Communication problem</v>
      </c>
      <c r="M55" s="84" t="str">
        <f>Settings!A14</f>
        <v>High Store RH</v>
      </c>
      <c r="N55" s="84" t="str">
        <f>Settings!A15</f>
        <v>Enclosure Seal</v>
      </c>
      <c r="O55" s="84" t="str">
        <f>Settings!A16</f>
        <v>Component Failure</v>
      </c>
      <c r="P55" s="84" t="str">
        <f>Settings!A17</f>
        <v>Defrost Sync</v>
      </c>
      <c r="Q55" s="84" t="str">
        <f>Settings!A18</f>
        <v>False Alarm</v>
      </c>
      <c r="R55" s="84" t="str">
        <f>Settings!A19</f>
        <v>Setpoint change</v>
      </c>
      <c r="S55" s="84" t="str">
        <f>Settings!A20</f>
        <v>Overstocking</v>
      </c>
      <c r="T55" s="84" t="str">
        <f>Settings!A21</f>
        <v>Case End Seal</v>
      </c>
      <c r="U55" s="84" t="str">
        <f>Settings!A22</f>
        <v>Return Air blocked</v>
      </c>
      <c r="V55" s="84" t="str">
        <f>Settings!A23</f>
        <v>Unidentified air leak</v>
      </c>
      <c r="W55" s="84" t="str">
        <f>Settings!A24</f>
        <v>Freedom</v>
      </c>
      <c r="X55" s="84" t="str">
        <f>Settings!A25</f>
        <v>Heavy case load</v>
      </c>
      <c r="Y55" s="84" t="str">
        <f>Settings!A26</f>
        <v>DG Installation issue</v>
      </c>
      <c r="Z55" s="84" t="str">
        <f>Settings!A27</f>
        <v>Unknown</v>
      </c>
      <c r="AA55" s="84" t="str">
        <f>Settings!A28</f>
        <v>Program change - Hussmann</v>
      </c>
      <c r="AB55" s="84" t="str">
        <f>Settings!A29</f>
        <v>Wrong program</v>
      </c>
      <c r="AC55" s="84">
        <f>Settings!A30</f>
        <v>0</v>
      </c>
      <c r="AD55" s="84">
        <f>Settings!A31</f>
        <v>0</v>
      </c>
      <c r="AE55" s="84">
        <f>Settings!A32</f>
        <v>0</v>
      </c>
      <c r="AF55" s="84">
        <f>Settings!A33</f>
        <v>0</v>
      </c>
      <c r="AG55" s="84">
        <f>Settings!A34</f>
        <v>0</v>
      </c>
      <c r="AH55" s="84">
        <f>Settings!A35</f>
        <v>0</v>
      </c>
      <c r="AI55" s="84">
        <f>Settings!A36</f>
        <v>0</v>
      </c>
      <c r="AJ55" s="84">
        <f>Settings!A37</f>
        <v>0</v>
      </c>
      <c r="AK55" s="84">
        <f>Settings!A38</f>
        <v>0</v>
      </c>
      <c r="AL55" s="84">
        <f>Settings!A39</f>
        <v>0</v>
      </c>
      <c r="AM55" s="84">
        <f>Settings!A40</f>
        <v>0</v>
      </c>
      <c r="AN55" s="84">
        <f>Settings!A41</f>
        <v>0</v>
      </c>
      <c r="AO55" s="84">
        <f>Settings!A42</f>
        <v>0</v>
      </c>
      <c r="AP55" s="84">
        <f>Settings!A43</f>
        <v>0</v>
      </c>
      <c r="AQ55" s="84">
        <f>Settings!A44</f>
        <v>0</v>
      </c>
      <c r="AR55" s="84">
        <f>Settings!A45</f>
        <v>0</v>
      </c>
      <c r="AS55" s="84">
        <f>Settings!A46</f>
        <v>0</v>
      </c>
      <c r="AT55" s="84">
        <f>Settings!A47</f>
        <v>0</v>
      </c>
      <c r="AU55" s="84">
        <f>Settings!A48</f>
        <v>0</v>
      </c>
      <c r="AV55" s="84">
        <f>Settings!A49</f>
        <v>0</v>
      </c>
      <c r="AW55" s="84">
        <f>Settings!A50</f>
        <v>0</v>
      </c>
      <c r="AX55" s="84">
        <f>Settings!A51</f>
        <v>0</v>
      </c>
      <c r="AY55" s="84">
        <f>Settings!A52</f>
        <v>0</v>
      </c>
      <c r="AZ55" s="84">
        <f>Settings!A53</f>
        <v>0</v>
      </c>
      <c r="BA55" s="84">
        <f>Settings!A54</f>
        <v>0</v>
      </c>
      <c r="BB55" s="84">
        <f>Settings!A55</f>
        <v>0</v>
      </c>
      <c r="BC55" s="84">
        <f>Settings!A56</f>
        <v>0</v>
      </c>
      <c r="BD55" s="84">
        <f>Settings!A57</f>
        <v>0</v>
      </c>
      <c r="BE55" s="84">
        <f>Settings!A58</f>
        <v>0</v>
      </c>
      <c r="BF55" s="85">
        <f>Settings!A59</f>
        <v>0</v>
      </c>
    </row>
    <row r="56" spans="1:58">
      <c r="A56" s="70">
        <f>MIN(Summary!$D$5:$D$241)-WEEKDAY(MIN(Summary!$D$5:$D$241),2)+1</f>
        <v>46083</v>
      </c>
      <c r="B56" s="2" t="str">
        <f t="shared" ref="B56:B100" si="4">TEXT(A56,"mmm d")</f>
        <v>Mar 2</v>
      </c>
      <c r="C56">
        <f>IF(C55="","",COUNTIFS(Summary!$E$5:$E$241,C55,Summary!$D$5:$D$241,"&gt;="&amp;$A56,Summary!$D$5:$D$241,"&lt;"&amp;$A56+7,Summary!$G$5:$G$241,"Yes"))</f>
        <v>0</v>
      </c>
      <c r="D56">
        <f>IF(D55="","",COUNTIFS(Summary!$E$5:$E$241,D55,Summary!$D$5:$D$241,"&gt;="&amp;$A56,Summary!$D$5:$D$241,"&lt;"&amp;$A56+7,Summary!$G$5:$G$241,"Yes"))</f>
        <v>0</v>
      </c>
      <c r="E56">
        <f>IF(E55="","",COUNTIFS(Summary!$E$5:$E$241,E55,Summary!$D$5:$D$241,"&gt;="&amp;$A56,Summary!$D$5:$D$241,"&lt;"&amp;$A56+7,Summary!$G$5:$G$241,"Yes"))</f>
        <v>0</v>
      </c>
      <c r="F56">
        <f>IF(F55="","",COUNTIFS(Summary!$E$5:$E$241,F55,Summary!$D$5:$D$241,"&gt;="&amp;$A56,Summary!$D$5:$D$241,"&lt;"&amp;$A56+7,Summary!$G$5:$G$241,"Yes"))</f>
        <v>0</v>
      </c>
      <c r="G56">
        <f>IF(G55="","",COUNTIFS(Summary!$E$5:$E$241,G55,Summary!$D$5:$D$241,"&gt;="&amp;$A56,Summary!$D$5:$D$241,"&lt;"&amp;$A56+7,Summary!$G$5:$G$241,"Yes"))</f>
        <v>0</v>
      </c>
      <c r="H56">
        <f>IF(H55="","",COUNTIFS(Summary!$E$5:$E$241,H55,Summary!$D$5:$D$241,"&gt;="&amp;$A56,Summary!$D$5:$D$241,"&lt;"&amp;$A56+7,Summary!$G$5:$G$241,"Yes"))</f>
        <v>0</v>
      </c>
      <c r="I56">
        <f>IF(I55="","",COUNTIFS(Summary!$E$5:$E$241,I55,Summary!$D$5:$D$241,"&gt;="&amp;$A56,Summary!$D$5:$D$241,"&lt;"&amp;$A56+7,Summary!$G$5:$G$241,"Yes"))</f>
        <v>0</v>
      </c>
      <c r="J56">
        <f>IF(J55="","",COUNTIFS(Summary!$E$5:$E$241,J55,Summary!$D$5:$D$241,"&gt;="&amp;$A56,Summary!$D$5:$D$241,"&lt;"&amp;$A56+7,Summary!$G$5:$G$241,"Yes"))</f>
        <v>0</v>
      </c>
      <c r="K56">
        <f>IF(K55="","",COUNTIFS(Summary!$E$5:$E$241,K55,Summary!$D$5:$D$241,"&gt;="&amp;$A56,Summary!$D$5:$D$241,"&lt;"&amp;$A56+7,Summary!$G$5:$G$241,"Yes"))</f>
        <v>0</v>
      </c>
      <c r="L56">
        <f>IF(L55="","",COUNTIFS(Summary!$E$5:$E$241,L55,Summary!$D$5:$D$241,"&gt;="&amp;$A56,Summary!$D$5:$D$241,"&lt;"&amp;$A56+7,Summary!$G$5:$G$241,"Yes"))</f>
        <v>0</v>
      </c>
      <c r="M56">
        <f>IF(M55="","",COUNTIFS(Summary!$E$5:$E$241,M55,Summary!$D$5:$D$241,"&gt;="&amp;$A56,Summary!$D$5:$D$241,"&lt;"&amp;$A56+7,Summary!$G$5:$G$241,"Yes"))</f>
        <v>0</v>
      </c>
      <c r="N56">
        <f>IF(N55="","",COUNTIFS(Summary!$E$5:$E$241,N55,Summary!$D$5:$D$241,"&gt;="&amp;$A56,Summary!$D$5:$D$241,"&lt;"&amp;$A56+7,Summary!$G$5:$G$241,"Yes"))</f>
        <v>0</v>
      </c>
      <c r="O56">
        <f>IF(O55="","",COUNTIFS(Summary!$E$5:$E$241,O55,Summary!$D$5:$D$241,"&gt;="&amp;$A56,Summary!$D$5:$D$241,"&lt;"&amp;$A56+7,Summary!$G$5:$G$241,"Yes"))</f>
        <v>0</v>
      </c>
      <c r="P56">
        <f>IF(P55="","",COUNTIFS(Summary!$E$5:$E$241,P55,Summary!$D$5:$D$241,"&gt;="&amp;$A56,Summary!$D$5:$D$241,"&lt;"&amp;$A56+7,Summary!$G$5:$G$241,"Yes"))</f>
        <v>0</v>
      </c>
      <c r="Q56">
        <f>IF(Q55="","",COUNTIFS(Summary!$E$5:$E$241,Q55,Summary!$D$5:$D$241,"&gt;="&amp;$A56,Summary!$D$5:$D$241,"&lt;"&amp;$A56+7,Summary!$G$5:$G$241,"Yes"))</f>
        <v>0</v>
      </c>
      <c r="R56">
        <f>IF(R55="","",COUNTIFS(Summary!$E$5:$E$241,R55,Summary!$D$5:$D$241,"&gt;="&amp;$A56,Summary!$D$5:$D$241,"&lt;"&amp;$A56+7,Summary!$G$5:$G$241,"Yes"))</f>
        <v>0</v>
      </c>
      <c r="S56">
        <f>IF(S55="","",COUNTIFS(Summary!$E$5:$E$241,S55,Summary!$D$5:$D$241,"&gt;="&amp;$A56,Summary!$D$5:$D$241,"&lt;"&amp;$A56+7,Summary!$G$5:$G$241,"Yes"))</f>
        <v>0</v>
      </c>
      <c r="T56">
        <f>IF(T55="","",COUNTIFS(Summary!$E$5:$E$241,T55,Summary!$D$5:$D$241,"&gt;="&amp;$A56,Summary!$D$5:$D$241,"&lt;"&amp;$A56+7,Summary!$G$5:$G$241,"Yes"))</f>
        <v>0</v>
      </c>
      <c r="U56">
        <f>IF(U55="","",COUNTIFS(Summary!$E$5:$E$241,U55,Summary!$D$5:$D$241,"&gt;="&amp;$A56,Summary!$D$5:$D$241,"&lt;"&amp;$A56+7,Summary!$G$5:$G$241,"Yes"))</f>
        <v>0</v>
      </c>
      <c r="V56">
        <f>IF(V55="","",COUNTIFS(Summary!$E$5:$E$241,V55,Summary!$D$5:$D$241,"&gt;="&amp;$A56,Summary!$D$5:$D$241,"&lt;"&amp;$A56+7,Summary!$G$5:$G$241,"Yes"))</f>
        <v>0</v>
      </c>
      <c r="W56">
        <f>IF(W55="","",COUNTIFS(Summary!$E$5:$E$241,W55,Summary!$D$5:$D$241,"&gt;="&amp;$A56,Summary!$D$5:$D$241,"&lt;"&amp;$A56+7,Summary!$G$5:$G$241,"Yes"))</f>
        <v>0</v>
      </c>
      <c r="X56">
        <f>IF(X55="","",COUNTIFS(Summary!$E$5:$E$241,X55,Summary!$D$5:$D$241,"&gt;="&amp;$A56,Summary!$D$5:$D$241,"&lt;"&amp;$A56+7,Summary!$G$5:$G$241,"Yes"))</f>
        <v>0</v>
      </c>
      <c r="Y56">
        <f>IF(Y55="","",COUNTIFS(Summary!$E$5:$E$241,Y55,Summary!$D$5:$D$241,"&gt;="&amp;$A56,Summary!$D$5:$D$241,"&lt;"&amp;$A56+7,Summary!$G$5:$G$241,"Yes"))</f>
        <v>0</v>
      </c>
      <c r="Z56">
        <f>IF(Z55="","",COUNTIFS(Summary!$E$5:$E$241,Z55,Summary!$D$5:$D$241,"&gt;="&amp;$A56,Summary!$D$5:$D$241,"&lt;"&amp;$A56+7,Summary!$G$5:$G$241,"Yes"))</f>
        <v>0</v>
      </c>
      <c r="AA56">
        <f>IF(AA55="","",COUNTIFS(Summary!$E$5:$E$241,AA55,Summary!$D$5:$D$241,"&gt;="&amp;$A56,Summary!$D$5:$D$241,"&lt;"&amp;$A56+7,Summary!$G$5:$G$241,"Yes"))</f>
        <v>0</v>
      </c>
      <c r="AB56">
        <f>IF(AB55="","",COUNTIFS(Summary!$E$5:$E$241,AB55,Summary!$D$5:$D$241,"&gt;="&amp;$A56,Summary!$D$5:$D$241,"&lt;"&amp;$A56+7,Summary!$G$5:$G$241,"Yes"))</f>
        <v>0</v>
      </c>
      <c r="AC56">
        <f>IF(AC55="","",COUNTIFS(Summary!$E$5:$E$241,AC55,Summary!$D$5:$D$241,"&gt;="&amp;$A56,Summary!$D$5:$D$241,"&lt;"&amp;$A56+7,Summary!$G$5:$G$241,"Yes"))</f>
        <v>0</v>
      </c>
      <c r="AD56">
        <f>IF(AD55="","",COUNTIFS(Summary!$E$5:$E$241,AD55,Summary!$D$5:$D$241,"&gt;="&amp;$A56,Summary!$D$5:$D$241,"&lt;"&amp;$A56+7,Summary!$G$5:$G$241,"Yes"))</f>
        <v>0</v>
      </c>
      <c r="AE56">
        <f>IF(AE55="","",COUNTIFS(Summary!$E$5:$E$241,AE55,Summary!$D$5:$D$241,"&gt;="&amp;$A56,Summary!$D$5:$D$241,"&lt;"&amp;$A56+7,Summary!$G$5:$G$241,"Yes"))</f>
        <v>0</v>
      </c>
      <c r="AF56">
        <f>IF(AF55="","",COUNTIFS(Summary!$E$5:$E$241,AF55,Summary!$D$5:$D$241,"&gt;="&amp;$A56,Summary!$D$5:$D$241,"&lt;"&amp;$A56+7,Summary!$G$5:$G$241,"Yes"))</f>
        <v>0</v>
      </c>
      <c r="AG56">
        <f>IF(AG55="","",COUNTIFS(Summary!$E$5:$E$241,AG55,Summary!$D$5:$D$241,"&gt;="&amp;$A56,Summary!$D$5:$D$241,"&lt;"&amp;$A56+7,Summary!$G$5:$G$241,"Yes"))</f>
        <v>0</v>
      </c>
      <c r="AH56">
        <f>IF(AH55="","",COUNTIFS(Summary!$E$5:$E$241,AH55,Summary!$D$5:$D$241,"&gt;="&amp;$A56,Summary!$D$5:$D$241,"&lt;"&amp;$A56+7,Summary!$G$5:$G$241,"Yes"))</f>
        <v>0</v>
      </c>
      <c r="AI56">
        <f>IF(AI55="","",COUNTIFS(Summary!$E$5:$E$241,AI55,Summary!$D$5:$D$241,"&gt;="&amp;$A56,Summary!$D$5:$D$241,"&lt;"&amp;$A56+7,Summary!$G$5:$G$241,"Yes"))</f>
        <v>0</v>
      </c>
      <c r="AJ56">
        <f>IF(AJ55="","",COUNTIFS(Summary!$E$5:$E$241,AJ55,Summary!$D$5:$D$241,"&gt;="&amp;$A56,Summary!$D$5:$D$241,"&lt;"&amp;$A56+7,Summary!$G$5:$G$241,"Yes"))</f>
        <v>0</v>
      </c>
      <c r="AK56">
        <f>IF(AK55="","",COUNTIFS(Summary!$E$5:$E$241,AK55,Summary!$D$5:$D$241,"&gt;="&amp;$A56,Summary!$D$5:$D$241,"&lt;"&amp;$A56+7,Summary!$G$5:$G$241,"Yes"))</f>
        <v>0</v>
      </c>
      <c r="AL56">
        <f>IF(AL55="","",COUNTIFS(Summary!$E$5:$E$241,AL55,Summary!$D$5:$D$241,"&gt;="&amp;$A56,Summary!$D$5:$D$241,"&lt;"&amp;$A56+7,Summary!$G$5:$G$241,"Yes"))</f>
        <v>0</v>
      </c>
      <c r="AM56">
        <f>IF(AM55="","",COUNTIFS(Summary!$E$5:$E$241,AM55,Summary!$D$5:$D$241,"&gt;="&amp;$A56,Summary!$D$5:$D$241,"&lt;"&amp;$A56+7,Summary!$G$5:$G$241,"Yes"))</f>
        <v>0</v>
      </c>
      <c r="AN56">
        <f>IF(AN55="","",COUNTIFS(Summary!$E$5:$E$241,AN55,Summary!$D$5:$D$241,"&gt;="&amp;$A56,Summary!$D$5:$D$241,"&lt;"&amp;$A56+7,Summary!$G$5:$G$241,"Yes"))</f>
        <v>0</v>
      </c>
      <c r="AO56">
        <f>IF(AO55="","",COUNTIFS(Summary!$E$5:$E$241,AO55,Summary!$D$5:$D$241,"&gt;="&amp;$A56,Summary!$D$5:$D$241,"&lt;"&amp;$A56+7,Summary!$G$5:$G$241,"Yes"))</f>
        <v>0</v>
      </c>
      <c r="AP56">
        <f>IF(AP55="","",COUNTIFS(Summary!$E$5:$E$241,AP55,Summary!$D$5:$D$241,"&gt;="&amp;$A56,Summary!$D$5:$D$241,"&lt;"&amp;$A56+7,Summary!$G$5:$G$241,"Yes"))</f>
        <v>0</v>
      </c>
      <c r="AQ56">
        <f>IF(AQ55="","",COUNTIFS(Summary!$E$5:$E$241,AQ55,Summary!$D$5:$D$241,"&gt;="&amp;$A56,Summary!$D$5:$D$241,"&lt;"&amp;$A56+7,Summary!$G$5:$G$241,"Yes"))</f>
        <v>0</v>
      </c>
      <c r="AR56">
        <f>IF(AR55="","",COUNTIFS(Summary!$E$5:$E$241,AR55,Summary!$D$5:$D$241,"&gt;="&amp;$A56,Summary!$D$5:$D$241,"&lt;"&amp;$A56+7,Summary!$G$5:$G$241,"Yes"))</f>
        <v>0</v>
      </c>
      <c r="AS56">
        <f>IF(AS55="","",COUNTIFS(Summary!$E$5:$E$241,AS55,Summary!$D$5:$D$241,"&gt;="&amp;$A56,Summary!$D$5:$D$241,"&lt;"&amp;$A56+7,Summary!$G$5:$G$241,"Yes"))</f>
        <v>0</v>
      </c>
      <c r="AT56">
        <f>IF(AT55="","",COUNTIFS(Summary!$E$5:$E$241,AT55,Summary!$D$5:$D$241,"&gt;="&amp;$A56,Summary!$D$5:$D$241,"&lt;"&amp;$A56+7,Summary!$G$5:$G$241,"Yes"))</f>
        <v>0</v>
      </c>
      <c r="AU56">
        <f>IF(AU55="","",COUNTIFS(Summary!$E$5:$E$241,AU55,Summary!$D$5:$D$241,"&gt;="&amp;$A56,Summary!$D$5:$D$241,"&lt;"&amp;$A56+7,Summary!$G$5:$G$241,"Yes"))</f>
        <v>0</v>
      </c>
      <c r="AV56">
        <f>IF(AV55="","",COUNTIFS(Summary!$E$5:$E$241,AV55,Summary!$D$5:$D$241,"&gt;="&amp;$A56,Summary!$D$5:$D$241,"&lt;"&amp;$A56+7,Summary!$G$5:$G$241,"Yes"))</f>
        <v>0</v>
      </c>
      <c r="AW56">
        <f>IF(AW55="","",COUNTIFS(Summary!$E$5:$E$241,AW55,Summary!$D$5:$D$241,"&gt;="&amp;$A56,Summary!$D$5:$D$241,"&lt;"&amp;$A56+7,Summary!$G$5:$G$241,"Yes"))</f>
        <v>0</v>
      </c>
      <c r="AX56">
        <f>IF(AX55="","",COUNTIFS(Summary!$E$5:$E$241,AX55,Summary!$D$5:$D$241,"&gt;="&amp;$A56,Summary!$D$5:$D$241,"&lt;"&amp;$A56+7,Summary!$G$5:$G$241,"Yes"))</f>
        <v>0</v>
      </c>
      <c r="AY56">
        <f>IF(AY55="","",COUNTIFS(Summary!$E$5:$E$241,AY55,Summary!$D$5:$D$241,"&gt;="&amp;$A56,Summary!$D$5:$D$241,"&lt;"&amp;$A56+7,Summary!$G$5:$G$241,"Yes"))</f>
        <v>0</v>
      </c>
      <c r="AZ56">
        <f>IF(AZ55="","",COUNTIFS(Summary!$E$5:$E$241,AZ55,Summary!$D$5:$D$241,"&gt;="&amp;$A56,Summary!$D$5:$D$241,"&lt;"&amp;$A56+7,Summary!$G$5:$G$241,"Yes"))</f>
        <v>0</v>
      </c>
      <c r="BA56">
        <f>IF(BA55="","",COUNTIFS(Summary!$E$5:$E$241,BA55,Summary!$D$5:$D$241,"&gt;="&amp;$A56,Summary!$D$5:$D$241,"&lt;"&amp;$A56+7,Summary!$G$5:$G$241,"Yes"))</f>
        <v>0</v>
      </c>
      <c r="BB56">
        <f>IF(BB55="","",COUNTIFS(Summary!$E$5:$E$241,BB55,Summary!$D$5:$D$241,"&gt;="&amp;$A56,Summary!$D$5:$D$241,"&lt;"&amp;$A56+7,Summary!$G$5:$G$241,"Yes"))</f>
        <v>0</v>
      </c>
      <c r="BC56">
        <f>IF(BC55="","",COUNTIFS(Summary!$E$5:$E$241,BC55,Summary!$D$5:$D$241,"&gt;="&amp;$A56,Summary!$D$5:$D$241,"&lt;"&amp;$A56+7,Summary!$G$5:$G$241,"Yes"))</f>
        <v>0</v>
      </c>
      <c r="BD56">
        <f>IF(BD55="","",COUNTIFS(Summary!$E$5:$E$241,BD55,Summary!$D$5:$D$241,"&gt;="&amp;$A56,Summary!$D$5:$D$241,"&lt;"&amp;$A56+7,Summary!$G$5:$G$241,"Yes"))</f>
        <v>0</v>
      </c>
      <c r="BE56">
        <f>IF(BE55="","",COUNTIFS(Summary!$E$5:$E$241,BE55,Summary!$D$5:$D$241,"&gt;="&amp;$A56,Summary!$D$5:$D$241,"&lt;"&amp;$A56+7,Summary!$G$5:$G$241,"Yes"))</f>
        <v>0</v>
      </c>
      <c r="BF56" s="28">
        <f>IF(BF55="","",COUNTIFS(Summary!$E$5:$E$241,BF55,Summary!$D$5:$D$241,"&gt;="&amp;$A56,Summary!$D$5:$D$241,"&lt;"&amp;$A56+7,Summary!$G$5:$G$241,"Yes"))</f>
        <v>0</v>
      </c>
    </row>
    <row r="57" spans="1:58">
      <c r="A57" s="18">
        <f t="shared" ref="A57:A100" si="5">A56+7</f>
        <v>46090</v>
      </c>
      <c r="B57" s="2" t="str">
        <f t="shared" si="4"/>
        <v>Mar 9</v>
      </c>
      <c r="C57">
        <f>IF(C55="","",COUNTIFS(Summary!$E$5:$E$241,C55,Summary!$D$5:$D$241,"&gt;="&amp;$A57,Summary!$D$5:$D$241,"&lt;"&amp;$A57+7,Summary!$G$5:$G$241,"Yes"))</f>
        <v>0</v>
      </c>
      <c r="D57">
        <f>IF(D55="","",COUNTIFS(Summary!$E$5:$E$241,D55,Summary!$D$5:$D$241,"&gt;="&amp;$A57,Summary!$D$5:$D$241,"&lt;"&amp;$A57+7,Summary!$G$5:$G$241,"Yes"))</f>
        <v>0</v>
      </c>
      <c r="E57">
        <f>IF(E55="","",COUNTIFS(Summary!$E$5:$E$241,E55,Summary!$D$5:$D$241,"&gt;="&amp;$A57,Summary!$D$5:$D$241,"&lt;"&amp;$A57+7,Summary!$G$5:$G$241,"Yes"))</f>
        <v>0</v>
      </c>
      <c r="F57">
        <f>IF(F55="","",COUNTIFS(Summary!$E$5:$E$241,F55,Summary!$D$5:$D$241,"&gt;="&amp;$A57,Summary!$D$5:$D$241,"&lt;"&amp;$A57+7,Summary!$G$5:$G$241,"Yes"))</f>
        <v>0</v>
      </c>
      <c r="G57">
        <f>IF(G55="","",COUNTIFS(Summary!$E$5:$E$241,G55,Summary!$D$5:$D$241,"&gt;="&amp;$A57,Summary!$D$5:$D$241,"&lt;"&amp;$A57+7,Summary!$G$5:$G$241,"Yes"))</f>
        <v>0</v>
      </c>
      <c r="H57">
        <f>IF(H55="","",COUNTIFS(Summary!$E$5:$E$241,H55,Summary!$D$5:$D$241,"&gt;="&amp;$A57,Summary!$D$5:$D$241,"&lt;"&amp;$A57+7,Summary!$G$5:$G$241,"Yes"))</f>
        <v>0</v>
      </c>
      <c r="I57">
        <f>IF(I55="","",COUNTIFS(Summary!$E$5:$E$241,I55,Summary!$D$5:$D$241,"&gt;="&amp;$A57,Summary!$D$5:$D$241,"&lt;"&amp;$A57+7,Summary!$G$5:$G$241,"Yes"))</f>
        <v>0</v>
      </c>
      <c r="J57">
        <f>IF(J55="","",COUNTIFS(Summary!$E$5:$E$241,J55,Summary!$D$5:$D$241,"&gt;="&amp;$A57,Summary!$D$5:$D$241,"&lt;"&amp;$A57+7,Summary!$G$5:$G$241,"Yes"))</f>
        <v>0</v>
      </c>
      <c r="K57">
        <f>IF(K55="","",COUNTIFS(Summary!$E$5:$E$241,K55,Summary!$D$5:$D$241,"&gt;="&amp;$A57,Summary!$D$5:$D$241,"&lt;"&amp;$A57+7,Summary!$G$5:$G$241,"Yes"))</f>
        <v>0</v>
      </c>
      <c r="L57">
        <f>IF(L55="","",COUNTIFS(Summary!$E$5:$E$241,L55,Summary!$D$5:$D$241,"&gt;="&amp;$A57,Summary!$D$5:$D$241,"&lt;"&amp;$A57+7,Summary!$G$5:$G$241,"Yes"))</f>
        <v>0</v>
      </c>
      <c r="M57">
        <f>IF(M55="","",COUNTIFS(Summary!$E$5:$E$241,M55,Summary!$D$5:$D$241,"&gt;="&amp;$A57,Summary!$D$5:$D$241,"&lt;"&amp;$A57+7,Summary!$G$5:$G$241,"Yes"))</f>
        <v>0</v>
      </c>
      <c r="N57">
        <f>IF(N55="","",COUNTIFS(Summary!$E$5:$E$241,N55,Summary!$D$5:$D$241,"&gt;="&amp;$A57,Summary!$D$5:$D$241,"&lt;"&amp;$A57+7,Summary!$G$5:$G$241,"Yes"))</f>
        <v>0</v>
      </c>
      <c r="O57">
        <f>IF(O55="","",COUNTIFS(Summary!$E$5:$E$241,O55,Summary!$D$5:$D$241,"&gt;="&amp;$A57,Summary!$D$5:$D$241,"&lt;"&amp;$A57+7,Summary!$G$5:$G$241,"Yes"))</f>
        <v>0</v>
      </c>
      <c r="P57">
        <f>IF(P55="","",COUNTIFS(Summary!$E$5:$E$241,P55,Summary!$D$5:$D$241,"&gt;="&amp;$A57,Summary!$D$5:$D$241,"&lt;"&amp;$A57+7,Summary!$G$5:$G$241,"Yes"))</f>
        <v>0</v>
      </c>
      <c r="Q57">
        <f>IF(Q55="","",COUNTIFS(Summary!$E$5:$E$241,Q55,Summary!$D$5:$D$241,"&gt;="&amp;$A57,Summary!$D$5:$D$241,"&lt;"&amp;$A57+7,Summary!$G$5:$G$241,"Yes"))</f>
        <v>0</v>
      </c>
      <c r="R57">
        <f>IF(R55="","",COUNTIFS(Summary!$E$5:$E$241,R55,Summary!$D$5:$D$241,"&gt;="&amp;$A57,Summary!$D$5:$D$241,"&lt;"&amp;$A57+7,Summary!$G$5:$G$241,"Yes"))</f>
        <v>0</v>
      </c>
      <c r="S57">
        <f>IF(S55="","",COUNTIFS(Summary!$E$5:$E$241,S55,Summary!$D$5:$D$241,"&gt;="&amp;$A57,Summary!$D$5:$D$241,"&lt;"&amp;$A57+7,Summary!$G$5:$G$241,"Yes"))</f>
        <v>0</v>
      </c>
      <c r="T57">
        <f>IF(T55="","",COUNTIFS(Summary!$E$5:$E$241,T55,Summary!$D$5:$D$241,"&gt;="&amp;$A57,Summary!$D$5:$D$241,"&lt;"&amp;$A57+7,Summary!$G$5:$G$241,"Yes"))</f>
        <v>0</v>
      </c>
      <c r="U57">
        <f>IF(U55="","",COUNTIFS(Summary!$E$5:$E$241,U55,Summary!$D$5:$D$241,"&gt;="&amp;$A57,Summary!$D$5:$D$241,"&lt;"&amp;$A57+7,Summary!$G$5:$G$241,"Yes"))</f>
        <v>0</v>
      </c>
      <c r="V57">
        <f>IF(V55="","",COUNTIFS(Summary!$E$5:$E$241,V55,Summary!$D$5:$D$241,"&gt;="&amp;$A57,Summary!$D$5:$D$241,"&lt;"&amp;$A57+7,Summary!$G$5:$G$241,"Yes"))</f>
        <v>0</v>
      </c>
      <c r="W57">
        <f>IF(W55="","",COUNTIFS(Summary!$E$5:$E$241,W55,Summary!$D$5:$D$241,"&gt;="&amp;$A57,Summary!$D$5:$D$241,"&lt;"&amp;$A57+7,Summary!$G$5:$G$241,"Yes"))</f>
        <v>0</v>
      </c>
      <c r="X57">
        <f>IF(X55="","",COUNTIFS(Summary!$E$5:$E$241,X55,Summary!$D$5:$D$241,"&gt;="&amp;$A57,Summary!$D$5:$D$241,"&lt;"&amp;$A57+7,Summary!$G$5:$G$241,"Yes"))</f>
        <v>0</v>
      </c>
      <c r="Y57">
        <f>IF(Y55="","",COUNTIFS(Summary!$E$5:$E$241,Y55,Summary!$D$5:$D$241,"&gt;="&amp;$A57,Summary!$D$5:$D$241,"&lt;"&amp;$A57+7,Summary!$G$5:$G$241,"Yes"))</f>
        <v>0</v>
      </c>
      <c r="Z57">
        <f>IF(Z55="","",COUNTIFS(Summary!$E$5:$E$241,Z55,Summary!$D$5:$D$241,"&gt;="&amp;$A57,Summary!$D$5:$D$241,"&lt;"&amp;$A57+7,Summary!$G$5:$G$241,"Yes"))</f>
        <v>0</v>
      </c>
      <c r="AA57">
        <f>IF(AA55="","",COUNTIFS(Summary!$E$5:$E$241,AA55,Summary!$D$5:$D$241,"&gt;="&amp;$A57,Summary!$D$5:$D$241,"&lt;"&amp;$A57+7,Summary!$G$5:$G$241,"Yes"))</f>
        <v>0</v>
      </c>
      <c r="AB57">
        <f>IF(AB55="","",COUNTIFS(Summary!$E$5:$E$241,AB55,Summary!$D$5:$D$241,"&gt;="&amp;$A57,Summary!$D$5:$D$241,"&lt;"&amp;$A57+7,Summary!$G$5:$G$241,"Yes"))</f>
        <v>0</v>
      </c>
      <c r="AC57">
        <f>IF(AC55="","",COUNTIFS(Summary!$E$5:$E$241,AC55,Summary!$D$5:$D$241,"&gt;="&amp;$A57,Summary!$D$5:$D$241,"&lt;"&amp;$A57+7,Summary!$G$5:$G$241,"Yes"))</f>
        <v>0</v>
      </c>
      <c r="AD57">
        <f>IF(AD55="","",COUNTIFS(Summary!$E$5:$E$241,AD55,Summary!$D$5:$D$241,"&gt;="&amp;$A57,Summary!$D$5:$D$241,"&lt;"&amp;$A57+7,Summary!$G$5:$G$241,"Yes"))</f>
        <v>0</v>
      </c>
      <c r="AE57">
        <f>IF(AE55="","",COUNTIFS(Summary!$E$5:$E$241,AE55,Summary!$D$5:$D$241,"&gt;="&amp;$A57,Summary!$D$5:$D$241,"&lt;"&amp;$A57+7,Summary!$G$5:$G$241,"Yes"))</f>
        <v>0</v>
      </c>
      <c r="AF57">
        <f>IF(AF55="","",COUNTIFS(Summary!$E$5:$E$241,AF55,Summary!$D$5:$D$241,"&gt;="&amp;$A57,Summary!$D$5:$D$241,"&lt;"&amp;$A57+7,Summary!$G$5:$G$241,"Yes"))</f>
        <v>0</v>
      </c>
      <c r="AG57">
        <f>IF(AG55="","",COUNTIFS(Summary!$E$5:$E$241,AG55,Summary!$D$5:$D$241,"&gt;="&amp;$A57,Summary!$D$5:$D$241,"&lt;"&amp;$A57+7,Summary!$G$5:$G$241,"Yes"))</f>
        <v>0</v>
      </c>
      <c r="AH57">
        <f>IF(AH55="","",COUNTIFS(Summary!$E$5:$E$241,AH55,Summary!$D$5:$D$241,"&gt;="&amp;$A57,Summary!$D$5:$D$241,"&lt;"&amp;$A57+7,Summary!$G$5:$G$241,"Yes"))</f>
        <v>0</v>
      </c>
      <c r="AI57">
        <f>IF(AI55="","",COUNTIFS(Summary!$E$5:$E$241,AI55,Summary!$D$5:$D$241,"&gt;="&amp;$A57,Summary!$D$5:$D$241,"&lt;"&amp;$A57+7,Summary!$G$5:$G$241,"Yes"))</f>
        <v>0</v>
      </c>
      <c r="AJ57">
        <f>IF(AJ55="","",COUNTIFS(Summary!$E$5:$E$241,AJ55,Summary!$D$5:$D$241,"&gt;="&amp;$A57,Summary!$D$5:$D$241,"&lt;"&amp;$A57+7,Summary!$G$5:$G$241,"Yes"))</f>
        <v>0</v>
      </c>
      <c r="AK57">
        <f>IF(AK55="","",COUNTIFS(Summary!$E$5:$E$241,AK55,Summary!$D$5:$D$241,"&gt;="&amp;$A57,Summary!$D$5:$D$241,"&lt;"&amp;$A57+7,Summary!$G$5:$G$241,"Yes"))</f>
        <v>0</v>
      </c>
      <c r="AL57">
        <f>IF(AL55="","",COUNTIFS(Summary!$E$5:$E$241,AL55,Summary!$D$5:$D$241,"&gt;="&amp;$A57,Summary!$D$5:$D$241,"&lt;"&amp;$A57+7,Summary!$G$5:$G$241,"Yes"))</f>
        <v>0</v>
      </c>
      <c r="AM57">
        <f>IF(AM55="","",COUNTIFS(Summary!$E$5:$E$241,AM55,Summary!$D$5:$D$241,"&gt;="&amp;$A57,Summary!$D$5:$D$241,"&lt;"&amp;$A57+7,Summary!$G$5:$G$241,"Yes"))</f>
        <v>0</v>
      </c>
      <c r="AN57">
        <f>IF(AN55="","",COUNTIFS(Summary!$E$5:$E$241,AN55,Summary!$D$5:$D$241,"&gt;="&amp;$A57,Summary!$D$5:$D$241,"&lt;"&amp;$A57+7,Summary!$G$5:$G$241,"Yes"))</f>
        <v>0</v>
      </c>
      <c r="AO57">
        <f>IF(AO55="","",COUNTIFS(Summary!$E$5:$E$241,AO55,Summary!$D$5:$D$241,"&gt;="&amp;$A57,Summary!$D$5:$D$241,"&lt;"&amp;$A57+7,Summary!$G$5:$G$241,"Yes"))</f>
        <v>0</v>
      </c>
      <c r="AP57">
        <f>IF(AP55="","",COUNTIFS(Summary!$E$5:$E$241,AP55,Summary!$D$5:$D$241,"&gt;="&amp;$A57,Summary!$D$5:$D$241,"&lt;"&amp;$A57+7,Summary!$G$5:$G$241,"Yes"))</f>
        <v>0</v>
      </c>
      <c r="AQ57">
        <f>IF(AQ55="","",COUNTIFS(Summary!$E$5:$E$241,AQ55,Summary!$D$5:$D$241,"&gt;="&amp;$A57,Summary!$D$5:$D$241,"&lt;"&amp;$A57+7,Summary!$G$5:$G$241,"Yes"))</f>
        <v>0</v>
      </c>
      <c r="AR57">
        <f>IF(AR55="","",COUNTIFS(Summary!$E$5:$E$241,AR55,Summary!$D$5:$D$241,"&gt;="&amp;$A57,Summary!$D$5:$D$241,"&lt;"&amp;$A57+7,Summary!$G$5:$G$241,"Yes"))</f>
        <v>0</v>
      </c>
      <c r="AS57">
        <f>IF(AS55="","",COUNTIFS(Summary!$E$5:$E$241,AS55,Summary!$D$5:$D$241,"&gt;="&amp;$A57,Summary!$D$5:$D$241,"&lt;"&amp;$A57+7,Summary!$G$5:$G$241,"Yes"))</f>
        <v>0</v>
      </c>
      <c r="AT57">
        <f>IF(AT55="","",COUNTIFS(Summary!$E$5:$E$241,AT55,Summary!$D$5:$D$241,"&gt;="&amp;$A57,Summary!$D$5:$D$241,"&lt;"&amp;$A57+7,Summary!$G$5:$G$241,"Yes"))</f>
        <v>0</v>
      </c>
      <c r="AU57">
        <f>IF(AU55="","",COUNTIFS(Summary!$E$5:$E$241,AU55,Summary!$D$5:$D$241,"&gt;="&amp;$A57,Summary!$D$5:$D$241,"&lt;"&amp;$A57+7,Summary!$G$5:$G$241,"Yes"))</f>
        <v>0</v>
      </c>
      <c r="AV57">
        <f>IF(AV55="","",COUNTIFS(Summary!$E$5:$E$241,AV55,Summary!$D$5:$D$241,"&gt;="&amp;$A57,Summary!$D$5:$D$241,"&lt;"&amp;$A57+7,Summary!$G$5:$G$241,"Yes"))</f>
        <v>0</v>
      </c>
      <c r="AW57">
        <f>IF(AW55="","",COUNTIFS(Summary!$E$5:$E$241,AW55,Summary!$D$5:$D$241,"&gt;="&amp;$A57,Summary!$D$5:$D$241,"&lt;"&amp;$A57+7,Summary!$G$5:$G$241,"Yes"))</f>
        <v>0</v>
      </c>
      <c r="AX57">
        <f>IF(AX55="","",COUNTIFS(Summary!$E$5:$E$241,AX55,Summary!$D$5:$D$241,"&gt;="&amp;$A57,Summary!$D$5:$D$241,"&lt;"&amp;$A57+7,Summary!$G$5:$G$241,"Yes"))</f>
        <v>0</v>
      </c>
      <c r="AY57">
        <f>IF(AY55="","",COUNTIFS(Summary!$E$5:$E$241,AY55,Summary!$D$5:$D$241,"&gt;="&amp;$A57,Summary!$D$5:$D$241,"&lt;"&amp;$A57+7,Summary!$G$5:$G$241,"Yes"))</f>
        <v>0</v>
      </c>
      <c r="AZ57">
        <f>IF(AZ55="","",COUNTIFS(Summary!$E$5:$E$241,AZ55,Summary!$D$5:$D$241,"&gt;="&amp;$A57,Summary!$D$5:$D$241,"&lt;"&amp;$A57+7,Summary!$G$5:$G$241,"Yes"))</f>
        <v>0</v>
      </c>
      <c r="BA57">
        <f>IF(BA55="","",COUNTIFS(Summary!$E$5:$E$241,BA55,Summary!$D$5:$D$241,"&gt;="&amp;$A57,Summary!$D$5:$D$241,"&lt;"&amp;$A57+7,Summary!$G$5:$G$241,"Yes"))</f>
        <v>0</v>
      </c>
      <c r="BB57">
        <f>IF(BB55="","",COUNTIFS(Summary!$E$5:$E$241,BB55,Summary!$D$5:$D$241,"&gt;="&amp;$A57,Summary!$D$5:$D$241,"&lt;"&amp;$A57+7,Summary!$G$5:$G$241,"Yes"))</f>
        <v>0</v>
      </c>
      <c r="BC57">
        <f>IF(BC55="","",COUNTIFS(Summary!$E$5:$E$241,BC55,Summary!$D$5:$D$241,"&gt;="&amp;$A57,Summary!$D$5:$D$241,"&lt;"&amp;$A57+7,Summary!$G$5:$G$241,"Yes"))</f>
        <v>0</v>
      </c>
      <c r="BD57">
        <f>IF(BD55="","",COUNTIFS(Summary!$E$5:$E$241,BD55,Summary!$D$5:$D$241,"&gt;="&amp;$A57,Summary!$D$5:$D$241,"&lt;"&amp;$A57+7,Summary!$G$5:$G$241,"Yes"))</f>
        <v>0</v>
      </c>
      <c r="BE57">
        <f>IF(BE55="","",COUNTIFS(Summary!$E$5:$E$241,BE55,Summary!$D$5:$D$241,"&gt;="&amp;$A57,Summary!$D$5:$D$241,"&lt;"&amp;$A57+7,Summary!$G$5:$G$241,"Yes"))</f>
        <v>0</v>
      </c>
      <c r="BF57" s="28">
        <f>IF(BF55="","",COUNTIFS(Summary!$E$5:$E$241,BF55,Summary!$D$5:$D$241,"&gt;="&amp;$A57,Summary!$D$5:$D$241,"&lt;"&amp;$A57+7,Summary!$G$5:$G$241,"Yes"))</f>
        <v>0</v>
      </c>
    </row>
    <row r="58" spans="1:58">
      <c r="A58" s="18">
        <f t="shared" si="5"/>
        <v>46097</v>
      </c>
      <c r="B58" s="2" t="str">
        <f t="shared" si="4"/>
        <v>Mar 16</v>
      </c>
      <c r="C58">
        <f>IF(C55="","",COUNTIFS(Summary!$E$5:$E$241,C55,Summary!$D$5:$D$241,"&gt;="&amp;$A58,Summary!$D$5:$D$241,"&lt;"&amp;$A58+7,Summary!$G$5:$G$241,"Yes"))</f>
        <v>0</v>
      </c>
      <c r="D58">
        <f>IF(D55="","",COUNTIFS(Summary!$E$5:$E$241,D55,Summary!$D$5:$D$241,"&gt;="&amp;$A58,Summary!$D$5:$D$241,"&lt;"&amp;$A58+7,Summary!$G$5:$G$241,"Yes"))</f>
        <v>0</v>
      </c>
      <c r="E58">
        <f>IF(E55="","",COUNTIFS(Summary!$E$5:$E$241,E55,Summary!$D$5:$D$241,"&gt;="&amp;$A58,Summary!$D$5:$D$241,"&lt;"&amp;$A58+7,Summary!$G$5:$G$241,"Yes"))</f>
        <v>0</v>
      </c>
      <c r="F58">
        <f>IF(F55="","",COUNTIFS(Summary!$E$5:$E$241,F55,Summary!$D$5:$D$241,"&gt;="&amp;$A58,Summary!$D$5:$D$241,"&lt;"&amp;$A58+7,Summary!$G$5:$G$241,"Yes"))</f>
        <v>0</v>
      </c>
      <c r="G58">
        <f>IF(G55="","",COUNTIFS(Summary!$E$5:$E$241,G55,Summary!$D$5:$D$241,"&gt;="&amp;$A58,Summary!$D$5:$D$241,"&lt;"&amp;$A58+7,Summary!$G$5:$G$241,"Yes"))</f>
        <v>0</v>
      </c>
      <c r="H58">
        <f>IF(H55="","",COUNTIFS(Summary!$E$5:$E$241,H55,Summary!$D$5:$D$241,"&gt;="&amp;$A58,Summary!$D$5:$D$241,"&lt;"&amp;$A58+7,Summary!$G$5:$G$241,"Yes"))</f>
        <v>0</v>
      </c>
      <c r="I58">
        <f>IF(I55="","",COUNTIFS(Summary!$E$5:$E$241,I55,Summary!$D$5:$D$241,"&gt;="&amp;$A58,Summary!$D$5:$D$241,"&lt;"&amp;$A58+7,Summary!$G$5:$G$241,"Yes"))</f>
        <v>0</v>
      </c>
      <c r="J58">
        <f>IF(J55="","",COUNTIFS(Summary!$E$5:$E$241,J55,Summary!$D$5:$D$241,"&gt;="&amp;$A58,Summary!$D$5:$D$241,"&lt;"&amp;$A58+7,Summary!$G$5:$G$241,"Yes"))</f>
        <v>0</v>
      </c>
      <c r="K58">
        <f>IF(K55="","",COUNTIFS(Summary!$E$5:$E$241,K55,Summary!$D$5:$D$241,"&gt;="&amp;$A58,Summary!$D$5:$D$241,"&lt;"&amp;$A58+7,Summary!$G$5:$G$241,"Yes"))</f>
        <v>0</v>
      </c>
      <c r="L58">
        <f>IF(L55="","",COUNTIFS(Summary!$E$5:$E$241,L55,Summary!$D$5:$D$241,"&gt;="&amp;$A58,Summary!$D$5:$D$241,"&lt;"&amp;$A58+7,Summary!$G$5:$G$241,"Yes"))</f>
        <v>0</v>
      </c>
      <c r="M58">
        <f>IF(M55="","",COUNTIFS(Summary!$E$5:$E$241,M55,Summary!$D$5:$D$241,"&gt;="&amp;$A58,Summary!$D$5:$D$241,"&lt;"&amp;$A58+7,Summary!$G$5:$G$241,"Yes"))</f>
        <v>0</v>
      </c>
      <c r="N58">
        <f>IF(N55="","",COUNTIFS(Summary!$E$5:$E$241,N55,Summary!$D$5:$D$241,"&gt;="&amp;$A58,Summary!$D$5:$D$241,"&lt;"&amp;$A58+7,Summary!$G$5:$G$241,"Yes"))</f>
        <v>0</v>
      </c>
      <c r="O58">
        <f>IF(O55="","",COUNTIFS(Summary!$E$5:$E$241,O55,Summary!$D$5:$D$241,"&gt;="&amp;$A58,Summary!$D$5:$D$241,"&lt;"&amp;$A58+7,Summary!$G$5:$G$241,"Yes"))</f>
        <v>0</v>
      </c>
      <c r="P58">
        <f>IF(P55="","",COUNTIFS(Summary!$E$5:$E$241,P55,Summary!$D$5:$D$241,"&gt;="&amp;$A58,Summary!$D$5:$D$241,"&lt;"&amp;$A58+7,Summary!$G$5:$G$241,"Yes"))</f>
        <v>0</v>
      </c>
      <c r="Q58">
        <f>IF(Q55="","",COUNTIFS(Summary!$E$5:$E$241,Q55,Summary!$D$5:$D$241,"&gt;="&amp;$A58,Summary!$D$5:$D$241,"&lt;"&amp;$A58+7,Summary!$G$5:$G$241,"Yes"))</f>
        <v>0</v>
      </c>
      <c r="R58">
        <f>IF(R55="","",COUNTIFS(Summary!$E$5:$E$241,R55,Summary!$D$5:$D$241,"&gt;="&amp;$A58,Summary!$D$5:$D$241,"&lt;"&amp;$A58+7,Summary!$G$5:$G$241,"Yes"))</f>
        <v>0</v>
      </c>
      <c r="S58">
        <f>IF(S55="","",COUNTIFS(Summary!$E$5:$E$241,S55,Summary!$D$5:$D$241,"&gt;="&amp;$A58,Summary!$D$5:$D$241,"&lt;"&amp;$A58+7,Summary!$G$5:$G$241,"Yes"))</f>
        <v>0</v>
      </c>
      <c r="T58">
        <f>IF(T55="","",COUNTIFS(Summary!$E$5:$E$241,T55,Summary!$D$5:$D$241,"&gt;="&amp;$A58,Summary!$D$5:$D$241,"&lt;"&amp;$A58+7,Summary!$G$5:$G$241,"Yes"))</f>
        <v>0</v>
      </c>
      <c r="U58">
        <f>IF(U55="","",COUNTIFS(Summary!$E$5:$E$241,U55,Summary!$D$5:$D$241,"&gt;="&amp;$A58,Summary!$D$5:$D$241,"&lt;"&amp;$A58+7,Summary!$G$5:$G$241,"Yes"))</f>
        <v>0</v>
      </c>
      <c r="V58">
        <f>IF(V55="","",COUNTIFS(Summary!$E$5:$E$241,V55,Summary!$D$5:$D$241,"&gt;="&amp;$A58,Summary!$D$5:$D$241,"&lt;"&amp;$A58+7,Summary!$G$5:$G$241,"Yes"))</f>
        <v>0</v>
      </c>
      <c r="W58">
        <f>IF(W55="","",COUNTIFS(Summary!$E$5:$E$241,W55,Summary!$D$5:$D$241,"&gt;="&amp;$A58,Summary!$D$5:$D$241,"&lt;"&amp;$A58+7,Summary!$G$5:$G$241,"Yes"))</f>
        <v>0</v>
      </c>
      <c r="X58">
        <f>IF(X55="","",COUNTIFS(Summary!$E$5:$E$241,X55,Summary!$D$5:$D$241,"&gt;="&amp;$A58,Summary!$D$5:$D$241,"&lt;"&amp;$A58+7,Summary!$G$5:$G$241,"Yes"))</f>
        <v>0</v>
      </c>
      <c r="Y58">
        <f>IF(Y55="","",COUNTIFS(Summary!$E$5:$E$241,Y55,Summary!$D$5:$D$241,"&gt;="&amp;$A58,Summary!$D$5:$D$241,"&lt;"&amp;$A58+7,Summary!$G$5:$G$241,"Yes"))</f>
        <v>0</v>
      </c>
      <c r="Z58">
        <f>IF(Z55="","",COUNTIFS(Summary!$E$5:$E$241,Z55,Summary!$D$5:$D$241,"&gt;="&amp;$A58,Summary!$D$5:$D$241,"&lt;"&amp;$A58+7,Summary!$G$5:$G$241,"Yes"))</f>
        <v>0</v>
      </c>
      <c r="AA58">
        <f>IF(AA55="","",COUNTIFS(Summary!$E$5:$E$241,AA55,Summary!$D$5:$D$241,"&gt;="&amp;$A58,Summary!$D$5:$D$241,"&lt;"&amp;$A58+7,Summary!$G$5:$G$241,"Yes"))</f>
        <v>0</v>
      </c>
      <c r="AB58">
        <f>IF(AB55="","",COUNTIFS(Summary!$E$5:$E$241,AB55,Summary!$D$5:$D$241,"&gt;="&amp;$A58,Summary!$D$5:$D$241,"&lt;"&amp;$A58+7,Summary!$G$5:$G$241,"Yes"))</f>
        <v>0</v>
      </c>
      <c r="AC58">
        <f>IF(AC55="","",COUNTIFS(Summary!$E$5:$E$241,AC55,Summary!$D$5:$D$241,"&gt;="&amp;$A58,Summary!$D$5:$D$241,"&lt;"&amp;$A58+7,Summary!$G$5:$G$241,"Yes"))</f>
        <v>0</v>
      </c>
      <c r="AD58">
        <f>IF(AD55="","",COUNTIFS(Summary!$E$5:$E$241,AD55,Summary!$D$5:$D$241,"&gt;="&amp;$A58,Summary!$D$5:$D$241,"&lt;"&amp;$A58+7,Summary!$G$5:$G$241,"Yes"))</f>
        <v>0</v>
      </c>
      <c r="AE58">
        <f>IF(AE55="","",COUNTIFS(Summary!$E$5:$E$241,AE55,Summary!$D$5:$D$241,"&gt;="&amp;$A58,Summary!$D$5:$D$241,"&lt;"&amp;$A58+7,Summary!$G$5:$G$241,"Yes"))</f>
        <v>0</v>
      </c>
      <c r="AF58">
        <f>IF(AF55="","",COUNTIFS(Summary!$E$5:$E$241,AF55,Summary!$D$5:$D$241,"&gt;="&amp;$A58,Summary!$D$5:$D$241,"&lt;"&amp;$A58+7,Summary!$G$5:$G$241,"Yes"))</f>
        <v>0</v>
      </c>
      <c r="AG58">
        <f>IF(AG55="","",COUNTIFS(Summary!$E$5:$E$241,AG55,Summary!$D$5:$D$241,"&gt;="&amp;$A58,Summary!$D$5:$D$241,"&lt;"&amp;$A58+7,Summary!$G$5:$G$241,"Yes"))</f>
        <v>0</v>
      </c>
      <c r="AH58">
        <f>IF(AH55="","",COUNTIFS(Summary!$E$5:$E$241,AH55,Summary!$D$5:$D$241,"&gt;="&amp;$A58,Summary!$D$5:$D$241,"&lt;"&amp;$A58+7,Summary!$G$5:$G$241,"Yes"))</f>
        <v>0</v>
      </c>
      <c r="AI58">
        <f>IF(AI55="","",COUNTIFS(Summary!$E$5:$E$241,AI55,Summary!$D$5:$D$241,"&gt;="&amp;$A58,Summary!$D$5:$D$241,"&lt;"&amp;$A58+7,Summary!$G$5:$G$241,"Yes"))</f>
        <v>0</v>
      </c>
      <c r="AJ58">
        <f>IF(AJ55="","",COUNTIFS(Summary!$E$5:$E$241,AJ55,Summary!$D$5:$D$241,"&gt;="&amp;$A58,Summary!$D$5:$D$241,"&lt;"&amp;$A58+7,Summary!$G$5:$G$241,"Yes"))</f>
        <v>0</v>
      </c>
      <c r="AK58">
        <f>IF(AK55="","",COUNTIFS(Summary!$E$5:$E$241,AK55,Summary!$D$5:$D$241,"&gt;="&amp;$A58,Summary!$D$5:$D$241,"&lt;"&amp;$A58+7,Summary!$G$5:$G$241,"Yes"))</f>
        <v>0</v>
      </c>
      <c r="AL58">
        <f>IF(AL55="","",COUNTIFS(Summary!$E$5:$E$241,AL55,Summary!$D$5:$D$241,"&gt;="&amp;$A58,Summary!$D$5:$D$241,"&lt;"&amp;$A58+7,Summary!$G$5:$G$241,"Yes"))</f>
        <v>0</v>
      </c>
      <c r="AM58">
        <f>IF(AM55="","",COUNTIFS(Summary!$E$5:$E$241,AM55,Summary!$D$5:$D$241,"&gt;="&amp;$A58,Summary!$D$5:$D$241,"&lt;"&amp;$A58+7,Summary!$G$5:$G$241,"Yes"))</f>
        <v>0</v>
      </c>
      <c r="AN58">
        <f>IF(AN55="","",COUNTIFS(Summary!$E$5:$E$241,AN55,Summary!$D$5:$D$241,"&gt;="&amp;$A58,Summary!$D$5:$D$241,"&lt;"&amp;$A58+7,Summary!$G$5:$G$241,"Yes"))</f>
        <v>0</v>
      </c>
      <c r="AO58">
        <f>IF(AO55="","",COUNTIFS(Summary!$E$5:$E$241,AO55,Summary!$D$5:$D$241,"&gt;="&amp;$A58,Summary!$D$5:$D$241,"&lt;"&amp;$A58+7,Summary!$G$5:$G$241,"Yes"))</f>
        <v>0</v>
      </c>
      <c r="AP58">
        <f>IF(AP55="","",COUNTIFS(Summary!$E$5:$E$241,AP55,Summary!$D$5:$D$241,"&gt;="&amp;$A58,Summary!$D$5:$D$241,"&lt;"&amp;$A58+7,Summary!$G$5:$G$241,"Yes"))</f>
        <v>0</v>
      </c>
      <c r="AQ58">
        <f>IF(AQ55="","",COUNTIFS(Summary!$E$5:$E$241,AQ55,Summary!$D$5:$D$241,"&gt;="&amp;$A58,Summary!$D$5:$D$241,"&lt;"&amp;$A58+7,Summary!$G$5:$G$241,"Yes"))</f>
        <v>0</v>
      </c>
      <c r="AR58">
        <f>IF(AR55="","",COUNTIFS(Summary!$E$5:$E$241,AR55,Summary!$D$5:$D$241,"&gt;="&amp;$A58,Summary!$D$5:$D$241,"&lt;"&amp;$A58+7,Summary!$G$5:$G$241,"Yes"))</f>
        <v>0</v>
      </c>
      <c r="AS58">
        <f>IF(AS55="","",COUNTIFS(Summary!$E$5:$E$241,AS55,Summary!$D$5:$D$241,"&gt;="&amp;$A58,Summary!$D$5:$D$241,"&lt;"&amp;$A58+7,Summary!$G$5:$G$241,"Yes"))</f>
        <v>0</v>
      </c>
      <c r="AT58">
        <f>IF(AT55="","",COUNTIFS(Summary!$E$5:$E$241,AT55,Summary!$D$5:$D$241,"&gt;="&amp;$A58,Summary!$D$5:$D$241,"&lt;"&amp;$A58+7,Summary!$G$5:$G$241,"Yes"))</f>
        <v>0</v>
      </c>
      <c r="AU58">
        <f>IF(AU55="","",COUNTIFS(Summary!$E$5:$E$241,AU55,Summary!$D$5:$D$241,"&gt;="&amp;$A58,Summary!$D$5:$D$241,"&lt;"&amp;$A58+7,Summary!$G$5:$G$241,"Yes"))</f>
        <v>0</v>
      </c>
      <c r="AV58">
        <f>IF(AV55="","",COUNTIFS(Summary!$E$5:$E$241,AV55,Summary!$D$5:$D$241,"&gt;="&amp;$A58,Summary!$D$5:$D$241,"&lt;"&amp;$A58+7,Summary!$G$5:$G$241,"Yes"))</f>
        <v>0</v>
      </c>
      <c r="AW58">
        <f>IF(AW55="","",COUNTIFS(Summary!$E$5:$E$241,AW55,Summary!$D$5:$D$241,"&gt;="&amp;$A58,Summary!$D$5:$D$241,"&lt;"&amp;$A58+7,Summary!$G$5:$G$241,"Yes"))</f>
        <v>0</v>
      </c>
      <c r="AX58">
        <f>IF(AX55="","",COUNTIFS(Summary!$E$5:$E$241,AX55,Summary!$D$5:$D$241,"&gt;="&amp;$A58,Summary!$D$5:$D$241,"&lt;"&amp;$A58+7,Summary!$G$5:$G$241,"Yes"))</f>
        <v>0</v>
      </c>
      <c r="AY58">
        <f>IF(AY55="","",COUNTIFS(Summary!$E$5:$E$241,AY55,Summary!$D$5:$D$241,"&gt;="&amp;$A58,Summary!$D$5:$D$241,"&lt;"&amp;$A58+7,Summary!$G$5:$G$241,"Yes"))</f>
        <v>0</v>
      </c>
      <c r="AZ58">
        <f>IF(AZ55="","",COUNTIFS(Summary!$E$5:$E$241,AZ55,Summary!$D$5:$D$241,"&gt;="&amp;$A58,Summary!$D$5:$D$241,"&lt;"&amp;$A58+7,Summary!$G$5:$G$241,"Yes"))</f>
        <v>0</v>
      </c>
      <c r="BA58">
        <f>IF(BA55="","",COUNTIFS(Summary!$E$5:$E$241,BA55,Summary!$D$5:$D$241,"&gt;="&amp;$A58,Summary!$D$5:$D$241,"&lt;"&amp;$A58+7,Summary!$G$5:$G$241,"Yes"))</f>
        <v>0</v>
      </c>
      <c r="BB58">
        <f>IF(BB55="","",COUNTIFS(Summary!$E$5:$E$241,BB55,Summary!$D$5:$D$241,"&gt;="&amp;$A58,Summary!$D$5:$D$241,"&lt;"&amp;$A58+7,Summary!$G$5:$G$241,"Yes"))</f>
        <v>0</v>
      </c>
      <c r="BC58">
        <f>IF(BC55="","",COUNTIFS(Summary!$E$5:$E$241,BC55,Summary!$D$5:$D$241,"&gt;="&amp;$A58,Summary!$D$5:$D$241,"&lt;"&amp;$A58+7,Summary!$G$5:$G$241,"Yes"))</f>
        <v>0</v>
      </c>
      <c r="BD58">
        <f>IF(BD55="","",COUNTIFS(Summary!$E$5:$E$241,BD55,Summary!$D$5:$D$241,"&gt;="&amp;$A58,Summary!$D$5:$D$241,"&lt;"&amp;$A58+7,Summary!$G$5:$G$241,"Yes"))</f>
        <v>0</v>
      </c>
      <c r="BE58">
        <f>IF(BE55="","",COUNTIFS(Summary!$E$5:$E$241,BE55,Summary!$D$5:$D$241,"&gt;="&amp;$A58,Summary!$D$5:$D$241,"&lt;"&amp;$A58+7,Summary!$G$5:$G$241,"Yes"))</f>
        <v>0</v>
      </c>
      <c r="BF58" s="28">
        <f>IF(BF55="","",COUNTIFS(Summary!$E$5:$E$241,BF55,Summary!$D$5:$D$241,"&gt;="&amp;$A58,Summary!$D$5:$D$241,"&lt;"&amp;$A58+7,Summary!$G$5:$G$241,"Yes"))</f>
        <v>0</v>
      </c>
    </row>
    <row r="59" spans="1:58">
      <c r="A59" s="18">
        <f t="shared" si="5"/>
        <v>46104</v>
      </c>
      <c r="B59" s="2" t="str">
        <f t="shared" si="4"/>
        <v>Mar 23</v>
      </c>
      <c r="C59">
        <f>IF(C55="","",COUNTIFS(Summary!$E$5:$E$241,C55,Summary!$D$5:$D$241,"&gt;="&amp;$A59,Summary!$D$5:$D$241,"&lt;"&amp;$A59+7,Summary!$G$5:$G$241,"Yes"))</f>
        <v>0</v>
      </c>
      <c r="D59">
        <f>IF(D55="","",COUNTIFS(Summary!$E$5:$E$241,D55,Summary!$D$5:$D$241,"&gt;="&amp;$A59,Summary!$D$5:$D$241,"&lt;"&amp;$A59+7,Summary!$G$5:$G$241,"Yes"))</f>
        <v>0</v>
      </c>
      <c r="E59">
        <f>IF(E55="","",COUNTIFS(Summary!$E$5:$E$241,E55,Summary!$D$5:$D$241,"&gt;="&amp;$A59,Summary!$D$5:$D$241,"&lt;"&amp;$A59+7,Summary!$G$5:$G$241,"Yes"))</f>
        <v>0</v>
      </c>
      <c r="F59">
        <f>IF(F55="","",COUNTIFS(Summary!$E$5:$E$241,F55,Summary!$D$5:$D$241,"&gt;="&amp;$A59,Summary!$D$5:$D$241,"&lt;"&amp;$A59+7,Summary!$G$5:$G$241,"Yes"))</f>
        <v>0</v>
      </c>
      <c r="G59">
        <f>IF(G55="","",COUNTIFS(Summary!$E$5:$E$241,G55,Summary!$D$5:$D$241,"&gt;="&amp;$A59,Summary!$D$5:$D$241,"&lt;"&amp;$A59+7,Summary!$G$5:$G$241,"Yes"))</f>
        <v>0</v>
      </c>
      <c r="H59">
        <f>IF(H55="","",COUNTIFS(Summary!$E$5:$E$241,H55,Summary!$D$5:$D$241,"&gt;="&amp;$A59,Summary!$D$5:$D$241,"&lt;"&amp;$A59+7,Summary!$G$5:$G$241,"Yes"))</f>
        <v>0</v>
      </c>
      <c r="I59">
        <f>IF(I55="","",COUNTIFS(Summary!$E$5:$E$241,I55,Summary!$D$5:$D$241,"&gt;="&amp;$A59,Summary!$D$5:$D$241,"&lt;"&amp;$A59+7,Summary!$G$5:$G$241,"Yes"))</f>
        <v>0</v>
      </c>
      <c r="J59">
        <f>IF(J55="","",COUNTIFS(Summary!$E$5:$E$241,J55,Summary!$D$5:$D$241,"&gt;="&amp;$A59,Summary!$D$5:$D$241,"&lt;"&amp;$A59+7,Summary!$G$5:$G$241,"Yes"))</f>
        <v>0</v>
      </c>
      <c r="K59">
        <f>IF(K55="","",COUNTIFS(Summary!$E$5:$E$241,K55,Summary!$D$5:$D$241,"&gt;="&amp;$A59,Summary!$D$5:$D$241,"&lt;"&amp;$A59+7,Summary!$G$5:$G$241,"Yes"))</f>
        <v>0</v>
      </c>
      <c r="L59">
        <f>IF(L55="","",COUNTIFS(Summary!$E$5:$E$241,L55,Summary!$D$5:$D$241,"&gt;="&amp;$A59,Summary!$D$5:$D$241,"&lt;"&amp;$A59+7,Summary!$G$5:$G$241,"Yes"))</f>
        <v>0</v>
      </c>
      <c r="M59">
        <f>IF(M55="","",COUNTIFS(Summary!$E$5:$E$241,M55,Summary!$D$5:$D$241,"&gt;="&amp;$A59,Summary!$D$5:$D$241,"&lt;"&amp;$A59+7,Summary!$G$5:$G$241,"Yes"))</f>
        <v>0</v>
      </c>
      <c r="N59">
        <f>IF(N55="","",COUNTIFS(Summary!$E$5:$E$241,N55,Summary!$D$5:$D$241,"&gt;="&amp;$A59,Summary!$D$5:$D$241,"&lt;"&amp;$A59+7,Summary!$G$5:$G$241,"Yes"))</f>
        <v>0</v>
      </c>
      <c r="O59">
        <f>IF(O55="","",COUNTIFS(Summary!$E$5:$E$241,O55,Summary!$D$5:$D$241,"&gt;="&amp;$A59,Summary!$D$5:$D$241,"&lt;"&amp;$A59+7,Summary!$G$5:$G$241,"Yes"))</f>
        <v>0</v>
      </c>
      <c r="P59">
        <f>IF(P55="","",COUNTIFS(Summary!$E$5:$E$241,P55,Summary!$D$5:$D$241,"&gt;="&amp;$A59,Summary!$D$5:$D$241,"&lt;"&amp;$A59+7,Summary!$G$5:$G$241,"Yes"))</f>
        <v>0</v>
      </c>
      <c r="Q59">
        <f>IF(Q55="","",COUNTIFS(Summary!$E$5:$E$241,Q55,Summary!$D$5:$D$241,"&gt;="&amp;$A59,Summary!$D$5:$D$241,"&lt;"&amp;$A59+7,Summary!$G$5:$G$241,"Yes"))</f>
        <v>0</v>
      </c>
      <c r="R59">
        <f>IF(R55="","",COUNTIFS(Summary!$E$5:$E$241,R55,Summary!$D$5:$D$241,"&gt;="&amp;$A59,Summary!$D$5:$D$241,"&lt;"&amp;$A59+7,Summary!$G$5:$G$241,"Yes"))</f>
        <v>0</v>
      </c>
      <c r="S59">
        <f>IF(S55="","",COUNTIFS(Summary!$E$5:$E$241,S55,Summary!$D$5:$D$241,"&gt;="&amp;$A59,Summary!$D$5:$D$241,"&lt;"&amp;$A59+7,Summary!$G$5:$G$241,"Yes"))</f>
        <v>0</v>
      </c>
      <c r="T59">
        <f>IF(T55="","",COUNTIFS(Summary!$E$5:$E$241,T55,Summary!$D$5:$D$241,"&gt;="&amp;$A59,Summary!$D$5:$D$241,"&lt;"&amp;$A59+7,Summary!$G$5:$G$241,"Yes"))</f>
        <v>0</v>
      </c>
      <c r="U59">
        <f>IF(U55="","",COUNTIFS(Summary!$E$5:$E$241,U55,Summary!$D$5:$D$241,"&gt;="&amp;$A59,Summary!$D$5:$D$241,"&lt;"&amp;$A59+7,Summary!$G$5:$G$241,"Yes"))</f>
        <v>0</v>
      </c>
      <c r="V59">
        <f>IF(V55="","",COUNTIFS(Summary!$E$5:$E$241,V55,Summary!$D$5:$D$241,"&gt;="&amp;$A59,Summary!$D$5:$D$241,"&lt;"&amp;$A59+7,Summary!$G$5:$G$241,"Yes"))</f>
        <v>0</v>
      </c>
      <c r="W59">
        <f>IF(W55="","",COUNTIFS(Summary!$E$5:$E$241,W55,Summary!$D$5:$D$241,"&gt;="&amp;$A59,Summary!$D$5:$D$241,"&lt;"&amp;$A59+7,Summary!$G$5:$G$241,"Yes"))</f>
        <v>0</v>
      </c>
      <c r="X59">
        <f>IF(X55="","",COUNTIFS(Summary!$E$5:$E$241,X55,Summary!$D$5:$D$241,"&gt;="&amp;$A59,Summary!$D$5:$D$241,"&lt;"&amp;$A59+7,Summary!$G$5:$G$241,"Yes"))</f>
        <v>0</v>
      </c>
      <c r="Y59">
        <f>IF(Y55="","",COUNTIFS(Summary!$E$5:$E$241,Y55,Summary!$D$5:$D$241,"&gt;="&amp;$A59,Summary!$D$5:$D$241,"&lt;"&amp;$A59+7,Summary!$G$5:$G$241,"Yes"))</f>
        <v>0</v>
      </c>
      <c r="Z59">
        <f>IF(Z55="","",COUNTIFS(Summary!$E$5:$E$241,Z55,Summary!$D$5:$D$241,"&gt;="&amp;$A59,Summary!$D$5:$D$241,"&lt;"&amp;$A59+7,Summary!$G$5:$G$241,"Yes"))</f>
        <v>0</v>
      </c>
      <c r="AA59">
        <f>IF(AA55="","",COUNTIFS(Summary!$E$5:$E$241,AA55,Summary!$D$5:$D$241,"&gt;="&amp;$A59,Summary!$D$5:$D$241,"&lt;"&amp;$A59+7,Summary!$G$5:$G$241,"Yes"))</f>
        <v>0</v>
      </c>
      <c r="AB59">
        <f>IF(AB55="","",COUNTIFS(Summary!$E$5:$E$241,AB55,Summary!$D$5:$D$241,"&gt;="&amp;$A59,Summary!$D$5:$D$241,"&lt;"&amp;$A59+7,Summary!$G$5:$G$241,"Yes"))</f>
        <v>0</v>
      </c>
      <c r="AC59">
        <f>IF(AC55="","",COUNTIFS(Summary!$E$5:$E$241,AC55,Summary!$D$5:$D$241,"&gt;="&amp;$A59,Summary!$D$5:$D$241,"&lt;"&amp;$A59+7,Summary!$G$5:$G$241,"Yes"))</f>
        <v>0</v>
      </c>
      <c r="AD59">
        <f>IF(AD55="","",COUNTIFS(Summary!$E$5:$E$241,AD55,Summary!$D$5:$D$241,"&gt;="&amp;$A59,Summary!$D$5:$D$241,"&lt;"&amp;$A59+7,Summary!$G$5:$G$241,"Yes"))</f>
        <v>0</v>
      </c>
      <c r="AE59">
        <f>IF(AE55="","",COUNTIFS(Summary!$E$5:$E$241,AE55,Summary!$D$5:$D$241,"&gt;="&amp;$A59,Summary!$D$5:$D$241,"&lt;"&amp;$A59+7,Summary!$G$5:$G$241,"Yes"))</f>
        <v>0</v>
      </c>
      <c r="AF59">
        <f>IF(AF55="","",COUNTIFS(Summary!$E$5:$E$241,AF55,Summary!$D$5:$D$241,"&gt;="&amp;$A59,Summary!$D$5:$D$241,"&lt;"&amp;$A59+7,Summary!$G$5:$G$241,"Yes"))</f>
        <v>0</v>
      </c>
      <c r="AG59">
        <f>IF(AG55="","",COUNTIFS(Summary!$E$5:$E$241,AG55,Summary!$D$5:$D$241,"&gt;="&amp;$A59,Summary!$D$5:$D$241,"&lt;"&amp;$A59+7,Summary!$G$5:$G$241,"Yes"))</f>
        <v>0</v>
      </c>
      <c r="AH59">
        <f>IF(AH55="","",COUNTIFS(Summary!$E$5:$E$241,AH55,Summary!$D$5:$D$241,"&gt;="&amp;$A59,Summary!$D$5:$D$241,"&lt;"&amp;$A59+7,Summary!$G$5:$G$241,"Yes"))</f>
        <v>0</v>
      </c>
      <c r="AI59">
        <f>IF(AI55="","",COUNTIFS(Summary!$E$5:$E$241,AI55,Summary!$D$5:$D$241,"&gt;="&amp;$A59,Summary!$D$5:$D$241,"&lt;"&amp;$A59+7,Summary!$G$5:$G$241,"Yes"))</f>
        <v>0</v>
      </c>
      <c r="AJ59">
        <f>IF(AJ55="","",COUNTIFS(Summary!$E$5:$E$241,AJ55,Summary!$D$5:$D$241,"&gt;="&amp;$A59,Summary!$D$5:$D$241,"&lt;"&amp;$A59+7,Summary!$G$5:$G$241,"Yes"))</f>
        <v>0</v>
      </c>
      <c r="AK59">
        <f>IF(AK55="","",COUNTIFS(Summary!$E$5:$E$241,AK55,Summary!$D$5:$D$241,"&gt;="&amp;$A59,Summary!$D$5:$D$241,"&lt;"&amp;$A59+7,Summary!$G$5:$G$241,"Yes"))</f>
        <v>0</v>
      </c>
      <c r="AL59">
        <f>IF(AL55="","",COUNTIFS(Summary!$E$5:$E$241,AL55,Summary!$D$5:$D$241,"&gt;="&amp;$A59,Summary!$D$5:$D$241,"&lt;"&amp;$A59+7,Summary!$G$5:$G$241,"Yes"))</f>
        <v>0</v>
      </c>
      <c r="AM59">
        <f>IF(AM55="","",COUNTIFS(Summary!$E$5:$E$241,AM55,Summary!$D$5:$D$241,"&gt;="&amp;$A59,Summary!$D$5:$D$241,"&lt;"&amp;$A59+7,Summary!$G$5:$G$241,"Yes"))</f>
        <v>0</v>
      </c>
      <c r="AN59">
        <f>IF(AN55="","",COUNTIFS(Summary!$E$5:$E$241,AN55,Summary!$D$5:$D$241,"&gt;="&amp;$A59,Summary!$D$5:$D$241,"&lt;"&amp;$A59+7,Summary!$G$5:$G$241,"Yes"))</f>
        <v>0</v>
      </c>
      <c r="AO59">
        <f>IF(AO55="","",COUNTIFS(Summary!$E$5:$E$241,AO55,Summary!$D$5:$D$241,"&gt;="&amp;$A59,Summary!$D$5:$D$241,"&lt;"&amp;$A59+7,Summary!$G$5:$G$241,"Yes"))</f>
        <v>0</v>
      </c>
      <c r="AP59">
        <f>IF(AP55="","",COUNTIFS(Summary!$E$5:$E$241,AP55,Summary!$D$5:$D$241,"&gt;="&amp;$A59,Summary!$D$5:$D$241,"&lt;"&amp;$A59+7,Summary!$G$5:$G$241,"Yes"))</f>
        <v>0</v>
      </c>
      <c r="AQ59">
        <f>IF(AQ55="","",COUNTIFS(Summary!$E$5:$E$241,AQ55,Summary!$D$5:$D$241,"&gt;="&amp;$A59,Summary!$D$5:$D$241,"&lt;"&amp;$A59+7,Summary!$G$5:$G$241,"Yes"))</f>
        <v>0</v>
      </c>
      <c r="AR59">
        <f>IF(AR55="","",COUNTIFS(Summary!$E$5:$E$241,AR55,Summary!$D$5:$D$241,"&gt;="&amp;$A59,Summary!$D$5:$D$241,"&lt;"&amp;$A59+7,Summary!$G$5:$G$241,"Yes"))</f>
        <v>0</v>
      </c>
      <c r="AS59">
        <f>IF(AS55="","",COUNTIFS(Summary!$E$5:$E$241,AS55,Summary!$D$5:$D$241,"&gt;="&amp;$A59,Summary!$D$5:$D$241,"&lt;"&amp;$A59+7,Summary!$G$5:$G$241,"Yes"))</f>
        <v>0</v>
      </c>
      <c r="AT59">
        <f>IF(AT55="","",COUNTIFS(Summary!$E$5:$E$241,AT55,Summary!$D$5:$D$241,"&gt;="&amp;$A59,Summary!$D$5:$D$241,"&lt;"&amp;$A59+7,Summary!$G$5:$G$241,"Yes"))</f>
        <v>0</v>
      </c>
      <c r="AU59">
        <f>IF(AU55="","",COUNTIFS(Summary!$E$5:$E$241,AU55,Summary!$D$5:$D$241,"&gt;="&amp;$A59,Summary!$D$5:$D$241,"&lt;"&amp;$A59+7,Summary!$G$5:$G$241,"Yes"))</f>
        <v>0</v>
      </c>
      <c r="AV59">
        <f>IF(AV55="","",COUNTIFS(Summary!$E$5:$E$241,AV55,Summary!$D$5:$D$241,"&gt;="&amp;$A59,Summary!$D$5:$D$241,"&lt;"&amp;$A59+7,Summary!$G$5:$G$241,"Yes"))</f>
        <v>0</v>
      </c>
      <c r="AW59">
        <f>IF(AW55="","",COUNTIFS(Summary!$E$5:$E$241,AW55,Summary!$D$5:$D$241,"&gt;="&amp;$A59,Summary!$D$5:$D$241,"&lt;"&amp;$A59+7,Summary!$G$5:$G$241,"Yes"))</f>
        <v>0</v>
      </c>
      <c r="AX59">
        <f>IF(AX55="","",COUNTIFS(Summary!$E$5:$E$241,AX55,Summary!$D$5:$D$241,"&gt;="&amp;$A59,Summary!$D$5:$D$241,"&lt;"&amp;$A59+7,Summary!$G$5:$G$241,"Yes"))</f>
        <v>0</v>
      </c>
      <c r="AY59">
        <f>IF(AY55="","",COUNTIFS(Summary!$E$5:$E$241,AY55,Summary!$D$5:$D$241,"&gt;="&amp;$A59,Summary!$D$5:$D$241,"&lt;"&amp;$A59+7,Summary!$G$5:$G$241,"Yes"))</f>
        <v>0</v>
      </c>
      <c r="AZ59">
        <f>IF(AZ55="","",COUNTIFS(Summary!$E$5:$E$241,AZ55,Summary!$D$5:$D$241,"&gt;="&amp;$A59,Summary!$D$5:$D$241,"&lt;"&amp;$A59+7,Summary!$G$5:$G$241,"Yes"))</f>
        <v>0</v>
      </c>
      <c r="BA59">
        <f>IF(BA55="","",COUNTIFS(Summary!$E$5:$E$241,BA55,Summary!$D$5:$D$241,"&gt;="&amp;$A59,Summary!$D$5:$D$241,"&lt;"&amp;$A59+7,Summary!$G$5:$G$241,"Yes"))</f>
        <v>0</v>
      </c>
      <c r="BB59">
        <f>IF(BB55="","",COUNTIFS(Summary!$E$5:$E$241,BB55,Summary!$D$5:$D$241,"&gt;="&amp;$A59,Summary!$D$5:$D$241,"&lt;"&amp;$A59+7,Summary!$G$5:$G$241,"Yes"))</f>
        <v>0</v>
      </c>
      <c r="BC59">
        <f>IF(BC55="","",COUNTIFS(Summary!$E$5:$E$241,BC55,Summary!$D$5:$D$241,"&gt;="&amp;$A59,Summary!$D$5:$D$241,"&lt;"&amp;$A59+7,Summary!$G$5:$G$241,"Yes"))</f>
        <v>0</v>
      </c>
      <c r="BD59">
        <f>IF(BD55="","",COUNTIFS(Summary!$E$5:$E$241,BD55,Summary!$D$5:$D$241,"&gt;="&amp;$A59,Summary!$D$5:$D$241,"&lt;"&amp;$A59+7,Summary!$G$5:$G$241,"Yes"))</f>
        <v>0</v>
      </c>
      <c r="BE59">
        <f>IF(BE55="","",COUNTIFS(Summary!$E$5:$E$241,BE55,Summary!$D$5:$D$241,"&gt;="&amp;$A59,Summary!$D$5:$D$241,"&lt;"&amp;$A59+7,Summary!$G$5:$G$241,"Yes"))</f>
        <v>0</v>
      </c>
      <c r="BF59" s="28">
        <f>IF(BF55="","",COUNTIFS(Summary!$E$5:$E$241,BF55,Summary!$D$5:$D$241,"&gt;="&amp;$A59,Summary!$D$5:$D$241,"&lt;"&amp;$A59+7,Summary!$G$5:$G$241,"Yes"))</f>
        <v>0</v>
      </c>
    </row>
    <row r="60" spans="1:58">
      <c r="A60" s="18">
        <f t="shared" si="5"/>
        <v>46111</v>
      </c>
      <c r="B60" s="2" t="str">
        <f t="shared" si="4"/>
        <v>Mar 30</v>
      </c>
      <c r="C60">
        <f>IF(C55="","",COUNTIFS(Summary!$E$5:$E$241,C55,Summary!$D$5:$D$241,"&gt;="&amp;$A60,Summary!$D$5:$D$241,"&lt;"&amp;$A60+7,Summary!$G$5:$G$241,"Yes"))</f>
        <v>0</v>
      </c>
      <c r="D60">
        <f>IF(D55="","",COUNTIFS(Summary!$E$5:$E$241,D55,Summary!$D$5:$D$241,"&gt;="&amp;$A60,Summary!$D$5:$D$241,"&lt;"&amp;$A60+7,Summary!$G$5:$G$241,"Yes"))</f>
        <v>0</v>
      </c>
      <c r="E60">
        <f>IF(E55="","",COUNTIFS(Summary!$E$5:$E$241,E55,Summary!$D$5:$D$241,"&gt;="&amp;$A60,Summary!$D$5:$D$241,"&lt;"&amp;$A60+7,Summary!$G$5:$G$241,"Yes"))</f>
        <v>0</v>
      </c>
      <c r="F60">
        <f>IF(F55="","",COUNTIFS(Summary!$E$5:$E$241,F55,Summary!$D$5:$D$241,"&gt;="&amp;$A60,Summary!$D$5:$D$241,"&lt;"&amp;$A60+7,Summary!$G$5:$G$241,"Yes"))</f>
        <v>0</v>
      </c>
      <c r="G60">
        <f>IF(G55="","",COUNTIFS(Summary!$E$5:$E$241,G55,Summary!$D$5:$D$241,"&gt;="&amp;$A60,Summary!$D$5:$D$241,"&lt;"&amp;$A60+7,Summary!$G$5:$G$241,"Yes"))</f>
        <v>0</v>
      </c>
      <c r="H60">
        <f>IF(H55="","",COUNTIFS(Summary!$E$5:$E$241,H55,Summary!$D$5:$D$241,"&gt;="&amp;$A60,Summary!$D$5:$D$241,"&lt;"&amp;$A60+7,Summary!$G$5:$G$241,"Yes"))</f>
        <v>0</v>
      </c>
      <c r="I60">
        <f>IF(I55="","",COUNTIFS(Summary!$E$5:$E$241,I55,Summary!$D$5:$D$241,"&gt;="&amp;$A60,Summary!$D$5:$D$241,"&lt;"&amp;$A60+7,Summary!$G$5:$G$241,"Yes"))</f>
        <v>0</v>
      </c>
      <c r="J60">
        <f>IF(J55="","",COUNTIFS(Summary!$E$5:$E$241,J55,Summary!$D$5:$D$241,"&gt;="&amp;$A60,Summary!$D$5:$D$241,"&lt;"&amp;$A60+7,Summary!$G$5:$G$241,"Yes"))</f>
        <v>0</v>
      </c>
      <c r="K60">
        <f>IF(K55="","",COUNTIFS(Summary!$E$5:$E$241,K55,Summary!$D$5:$D$241,"&gt;="&amp;$A60,Summary!$D$5:$D$241,"&lt;"&amp;$A60+7,Summary!$G$5:$G$241,"Yes"))</f>
        <v>0</v>
      </c>
      <c r="L60">
        <f>IF(L55="","",COUNTIFS(Summary!$E$5:$E$241,L55,Summary!$D$5:$D$241,"&gt;="&amp;$A60,Summary!$D$5:$D$241,"&lt;"&amp;$A60+7,Summary!$G$5:$G$241,"Yes"))</f>
        <v>0</v>
      </c>
      <c r="M60">
        <f>IF(M55="","",COUNTIFS(Summary!$E$5:$E$241,M55,Summary!$D$5:$D$241,"&gt;="&amp;$A60,Summary!$D$5:$D$241,"&lt;"&amp;$A60+7,Summary!$G$5:$G$241,"Yes"))</f>
        <v>0</v>
      </c>
      <c r="N60">
        <f>IF(N55="","",COUNTIFS(Summary!$E$5:$E$241,N55,Summary!$D$5:$D$241,"&gt;="&amp;$A60,Summary!$D$5:$D$241,"&lt;"&amp;$A60+7,Summary!$G$5:$G$241,"Yes"))</f>
        <v>0</v>
      </c>
      <c r="O60">
        <f>IF(O55="","",COUNTIFS(Summary!$E$5:$E$241,O55,Summary!$D$5:$D$241,"&gt;="&amp;$A60,Summary!$D$5:$D$241,"&lt;"&amp;$A60+7,Summary!$G$5:$G$241,"Yes"))</f>
        <v>0</v>
      </c>
      <c r="P60">
        <f>IF(P55="","",COUNTIFS(Summary!$E$5:$E$241,P55,Summary!$D$5:$D$241,"&gt;="&amp;$A60,Summary!$D$5:$D$241,"&lt;"&amp;$A60+7,Summary!$G$5:$G$241,"Yes"))</f>
        <v>0</v>
      </c>
      <c r="Q60">
        <f>IF(Q55="","",COUNTIFS(Summary!$E$5:$E$241,Q55,Summary!$D$5:$D$241,"&gt;="&amp;$A60,Summary!$D$5:$D$241,"&lt;"&amp;$A60+7,Summary!$G$5:$G$241,"Yes"))</f>
        <v>0</v>
      </c>
      <c r="R60">
        <f>IF(R55="","",COUNTIFS(Summary!$E$5:$E$241,R55,Summary!$D$5:$D$241,"&gt;="&amp;$A60,Summary!$D$5:$D$241,"&lt;"&amp;$A60+7,Summary!$G$5:$G$241,"Yes"))</f>
        <v>0</v>
      </c>
      <c r="S60">
        <f>IF(S55="","",COUNTIFS(Summary!$E$5:$E$241,S55,Summary!$D$5:$D$241,"&gt;="&amp;$A60,Summary!$D$5:$D$241,"&lt;"&amp;$A60+7,Summary!$G$5:$G$241,"Yes"))</f>
        <v>0</v>
      </c>
      <c r="T60">
        <f>IF(T55="","",COUNTIFS(Summary!$E$5:$E$241,T55,Summary!$D$5:$D$241,"&gt;="&amp;$A60,Summary!$D$5:$D$241,"&lt;"&amp;$A60+7,Summary!$G$5:$G$241,"Yes"))</f>
        <v>0</v>
      </c>
      <c r="U60">
        <f>IF(U55="","",COUNTIFS(Summary!$E$5:$E$241,U55,Summary!$D$5:$D$241,"&gt;="&amp;$A60,Summary!$D$5:$D$241,"&lt;"&amp;$A60+7,Summary!$G$5:$G$241,"Yes"))</f>
        <v>0</v>
      </c>
      <c r="V60">
        <f>IF(V55="","",COUNTIFS(Summary!$E$5:$E$241,V55,Summary!$D$5:$D$241,"&gt;="&amp;$A60,Summary!$D$5:$D$241,"&lt;"&amp;$A60+7,Summary!$G$5:$G$241,"Yes"))</f>
        <v>0</v>
      </c>
      <c r="W60">
        <f>IF(W55="","",COUNTIFS(Summary!$E$5:$E$241,W55,Summary!$D$5:$D$241,"&gt;="&amp;$A60,Summary!$D$5:$D$241,"&lt;"&amp;$A60+7,Summary!$G$5:$G$241,"Yes"))</f>
        <v>0</v>
      </c>
      <c r="X60">
        <f>IF(X55="","",COUNTIFS(Summary!$E$5:$E$241,X55,Summary!$D$5:$D$241,"&gt;="&amp;$A60,Summary!$D$5:$D$241,"&lt;"&amp;$A60+7,Summary!$G$5:$G$241,"Yes"))</f>
        <v>0</v>
      </c>
      <c r="Y60">
        <f>IF(Y55="","",COUNTIFS(Summary!$E$5:$E$241,Y55,Summary!$D$5:$D$241,"&gt;="&amp;$A60,Summary!$D$5:$D$241,"&lt;"&amp;$A60+7,Summary!$G$5:$G$241,"Yes"))</f>
        <v>0</v>
      </c>
      <c r="Z60">
        <f>IF(Z55="","",COUNTIFS(Summary!$E$5:$E$241,Z55,Summary!$D$5:$D$241,"&gt;="&amp;$A60,Summary!$D$5:$D$241,"&lt;"&amp;$A60+7,Summary!$G$5:$G$241,"Yes"))</f>
        <v>0</v>
      </c>
      <c r="AA60">
        <f>IF(AA55="","",COUNTIFS(Summary!$E$5:$E$241,AA55,Summary!$D$5:$D$241,"&gt;="&amp;$A60,Summary!$D$5:$D$241,"&lt;"&amp;$A60+7,Summary!$G$5:$G$241,"Yes"))</f>
        <v>0</v>
      </c>
      <c r="AB60">
        <f>IF(AB55="","",COUNTIFS(Summary!$E$5:$E$241,AB55,Summary!$D$5:$D$241,"&gt;="&amp;$A60,Summary!$D$5:$D$241,"&lt;"&amp;$A60+7,Summary!$G$5:$G$241,"Yes"))</f>
        <v>0</v>
      </c>
      <c r="AC60">
        <f>IF(AC55="","",COUNTIFS(Summary!$E$5:$E$241,AC55,Summary!$D$5:$D$241,"&gt;="&amp;$A60,Summary!$D$5:$D$241,"&lt;"&amp;$A60+7,Summary!$G$5:$G$241,"Yes"))</f>
        <v>0</v>
      </c>
      <c r="AD60">
        <f>IF(AD55="","",COUNTIFS(Summary!$E$5:$E$241,AD55,Summary!$D$5:$D$241,"&gt;="&amp;$A60,Summary!$D$5:$D$241,"&lt;"&amp;$A60+7,Summary!$G$5:$G$241,"Yes"))</f>
        <v>0</v>
      </c>
      <c r="AE60">
        <f>IF(AE55="","",COUNTIFS(Summary!$E$5:$E$241,AE55,Summary!$D$5:$D$241,"&gt;="&amp;$A60,Summary!$D$5:$D$241,"&lt;"&amp;$A60+7,Summary!$G$5:$G$241,"Yes"))</f>
        <v>0</v>
      </c>
      <c r="AF60">
        <f>IF(AF55="","",COUNTIFS(Summary!$E$5:$E$241,AF55,Summary!$D$5:$D$241,"&gt;="&amp;$A60,Summary!$D$5:$D$241,"&lt;"&amp;$A60+7,Summary!$G$5:$G$241,"Yes"))</f>
        <v>0</v>
      </c>
      <c r="AG60">
        <f>IF(AG55="","",COUNTIFS(Summary!$E$5:$E$241,AG55,Summary!$D$5:$D$241,"&gt;="&amp;$A60,Summary!$D$5:$D$241,"&lt;"&amp;$A60+7,Summary!$G$5:$G$241,"Yes"))</f>
        <v>0</v>
      </c>
      <c r="AH60">
        <f>IF(AH55="","",COUNTIFS(Summary!$E$5:$E$241,AH55,Summary!$D$5:$D$241,"&gt;="&amp;$A60,Summary!$D$5:$D$241,"&lt;"&amp;$A60+7,Summary!$G$5:$G$241,"Yes"))</f>
        <v>0</v>
      </c>
      <c r="AI60">
        <f>IF(AI55="","",COUNTIFS(Summary!$E$5:$E$241,AI55,Summary!$D$5:$D$241,"&gt;="&amp;$A60,Summary!$D$5:$D$241,"&lt;"&amp;$A60+7,Summary!$G$5:$G$241,"Yes"))</f>
        <v>0</v>
      </c>
      <c r="AJ60">
        <f>IF(AJ55="","",COUNTIFS(Summary!$E$5:$E$241,AJ55,Summary!$D$5:$D$241,"&gt;="&amp;$A60,Summary!$D$5:$D$241,"&lt;"&amp;$A60+7,Summary!$G$5:$G$241,"Yes"))</f>
        <v>0</v>
      </c>
      <c r="AK60">
        <f>IF(AK55="","",COUNTIFS(Summary!$E$5:$E$241,AK55,Summary!$D$5:$D$241,"&gt;="&amp;$A60,Summary!$D$5:$D$241,"&lt;"&amp;$A60+7,Summary!$G$5:$G$241,"Yes"))</f>
        <v>0</v>
      </c>
      <c r="AL60">
        <f>IF(AL55="","",COUNTIFS(Summary!$E$5:$E$241,AL55,Summary!$D$5:$D$241,"&gt;="&amp;$A60,Summary!$D$5:$D$241,"&lt;"&amp;$A60+7,Summary!$G$5:$G$241,"Yes"))</f>
        <v>0</v>
      </c>
      <c r="AM60">
        <f>IF(AM55="","",COUNTIFS(Summary!$E$5:$E$241,AM55,Summary!$D$5:$D$241,"&gt;="&amp;$A60,Summary!$D$5:$D$241,"&lt;"&amp;$A60+7,Summary!$G$5:$G$241,"Yes"))</f>
        <v>0</v>
      </c>
      <c r="AN60">
        <f>IF(AN55="","",COUNTIFS(Summary!$E$5:$E$241,AN55,Summary!$D$5:$D$241,"&gt;="&amp;$A60,Summary!$D$5:$D$241,"&lt;"&amp;$A60+7,Summary!$G$5:$G$241,"Yes"))</f>
        <v>0</v>
      </c>
      <c r="AO60">
        <f>IF(AO55="","",COUNTIFS(Summary!$E$5:$E$241,AO55,Summary!$D$5:$D$241,"&gt;="&amp;$A60,Summary!$D$5:$D$241,"&lt;"&amp;$A60+7,Summary!$G$5:$G$241,"Yes"))</f>
        <v>0</v>
      </c>
      <c r="AP60">
        <f>IF(AP55="","",COUNTIFS(Summary!$E$5:$E$241,AP55,Summary!$D$5:$D$241,"&gt;="&amp;$A60,Summary!$D$5:$D$241,"&lt;"&amp;$A60+7,Summary!$G$5:$G$241,"Yes"))</f>
        <v>0</v>
      </c>
      <c r="AQ60">
        <f>IF(AQ55="","",COUNTIFS(Summary!$E$5:$E$241,AQ55,Summary!$D$5:$D$241,"&gt;="&amp;$A60,Summary!$D$5:$D$241,"&lt;"&amp;$A60+7,Summary!$G$5:$G$241,"Yes"))</f>
        <v>0</v>
      </c>
      <c r="AR60">
        <f>IF(AR55="","",COUNTIFS(Summary!$E$5:$E$241,AR55,Summary!$D$5:$D$241,"&gt;="&amp;$A60,Summary!$D$5:$D$241,"&lt;"&amp;$A60+7,Summary!$G$5:$G$241,"Yes"))</f>
        <v>0</v>
      </c>
      <c r="AS60">
        <f>IF(AS55="","",COUNTIFS(Summary!$E$5:$E$241,AS55,Summary!$D$5:$D$241,"&gt;="&amp;$A60,Summary!$D$5:$D$241,"&lt;"&amp;$A60+7,Summary!$G$5:$G$241,"Yes"))</f>
        <v>0</v>
      </c>
      <c r="AT60">
        <f>IF(AT55="","",COUNTIFS(Summary!$E$5:$E$241,AT55,Summary!$D$5:$D$241,"&gt;="&amp;$A60,Summary!$D$5:$D$241,"&lt;"&amp;$A60+7,Summary!$G$5:$G$241,"Yes"))</f>
        <v>0</v>
      </c>
      <c r="AU60">
        <f>IF(AU55="","",COUNTIFS(Summary!$E$5:$E$241,AU55,Summary!$D$5:$D$241,"&gt;="&amp;$A60,Summary!$D$5:$D$241,"&lt;"&amp;$A60+7,Summary!$G$5:$G$241,"Yes"))</f>
        <v>0</v>
      </c>
      <c r="AV60">
        <f>IF(AV55="","",COUNTIFS(Summary!$E$5:$E$241,AV55,Summary!$D$5:$D$241,"&gt;="&amp;$A60,Summary!$D$5:$D$241,"&lt;"&amp;$A60+7,Summary!$G$5:$G$241,"Yes"))</f>
        <v>0</v>
      </c>
      <c r="AW60">
        <f>IF(AW55="","",COUNTIFS(Summary!$E$5:$E$241,AW55,Summary!$D$5:$D$241,"&gt;="&amp;$A60,Summary!$D$5:$D$241,"&lt;"&amp;$A60+7,Summary!$G$5:$G$241,"Yes"))</f>
        <v>0</v>
      </c>
      <c r="AX60">
        <f>IF(AX55="","",COUNTIFS(Summary!$E$5:$E$241,AX55,Summary!$D$5:$D$241,"&gt;="&amp;$A60,Summary!$D$5:$D$241,"&lt;"&amp;$A60+7,Summary!$G$5:$G$241,"Yes"))</f>
        <v>0</v>
      </c>
      <c r="AY60">
        <f>IF(AY55="","",COUNTIFS(Summary!$E$5:$E$241,AY55,Summary!$D$5:$D$241,"&gt;="&amp;$A60,Summary!$D$5:$D$241,"&lt;"&amp;$A60+7,Summary!$G$5:$G$241,"Yes"))</f>
        <v>0</v>
      </c>
      <c r="AZ60">
        <f>IF(AZ55="","",COUNTIFS(Summary!$E$5:$E$241,AZ55,Summary!$D$5:$D$241,"&gt;="&amp;$A60,Summary!$D$5:$D$241,"&lt;"&amp;$A60+7,Summary!$G$5:$G$241,"Yes"))</f>
        <v>0</v>
      </c>
      <c r="BA60">
        <f>IF(BA55="","",COUNTIFS(Summary!$E$5:$E$241,BA55,Summary!$D$5:$D$241,"&gt;="&amp;$A60,Summary!$D$5:$D$241,"&lt;"&amp;$A60+7,Summary!$G$5:$G$241,"Yes"))</f>
        <v>0</v>
      </c>
      <c r="BB60">
        <f>IF(BB55="","",COUNTIFS(Summary!$E$5:$E$241,BB55,Summary!$D$5:$D$241,"&gt;="&amp;$A60,Summary!$D$5:$D$241,"&lt;"&amp;$A60+7,Summary!$G$5:$G$241,"Yes"))</f>
        <v>0</v>
      </c>
      <c r="BC60">
        <f>IF(BC55="","",COUNTIFS(Summary!$E$5:$E$241,BC55,Summary!$D$5:$D$241,"&gt;="&amp;$A60,Summary!$D$5:$D$241,"&lt;"&amp;$A60+7,Summary!$G$5:$G$241,"Yes"))</f>
        <v>0</v>
      </c>
      <c r="BD60">
        <f>IF(BD55="","",COUNTIFS(Summary!$E$5:$E$241,BD55,Summary!$D$5:$D$241,"&gt;="&amp;$A60,Summary!$D$5:$D$241,"&lt;"&amp;$A60+7,Summary!$G$5:$G$241,"Yes"))</f>
        <v>0</v>
      </c>
      <c r="BE60">
        <f>IF(BE55="","",COUNTIFS(Summary!$E$5:$E$241,BE55,Summary!$D$5:$D$241,"&gt;="&amp;$A60,Summary!$D$5:$D$241,"&lt;"&amp;$A60+7,Summary!$G$5:$G$241,"Yes"))</f>
        <v>0</v>
      </c>
      <c r="BF60" s="28">
        <f>IF(BF55="","",COUNTIFS(Summary!$E$5:$E$241,BF55,Summary!$D$5:$D$241,"&gt;="&amp;$A60,Summary!$D$5:$D$241,"&lt;"&amp;$A60+7,Summary!$G$5:$G$241,"Yes"))</f>
        <v>0</v>
      </c>
    </row>
    <row r="61" spans="1:58">
      <c r="A61" s="18">
        <f t="shared" si="5"/>
        <v>46118</v>
      </c>
      <c r="B61" s="2" t="str">
        <f t="shared" si="4"/>
        <v>Apr 6</v>
      </c>
      <c r="C61">
        <f>IF(C55="","",COUNTIFS(Summary!$E$5:$E$241,C55,Summary!$D$5:$D$241,"&gt;="&amp;$A61,Summary!$D$5:$D$241,"&lt;"&amp;$A61+7,Summary!$G$5:$G$241,"Yes"))</f>
        <v>0</v>
      </c>
      <c r="D61">
        <f>IF(D55="","",COUNTIFS(Summary!$E$5:$E$241,D55,Summary!$D$5:$D$241,"&gt;="&amp;$A61,Summary!$D$5:$D$241,"&lt;"&amp;$A61+7,Summary!$G$5:$G$241,"Yes"))</f>
        <v>0</v>
      </c>
      <c r="E61">
        <f>IF(E55="","",COUNTIFS(Summary!$E$5:$E$241,E55,Summary!$D$5:$D$241,"&gt;="&amp;$A61,Summary!$D$5:$D$241,"&lt;"&amp;$A61+7,Summary!$G$5:$G$241,"Yes"))</f>
        <v>0</v>
      </c>
      <c r="F61">
        <f>IF(F55="","",COUNTIFS(Summary!$E$5:$E$241,F55,Summary!$D$5:$D$241,"&gt;="&amp;$A61,Summary!$D$5:$D$241,"&lt;"&amp;$A61+7,Summary!$G$5:$G$241,"Yes"))</f>
        <v>0</v>
      </c>
      <c r="G61">
        <f>IF(G55="","",COUNTIFS(Summary!$E$5:$E$241,G55,Summary!$D$5:$D$241,"&gt;="&amp;$A61,Summary!$D$5:$D$241,"&lt;"&amp;$A61+7,Summary!$G$5:$G$241,"Yes"))</f>
        <v>0</v>
      </c>
      <c r="H61">
        <f>IF(H55="","",COUNTIFS(Summary!$E$5:$E$241,H55,Summary!$D$5:$D$241,"&gt;="&amp;$A61,Summary!$D$5:$D$241,"&lt;"&amp;$A61+7,Summary!$G$5:$G$241,"Yes"))</f>
        <v>0</v>
      </c>
      <c r="I61">
        <f>IF(I55="","",COUNTIFS(Summary!$E$5:$E$241,I55,Summary!$D$5:$D$241,"&gt;="&amp;$A61,Summary!$D$5:$D$241,"&lt;"&amp;$A61+7,Summary!$G$5:$G$241,"Yes"))</f>
        <v>0</v>
      </c>
      <c r="J61">
        <f>IF(J55="","",COUNTIFS(Summary!$E$5:$E$241,J55,Summary!$D$5:$D$241,"&gt;="&amp;$A61,Summary!$D$5:$D$241,"&lt;"&amp;$A61+7,Summary!$G$5:$G$241,"Yes"))</f>
        <v>0</v>
      </c>
      <c r="K61">
        <f>IF(K55="","",COUNTIFS(Summary!$E$5:$E$241,K55,Summary!$D$5:$D$241,"&gt;="&amp;$A61,Summary!$D$5:$D$241,"&lt;"&amp;$A61+7,Summary!$G$5:$G$241,"Yes"))</f>
        <v>0</v>
      </c>
      <c r="L61">
        <f>IF(L55="","",COUNTIFS(Summary!$E$5:$E$241,L55,Summary!$D$5:$D$241,"&gt;="&amp;$A61,Summary!$D$5:$D$241,"&lt;"&amp;$A61+7,Summary!$G$5:$G$241,"Yes"))</f>
        <v>0</v>
      </c>
      <c r="M61">
        <f>IF(M55="","",COUNTIFS(Summary!$E$5:$E$241,M55,Summary!$D$5:$D$241,"&gt;="&amp;$A61,Summary!$D$5:$D$241,"&lt;"&amp;$A61+7,Summary!$G$5:$G$241,"Yes"))</f>
        <v>0</v>
      </c>
      <c r="N61">
        <f>IF(N55="","",COUNTIFS(Summary!$E$5:$E$241,N55,Summary!$D$5:$D$241,"&gt;="&amp;$A61,Summary!$D$5:$D$241,"&lt;"&amp;$A61+7,Summary!$G$5:$G$241,"Yes"))</f>
        <v>0</v>
      </c>
      <c r="O61">
        <f>IF(O55="","",COUNTIFS(Summary!$E$5:$E$241,O55,Summary!$D$5:$D$241,"&gt;="&amp;$A61,Summary!$D$5:$D$241,"&lt;"&amp;$A61+7,Summary!$G$5:$G$241,"Yes"))</f>
        <v>0</v>
      </c>
      <c r="P61">
        <f>IF(P55="","",COUNTIFS(Summary!$E$5:$E$241,P55,Summary!$D$5:$D$241,"&gt;="&amp;$A61,Summary!$D$5:$D$241,"&lt;"&amp;$A61+7,Summary!$G$5:$G$241,"Yes"))</f>
        <v>0</v>
      </c>
      <c r="Q61">
        <f>IF(Q55="","",COUNTIFS(Summary!$E$5:$E$241,Q55,Summary!$D$5:$D$241,"&gt;="&amp;$A61,Summary!$D$5:$D$241,"&lt;"&amp;$A61+7,Summary!$G$5:$G$241,"Yes"))</f>
        <v>0</v>
      </c>
      <c r="R61">
        <f>IF(R55="","",COUNTIFS(Summary!$E$5:$E$241,R55,Summary!$D$5:$D$241,"&gt;="&amp;$A61,Summary!$D$5:$D$241,"&lt;"&amp;$A61+7,Summary!$G$5:$G$241,"Yes"))</f>
        <v>0</v>
      </c>
      <c r="S61">
        <f>IF(S55="","",COUNTIFS(Summary!$E$5:$E$241,S55,Summary!$D$5:$D$241,"&gt;="&amp;$A61,Summary!$D$5:$D$241,"&lt;"&amp;$A61+7,Summary!$G$5:$G$241,"Yes"))</f>
        <v>0</v>
      </c>
      <c r="T61">
        <f>IF(T55="","",COUNTIFS(Summary!$E$5:$E$241,T55,Summary!$D$5:$D$241,"&gt;="&amp;$A61,Summary!$D$5:$D$241,"&lt;"&amp;$A61+7,Summary!$G$5:$G$241,"Yes"))</f>
        <v>0</v>
      </c>
      <c r="U61">
        <f>IF(U55="","",COUNTIFS(Summary!$E$5:$E$241,U55,Summary!$D$5:$D$241,"&gt;="&amp;$A61,Summary!$D$5:$D$241,"&lt;"&amp;$A61+7,Summary!$G$5:$G$241,"Yes"))</f>
        <v>0</v>
      </c>
      <c r="V61">
        <f>IF(V55="","",COUNTIFS(Summary!$E$5:$E$241,V55,Summary!$D$5:$D$241,"&gt;="&amp;$A61,Summary!$D$5:$D$241,"&lt;"&amp;$A61+7,Summary!$G$5:$G$241,"Yes"))</f>
        <v>0</v>
      </c>
      <c r="W61">
        <f>IF(W55="","",COUNTIFS(Summary!$E$5:$E$241,W55,Summary!$D$5:$D$241,"&gt;="&amp;$A61,Summary!$D$5:$D$241,"&lt;"&amp;$A61+7,Summary!$G$5:$G$241,"Yes"))</f>
        <v>0</v>
      </c>
      <c r="X61">
        <f>IF(X55="","",COUNTIFS(Summary!$E$5:$E$241,X55,Summary!$D$5:$D$241,"&gt;="&amp;$A61,Summary!$D$5:$D$241,"&lt;"&amp;$A61+7,Summary!$G$5:$G$241,"Yes"))</f>
        <v>0</v>
      </c>
      <c r="Y61">
        <f>IF(Y55="","",COUNTIFS(Summary!$E$5:$E$241,Y55,Summary!$D$5:$D$241,"&gt;="&amp;$A61,Summary!$D$5:$D$241,"&lt;"&amp;$A61+7,Summary!$G$5:$G$241,"Yes"))</f>
        <v>0</v>
      </c>
      <c r="Z61">
        <f>IF(Z55="","",COUNTIFS(Summary!$E$5:$E$241,Z55,Summary!$D$5:$D$241,"&gt;="&amp;$A61,Summary!$D$5:$D$241,"&lt;"&amp;$A61+7,Summary!$G$5:$G$241,"Yes"))</f>
        <v>0</v>
      </c>
      <c r="AA61">
        <f>IF(AA55="","",COUNTIFS(Summary!$E$5:$E$241,AA55,Summary!$D$5:$D$241,"&gt;="&amp;$A61,Summary!$D$5:$D$241,"&lt;"&amp;$A61+7,Summary!$G$5:$G$241,"Yes"))</f>
        <v>0</v>
      </c>
      <c r="AB61">
        <f>IF(AB55="","",COUNTIFS(Summary!$E$5:$E$241,AB55,Summary!$D$5:$D$241,"&gt;="&amp;$A61,Summary!$D$5:$D$241,"&lt;"&amp;$A61+7,Summary!$G$5:$G$241,"Yes"))</f>
        <v>0</v>
      </c>
      <c r="AC61">
        <f>IF(AC55="","",COUNTIFS(Summary!$E$5:$E$241,AC55,Summary!$D$5:$D$241,"&gt;="&amp;$A61,Summary!$D$5:$D$241,"&lt;"&amp;$A61+7,Summary!$G$5:$G$241,"Yes"))</f>
        <v>0</v>
      </c>
      <c r="AD61">
        <f>IF(AD55="","",COUNTIFS(Summary!$E$5:$E$241,AD55,Summary!$D$5:$D$241,"&gt;="&amp;$A61,Summary!$D$5:$D$241,"&lt;"&amp;$A61+7,Summary!$G$5:$G$241,"Yes"))</f>
        <v>0</v>
      </c>
      <c r="AE61">
        <f>IF(AE55="","",COUNTIFS(Summary!$E$5:$E$241,AE55,Summary!$D$5:$D$241,"&gt;="&amp;$A61,Summary!$D$5:$D$241,"&lt;"&amp;$A61+7,Summary!$G$5:$G$241,"Yes"))</f>
        <v>0</v>
      </c>
      <c r="AF61">
        <f>IF(AF55="","",COUNTIFS(Summary!$E$5:$E$241,AF55,Summary!$D$5:$D$241,"&gt;="&amp;$A61,Summary!$D$5:$D$241,"&lt;"&amp;$A61+7,Summary!$G$5:$G$241,"Yes"))</f>
        <v>0</v>
      </c>
      <c r="AG61">
        <f>IF(AG55="","",COUNTIFS(Summary!$E$5:$E$241,AG55,Summary!$D$5:$D$241,"&gt;="&amp;$A61,Summary!$D$5:$D$241,"&lt;"&amp;$A61+7,Summary!$G$5:$G$241,"Yes"))</f>
        <v>0</v>
      </c>
      <c r="AH61">
        <f>IF(AH55="","",COUNTIFS(Summary!$E$5:$E$241,AH55,Summary!$D$5:$D$241,"&gt;="&amp;$A61,Summary!$D$5:$D$241,"&lt;"&amp;$A61+7,Summary!$G$5:$G$241,"Yes"))</f>
        <v>0</v>
      </c>
      <c r="AI61">
        <f>IF(AI55="","",COUNTIFS(Summary!$E$5:$E$241,AI55,Summary!$D$5:$D$241,"&gt;="&amp;$A61,Summary!$D$5:$D$241,"&lt;"&amp;$A61+7,Summary!$G$5:$G$241,"Yes"))</f>
        <v>0</v>
      </c>
      <c r="AJ61">
        <f>IF(AJ55="","",COUNTIFS(Summary!$E$5:$E$241,AJ55,Summary!$D$5:$D$241,"&gt;="&amp;$A61,Summary!$D$5:$D$241,"&lt;"&amp;$A61+7,Summary!$G$5:$G$241,"Yes"))</f>
        <v>0</v>
      </c>
      <c r="AK61">
        <f>IF(AK55="","",COUNTIFS(Summary!$E$5:$E$241,AK55,Summary!$D$5:$D$241,"&gt;="&amp;$A61,Summary!$D$5:$D$241,"&lt;"&amp;$A61+7,Summary!$G$5:$G$241,"Yes"))</f>
        <v>0</v>
      </c>
      <c r="AL61">
        <f>IF(AL55="","",COUNTIFS(Summary!$E$5:$E$241,AL55,Summary!$D$5:$D$241,"&gt;="&amp;$A61,Summary!$D$5:$D$241,"&lt;"&amp;$A61+7,Summary!$G$5:$G$241,"Yes"))</f>
        <v>0</v>
      </c>
      <c r="AM61">
        <f>IF(AM55="","",COUNTIFS(Summary!$E$5:$E$241,AM55,Summary!$D$5:$D$241,"&gt;="&amp;$A61,Summary!$D$5:$D$241,"&lt;"&amp;$A61+7,Summary!$G$5:$G$241,"Yes"))</f>
        <v>0</v>
      </c>
      <c r="AN61">
        <f>IF(AN55="","",COUNTIFS(Summary!$E$5:$E$241,AN55,Summary!$D$5:$D$241,"&gt;="&amp;$A61,Summary!$D$5:$D$241,"&lt;"&amp;$A61+7,Summary!$G$5:$G$241,"Yes"))</f>
        <v>0</v>
      </c>
      <c r="AO61">
        <f>IF(AO55="","",COUNTIFS(Summary!$E$5:$E$241,AO55,Summary!$D$5:$D$241,"&gt;="&amp;$A61,Summary!$D$5:$D$241,"&lt;"&amp;$A61+7,Summary!$G$5:$G$241,"Yes"))</f>
        <v>0</v>
      </c>
      <c r="AP61">
        <f>IF(AP55="","",COUNTIFS(Summary!$E$5:$E$241,AP55,Summary!$D$5:$D$241,"&gt;="&amp;$A61,Summary!$D$5:$D$241,"&lt;"&amp;$A61+7,Summary!$G$5:$G$241,"Yes"))</f>
        <v>0</v>
      </c>
      <c r="AQ61">
        <f>IF(AQ55="","",COUNTIFS(Summary!$E$5:$E$241,AQ55,Summary!$D$5:$D$241,"&gt;="&amp;$A61,Summary!$D$5:$D$241,"&lt;"&amp;$A61+7,Summary!$G$5:$G$241,"Yes"))</f>
        <v>0</v>
      </c>
      <c r="AR61">
        <f>IF(AR55="","",COUNTIFS(Summary!$E$5:$E$241,AR55,Summary!$D$5:$D$241,"&gt;="&amp;$A61,Summary!$D$5:$D$241,"&lt;"&amp;$A61+7,Summary!$G$5:$G$241,"Yes"))</f>
        <v>0</v>
      </c>
      <c r="AS61">
        <f>IF(AS55="","",COUNTIFS(Summary!$E$5:$E$241,AS55,Summary!$D$5:$D$241,"&gt;="&amp;$A61,Summary!$D$5:$D$241,"&lt;"&amp;$A61+7,Summary!$G$5:$G$241,"Yes"))</f>
        <v>0</v>
      </c>
      <c r="AT61">
        <f>IF(AT55="","",COUNTIFS(Summary!$E$5:$E$241,AT55,Summary!$D$5:$D$241,"&gt;="&amp;$A61,Summary!$D$5:$D$241,"&lt;"&amp;$A61+7,Summary!$G$5:$G$241,"Yes"))</f>
        <v>0</v>
      </c>
      <c r="AU61">
        <f>IF(AU55="","",COUNTIFS(Summary!$E$5:$E$241,AU55,Summary!$D$5:$D$241,"&gt;="&amp;$A61,Summary!$D$5:$D$241,"&lt;"&amp;$A61+7,Summary!$G$5:$G$241,"Yes"))</f>
        <v>0</v>
      </c>
      <c r="AV61">
        <f>IF(AV55="","",COUNTIFS(Summary!$E$5:$E$241,AV55,Summary!$D$5:$D$241,"&gt;="&amp;$A61,Summary!$D$5:$D$241,"&lt;"&amp;$A61+7,Summary!$G$5:$G$241,"Yes"))</f>
        <v>0</v>
      </c>
      <c r="AW61">
        <f>IF(AW55="","",COUNTIFS(Summary!$E$5:$E$241,AW55,Summary!$D$5:$D$241,"&gt;="&amp;$A61,Summary!$D$5:$D$241,"&lt;"&amp;$A61+7,Summary!$G$5:$G$241,"Yes"))</f>
        <v>0</v>
      </c>
      <c r="AX61">
        <f>IF(AX55="","",COUNTIFS(Summary!$E$5:$E$241,AX55,Summary!$D$5:$D$241,"&gt;="&amp;$A61,Summary!$D$5:$D$241,"&lt;"&amp;$A61+7,Summary!$G$5:$G$241,"Yes"))</f>
        <v>0</v>
      </c>
      <c r="AY61">
        <f>IF(AY55="","",COUNTIFS(Summary!$E$5:$E$241,AY55,Summary!$D$5:$D$241,"&gt;="&amp;$A61,Summary!$D$5:$D$241,"&lt;"&amp;$A61+7,Summary!$G$5:$G$241,"Yes"))</f>
        <v>0</v>
      </c>
      <c r="AZ61">
        <f>IF(AZ55="","",COUNTIFS(Summary!$E$5:$E$241,AZ55,Summary!$D$5:$D$241,"&gt;="&amp;$A61,Summary!$D$5:$D$241,"&lt;"&amp;$A61+7,Summary!$G$5:$G$241,"Yes"))</f>
        <v>0</v>
      </c>
      <c r="BA61">
        <f>IF(BA55="","",COUNTIFS(Summary!$E$5:$E$241,BA55,Summary!$D$5:$D$241,"&gt;="&amp;$A61,Summary!$D$5:$D$241,"&lt;"&amp;$A61+7,Summary!$G$5:$G$241,"Yes"))</f>
        <v>0</v>
      </c>
      <c r="BB61">
        <f>IF(BB55="","",COUNTIFS(Summary!$E$5:$E$241,BB55,Summary!$D$5:$D$241,"&gt;="&amp;$A61,Summary!$D$5:$D$241,"&lt;"&amp;$A61+7,Summary!$G$5:$G$241,"Yes"))</f>
        <v>0</v>
      </c>
      <c r="BC61">
        <f>IF(BC55="","",COUNTIFS(Summary!$E$5:$E$241,BC55,Summary!$D$5:$D$241,"&gt;="&amp;$A61,Summary!$D$5:$D$241,"&lt;"&amp;$A61+7,Summary!$G$5:$G$241,"Yes"))</f>
        <v>0</v>
      </c>
      <c r="BD61">
        <f>IF(BD55="","",COUNTIFS(Summary!$E$5:$E$241,BD55,Summary!$D$5:$D$241,"&gt;="&amp;$A61,Summary!$D$5:$D$241,"&lt;"&amp;$A61+7,Summary!$G$5:$G$241,"Yes"))</f>
        <v>0</v>
      </c>
      <c r="BE61">
        <f>IF(BE55="","",COUNTIFS(Summary!$E$5:$E$241,BE55,Summary!$D$5:$D$241,"&gt;="&amp;$A61,Summary!$D$5:$D$241,"&lt;"&amp;$A61+7,Summary!$G$5:$G$241,"Yes"))</f>
        <v>0</v>
      </c>
      <c r="BF61" s="28">
        <f>IF(BF55="","",COUNTIFS(Summary!$E$5:$E$241,BF55,Summary!$D$5:$D$241,"&gt;="&amp;$A61,Summary!$D$5:$D$241,"&lt;"&amp;$A61+7,Summary!$G$5:$G$241,"Yes"))</f>
        <v>0</v>
      </c>
    </row>
    <row r="62" spans="1:58">
      <c r="A62" s="18">
        <f t="shared" si="5"/>
        <v>46125</v>
      </c>
      <c r="B62" s="2" t="str">
        <f t="shared" si="4"/>
        <v>Apr 13</v>
      </c>
      <c r="C62">
        <f>IF(C55="","",COUNTIFS(Summary!$E$5:$E$241,C55,Summary!$D$5:$D$241,"&gt;="&amp;$A62,Summary!$D$5:$D$241,"&lt;"&amp;$A62+7,Summary!$G$5:$G$241,"Yes"))</f>
        <v>0</v>
      </c>
      <c r="D62">
        <f>IF(D55="","",COUNTIFS(Summary!$E$5:$E$241,D55,Summary!$D$5:$D$241,"&gt;="&amp;$A62,Summary!$D$5:$D$241,"&lt;"&amp;$A62+7,Summary!$G$5:$G$241,"Yes"))</f>
        <v>0</v>
      </c>
      <c r="E62">
        <f>IF(E55="","",COUNTIFS(Summary!$E$5:$E$241,E55,Summary!$D$5:$D$241,"&gt;="&amp;$A62,Summary!$D$5:$D$241,"&lt;"&amp;$A62+7,Summary!$G$5:$G$241,"Yes"))</f>
        <v>0</v>
      </c>
      <c r="F62">
        <f>IF(F55="","",COUNTIFS(Summary!$E$5:$E$241,F55,Summary!$D$5:$D$241,"&gt;="&amp;$A62,Summary!$D$5:$D$241,"&lt;"&amp;$A62+7,Summary!$G$5:$G$241,"Yes"))</f>
        <v>0</v>
      </c>
      <c r="G62">
        <f>IF(G55="","",COUNTIFS(Summary!$E$5:$E$241,G55,Summary!$D$5:$D$241,"&gt;="&amp;$A62,Summary!$D$5:$D$241,"&lt;"&amp;$A62+7,Summary!$G$5:$G$241,"Yes"))</f>
        <v>0</v>
      </c>
      <c r="H62">
        <f>IF(H55="","",COUNTIFS(Summary!$E$5:$E$241,H55,Summary!$D$5:$D$241,"&gt;="&amp;$A62,Summary!$D$5:$D$241,"&lt;"&amp;$A62+7,Summary!$G$5:$G$241,"Yes"))</f>
        <v>0</v>
      </c>
      <c r="I62">
        <f>IF(I55="","",COUNTIFS(Summary!$E$5:$E$241,I55,Summary!$D$5:$D$241,"&gt;="&amp;$A62,Summary!$D$5:$D$241,"&lt;"&amp;$A62+7,Summary!$G$5:$G$241,"Yes"))</f>
        <v>0</v>
      </c>
      <c r="J62">
        <f>IF(J55="","",COUNTIFS(Summary!$E$5:$E$241,J55,Summary!$D$5:$D$241,"&gt;="&amp;$A62,Summary!$D$5:$D$241,"&lt;"&amp;$A62+7,Summary!$G$5:$G$241,"Yes"))</f>
        <v>0</v>
      </c>
      <c r="K62">
        <f>IF(K55="","",COUNTIFS(Summary!$E$5:$E$241,K55,Summary!$D$5:$D$241,"&gt;="&amp;$A62,Summary!$D$5:$D$241,"&lt;"&amp;$A62+7,Summary!$G$5:$G$241,"Yes"))</f>
        <v>0</v>
      </c>
      <c r="L62">
        <f>IF(L55="","",COUNTIFS(Summary!$E$5:$E$241,L55,Summary!$D$5:$D$241,"&gt;="&amp;$A62,Summary!$D$5:$D$241,"&lt;"&amp;$A62+7,Summary!$G$5:$G$241,"Yes"))</f>
        <v>0</v>
      </c>
      <c r="M62">
        <f>IF(M55="","",COUNTIFS(Summary!$E$5:$E$241,M55,Summary!$D$5:$D$241,"&gt;="&amp;$A62,Summary!$D$5:$D$241,"&lt;"&amp;$A62+7,Summary!$G$5:$G$241,"Yes"))</f>
        <v>0</v>
      </c>
      <c r="N62">
        <f>IF(N55="","",COUNTIFS(Summary!$E$5:$E$241,N55,Summary!$D$5:$D$241,"&gt;="&amp;$A62,Summary!$D$5:$D$241,"&lt;"&amp;$A62+7,Summary!$G$5:$G$241,"Yes"))</f>
        <v>0</v>
      </c>
      <c r="O62">
        <f>IF(O55="","",COUNTIFS(Summary!$E$5:$E$241,O55,Summary!$D$5:$D$241,"&gt;="&amp;$A62,Summary!$D$5:$D$241,"&lt;"&amp;$A62+7,Summary!$G$5:$G$241,"Yes"))</f>
        <v>0</v>
      </c>
      <c r="P62">
        <f>IF(P55="","",COUNTIFS(Summary!$E$5:$E$241,P55,Summary!$D$5:$D$241,"&gt;="&amp;$A62,Summary!$D$5:$D$241,"&lt;"&amp;$A62+7,Summary!$G$5:$G$241,"Yes"))</f>
        <v>0</v>
      </c>
      <c r="Q62">
        <f>IF(Q55="","",COUNTIFS(Summary!$E$5:$E$241,Q55,Summary!$D$5:$D$241,"&gt;="&amp;$A62,Summary!$D$5:$D$241,"&lt;"&amp;$A62+7,Summary!$G$5:$G$241,"Yes"))</f>
        <v>0</v>
      </c>
      <c r="R62">
        <f>IF(R55="","",COUNTIFS(Summary!$E$5:$E$241,R55,Summary!$D$5:$D$241,"&gt;="&amp;$A62,Summary!$D$5:$D$241,"&lt;"&amp;$A62+7,Summary!$G$5:$G$241,"Yes"))</f>
        <v>0</v>
      </c>
      <c r="S62">
        <f>IF(S55="","",COUNTIFS(Summary!$E$5:$E$241,S55,Summary!$D$5:$D$241,"&gt;="&amp;$A62,Summary!$D$5:$D$241,"&lt;"&amp;$A62+7,Summary!$G$5:$G$241,"Yes"))</f>
        <v>0</v>
      </c>
      <c r="T62">
        <f>IF(T55="","",COUNTIFS(Summary!$E$5:$E$241,T55,Summary!$D$5:$D$241,"&gt;="&amp;$A62,Summary!$D$5:$D$241,"&lt;"&amp;$A62+7,Summary!$G$5:$G$241,"Yes"))</f>
        <v>0</v>
      </c>
      <c r="U62">
        <f>IF(U55="","",COUNTIFS(Summary!$E$5:$E$241,U55,Summary!$D$5:$D$241,"&gt;="&amp;$A62,Summary!$D$5:$D$241,"&lt;"&amp;$A62+7,Summary!$G$5:$G$241,"Yes"))</f>
        <v>0</v>
      </c>
      <c r="V62">
        <f>IF(V55="","",COUNTIFS(Summary!$E$5:$E$241,V55,Summary!$D$5:$D$241,"&gt;="&amp;$A62,Summary!$D$5:$D$241,"&lt;"&amp;$A62+7,Summary!$G$5:$G$241,"Yes"))</f>
        <v>0</v>
      </c>
      <c r="W62">
        <f>IF(W55="","",COUNTIFS(Summary!$E$5:$E$241,W55,Summary!$D$5:$D$241,"&gt;="&amp;$A62,Summary!$D$5:$D$241,"&lt;"&amp;$A62+7,Summary!$G$5:$G$241,"Yes"))</f>
        <v>0</v>
      </c>
      <c r="X62">
        <f>IF(X55="","",COUNTIFS(Summary!$E$5:$E$241,X55,Summary!$D$5:$D$241,"&gt;="&amp;$A62,Summary!$D$5:$D$241,"&lt;"&amp;$A62+7,Summary!$G$5:$G$241,"Yes"))</f>
        <v>0</v>
      </c>
      <c r="Y62">
        <f>IF(Y55="","",COUNTIFS(Summary!$E$5:$E$241,Y55,Summary!$D$5:$D$241,"&gt;="&amp;$A62,Summary!$D$5:$D$241,"&lt;"&amp;$A62+7,Summary!$G$5:$G$241,"Yes"))</f>
        <v>0</v>
      </c>
      <c r="Z62">
        <f>IF(Z55="","",COUNTIFS(Summary!$E$5:$E$241,Z55,Summary!$D$5:$D$241,"&gt;="&amp;$A62,Summary!$D$5:$D$241,"&lt;"&amp;$A62+7,Summary!$G$5:$G$241,"Yes"))</f>
        <v>0</v>
      </c>
      <c r="AA62">
        <f>IF(AA55="","",COUNTIFS(Summary!$E$5:$E$241,AA55,Summary!$D$5:$D$241,"&gt;="&amp;$A62,Summary!$D$5:$D$241,"&lt;"&amp;$A62+7,Summary!$G$5:$G$241,"Yes"))</f>
        <v>0</v>
      </c>
      <c r="AB62">
        <f>IF(AB55="","",COUNTIFS(Summary!$E$5:$E$241,AB55,Summary!$D$5:$D$241,"&gt;="&amp;$A62,Summary!$D$5:$D$241,"&lt;"&amp;$A62+7,Summary!$G$5:$G$241,"Yes"))</f>
        <v>0</v>
      </c>
      <c r="AC62">
        <f>IF(AC55="","",COUNTIFS(Summary!$E$5:$E$241,AC55,Summary!$D$5:$D$241,"&gt;="&amp;$A62,Summary!$D$5:$D$241,"&lt;"&amp;$A62+7,Summary!$G$5:$G$241,"Yes"))</f>
        <v>0</v>
      </c>
      <c r="AD62">
        <f>IF(AD55="","",COUNTIFS(Summary!$E$5:$E$241,AD55,Summary!$D$5:$D$241,"&gt;="&amp;$A62,Summary!$D$5:$D$241,"&lt;"&amp;$A62+7,Summary!$G$5:$G$241,"Yes"))</f>
        <v>0</v>
      </c>
      <c r="AE62">
        <f>IF(AE55="","",COUNTIFS(Summary!$E$5:$E$241,AE55,Summary!$D$5:$D$241,"&gt;="&amp;$A62,Summary!$D$5:$D$241,"&lt;"&amp;$A62+7,Summary!$G$5:$G$241,"Yes"))</f>
        <v>0</v>
      </c>
      <c r="AF62">
        <f>IF(AF55="","",COUNTIFS(Summary!$E$5:$E$241,AF55,Summary!$D$5:$D$241,"&gt;="&amp;$A62,Summary!$D$5:$D$241,"&lt;"&amp;$A62+7,Summary!$G$5:$G$241,"Yes"))</f>
        <v>0</v>
      </c>
      <c r="AG62">
        <f>IF(AG55="","",COUNTIFS(Summary!$E$5:$E$241,AG55,Summary!$D$5:$D$241,"&gt;="&amp;$A62,Summary!$D$5:$D$241,"&lt;"&amp;$A62+7,Summary!$G$5:$G$241,"Yes"))</f>
        <v>0</v>
      </c>
      <c r="AH62">
        <f>IF(AH55="","",COUNTIFS(Summary!$E$5:$E$241,AH55,Summary!$D$5:$D$241,"&gt;="&amp;$A62,Summary!$D$5:$D$241,"&lt;"&amp;$A62+7,Summary!$G$5:$G$241,"Yes"))</f>
        <v>0</v>
      </c>
      <c r="AI62">
        <f>IF(AI55="","",COUNTIFS(Summary!$E$5:$E$241,AI55,Summary!$D$5:$D$241,"&gt;="&amp;$A62,Summary!$D$5:$D$241,"&lt;"&amp;$A62+7,Summary!$G$5:$G$241,"Yes"))</f>
        <v>0</v>
      </c>
      <c r="AJ62">
        <f>IF(AJ55="","",COUNTIFS(Summary!$E$5:$E$241,AJ55,Summary!$D$5:$D$241,"&gt;="&amp;$A62,Summary!$D$5:$D$241,"&lt;"&amp;$A62+7,Summary!$G$5:$G$241,"Yes"))</f>
        <v>0</v>
      </c>
      <c r="AK62">
        <f>IF(AK55="","",COUNTIFS(Summary!$E$5:$E$241,AK55,Summary!$D$5:$D$241,"&gt;="&amp;$A62,Summary!$D$5:$D$241,"&lt;"&amp;$A62+7,Summary!$G$5:$G$241,"Yes"))</f>
        <v>0</v>
      </c>
      <c r="AL62">
        <f>IF(AL55="","",COUNTIFS(Summary!$E$5:$E$241,AL55,Summary!$D$5:$D$241,"&gt;="&amp;$A62,Summary!$D$5:$D$241,"&lt;"&amp;$A62+7,Summary!$G$5:$G$241,"Yes"))</f>
        <v>0</v>
      </c>
      <c r="AM62">
        <f>IF(AM55="","",COUNTIFS(Summary!$E$5:$E$241,AM55,Summary!$D$5:$D$241,"&gt;="&amp;$A62,Summary!$D$5:$D$241,"&lt;"&amp;$A62+7,Summary!$G$5:$G$241,"Yes"))</f>
        <v>0</v>
      </c>
      <c r="AN62">
        <f>IF(AN55="","",COUNTIFS(Summary!$E$5:$E$241,AN55,Summary!$D$5:$D$241,"&gt;="&amp;$A62,Summary!$D$5:$D$241,"&lt;"&amp;$A62+7,Summary!$G$5:$G$241,"Yes"))</f>
        <v>0</v>
      </c>
      <c r="AO62">
        <f>IF(AO55="","",COUNTIFS(Summary!$E$5:$E$241,AO55,Summary!$D$5:$D$241,"&gt;="&amp;$A62,Summary!$D$5:$D$241,"&lt;"&amp;$A62+7,Summary!$G$5:$G$241,"Yes"))</f>
        <v>0</v>
      </c>
      <c r="AP62">
        <f>IF(AP55="","",COUNTIFS(Summary!$E$5:$E$241,AP55,Summary!$D$5:$D$241,"&gt;="&amp;$A62,Summary!$D$5:$D$241,"&lt;"&amp;$A62+7,Summary!$G$5:$G$241,"Yes"))</f>
        <v>0</v>
      </c>
      <c r="AQ62">
        <f>IF(AQ55="","",COUNTIFS(Summary!$E$5:$E$241,AQ55,Summary!$D$5:$D$241,"&gt;="&amp;$A62,Summary!$D$5:$D$241,"&lt;"&amp;$A62+7,Summary!$G$5:$G$241,"Yes"))</f>
        <v>0</v>
      </c>
      <c r="AR62">
        <f>IF(AR55="","",COUNTIFS(Summary!$E$5:$E$241,AR55,Summary!$D$5:$D$241,"&gt;="&amp;$A62,Summary!$D$5:$D$241,"&lt;"&amp;$A62+7,Summary!$G$5:$G$241,"Yes"))</f>
        <v>0</v>
      </c>
      <c r="AS62">
        <f>IF(AS55="","",COUNTIFS(Summary!$E$5:$E$241,AS55,Summary!$D$5:$D$241,"&gt;="&amp;$A62,Summary!$D$5:$D$241,"&lt;"&amp;$A62+7,Summary!$G$5:$G$241,"Yes"))</f>
        <v>0</v>
      </c>
      <c r="AT62">
        <f>IF(AT55="","",COUNTIFS(Summary!$E$5:$E$241,AT55,Summary!$D$5:$D$241,"&gt;="&amp;$A62,Summary!$D$5:$D$241,"&lt;"&amp;$A62+7,Summary!$G$5:$G$241,"Yes"))</f>
        <v>0</v>
      </c>
      <c r="AU62">
        <f>IF(AU55="","",COUNTIFS(Summary!$E$5:$E$241,AU55,Summary!$D$5:$D$241,"&gt;="&amp;$A62,Summary!$D$5:$D$241,"&lt;"&amp;$A62+7,Summary!$G$5:$G$241,"Yes"))</f>
        <v>0</v>
      </c>
      <c r="AV62">
        <f>IF(AV55="","",COUNTIFS(Summary!$E$5:$E$241,AV55,Summary!$D$5:$D$241,"&gt;="&amp;$A62,Summary!$D$5:$D$241,"&lt;"&amp;$A62+7,Summary!$G$5:$G$241,"Yes"))</f>
        <v>0</v>
      </c>
      <c r="AW62">
        <f>IF(AW55="","",COUNTIFS(Summary!$E$5:$E$241,AW55,Summary!$D$5:$D$241,"&gt;="&amp;$A62,Summary!$D$5:$D$241,"&lt;"&amp;$A62+7,Summary!$G$5:$G$241,"Yes"))</f>
        <v>0</v>
      </c>
      <c r="AX62">
        <f>IF(AX55="","",COUNTIFS(Summary!$E$5:$E$241,AX55,Summary!$D$5:$D$241,"&gt;="&amp;$A62,Summary!$D$5:$D$241,"&lt;"&amp;$A62+7,Summary!$G$5:$G$241,"Yes"))</f>
        <v>0</v>
      </c>
      <c r="AY62">
        <f>IF(AY55="","",COUNTIFS(Summary!$E$5:$E$241,AY55,Summary!$D$5:$D$241,"&gt;="&amp;$A62,Summary!$D$5:$D$241,"&lt;"&amp;$A62+7,Summary!$G$5:$G$241,"Yes"))</f>
        <v>0</v>
      </c>
      <c r="AZ62">
        <f>IF(AZ55="","",COUNTIFS(Summary!$E$5:$E$241,AZ55,Summary!$D$5:$D$241,"&gt;="&amp;$A62,Summary!$D$5:$D$241,"&lt;"&amp;$A62+7,Summary!$G$5:$G$241,"Yes"))</f>
        <v>0</v>
      </c>
      <c r="BA62">
        <f>IF(BA55="","",COUNTIFS(Summary!$E$5:$E$241,BA55,Summary!$D$5:$D$241,"&gt;="&amp;$A62,Summary!$D$5:$D$241,"&lt;"&amp;$A62+7,Summary!$G$5:$G$241,"Yes"))</f>
        <v>0</v>
      </c>
      <c r="BB62">
        <f>IF(BB55="","",COUNTIFS(Summary!$E$5:$E$241,BB55,Summary!$D$5:$D$241,"&gt;="&amp;$A62,Summary!$D$5:$D$241,"&lt;"&amp;$A62+7,Summary!$G$5:$G$241,"Yes"))</f>
        <v>0</v>
      </c>
      <c r="BC62">
        <f>IF(BC55="","",COUNTIFS(Summary!$E$5:$E$241,BC55,Summary!$D$5:$D$241,"&gt;="&amp;$A62,Summary!$D$5:$D$241,"&lt;"&amp;$A62+7,Summary!$G$5:$G$241,"Yes"))</f>
        <v>0</v>
      </c>
      <c r="BD62">
        <f>IF(BD55="","",COUNTIFS(Summary!$E$5:$E$241,BD55,Summary!$D$5:$D$241,"&gt;="&amp;$A62,Summary!$D$5:$D$241,"&lt;"&amp;$A62+7,Summary!$G$5:$G$241,"Yes"))</f>
        <v>0</v>
      </c>
      <c r="BE62">
        <f>IF(BE55="","",COUNTIFS(Summary!$E$5:$E$241,BE55,Summary!$D$5:$D$241,"&gt;="&amp;$A62,Summary!$D$5:$D$241,"&lt;"&amp;$A62+7,Summary!$G$5:$G$241,"Yes"))</f>
        <v>0</v>
      </c>
      <c r="BF62" s="28">
        <f>IF(BF55="","",COUNTIFS(Summary!$E$5:$E$241,BF55,Summary!$D$5:$D$241,"&gt;="&amp;$A62,Summary!$D$5:$D$241,"&lt;"&amp;$A62+7,Summary!$G$5:$G$241,"Yes"))</f>
        <v>0</v>
      </c>
    </row>
    <row r="63" spans="1:58">
      <c r="A63" s="18">
        <f t="shared" si="5"/>
        <v>46132</v>
      </c>
      <c r="B63" s="2" t="str">
        <f t="shared" si="4"/>
        <v>Apr 20</v>
      </c>
      <c r="C63">
        <f>IF(C55="","",COUNTIFS(Summary!$E$5:$E$241,C55,Summary!$D$5:$D$241,"&gt;="&amp;$A63,Summary!$D$5:$D$241,"&lt;"&amp;$A63+7,Summary!$G$5:$G$241,"Yes"))</f>
        <v>0</v>
      </c>
      <c r="D63">
        <f>IF(D55="","",COUNTIFS(Summary!$E$5:$E$241,D55,Summary!$D$5:$D$241,"&gt;="&amp;$A63,Summary!$D$5:$D$241,"&lt;"&amp;$A63+7,Summary!$G$5:$G$241,"Yes"))</f>
        <v>0</v>
      </c>
      <c r="E63">
        <f>IF(E55="","",COUNTIFS(Summary!$E$5:$E$241,E55,Summary!$D$5:$D$241,"&gt;="&amp;$A63,Summary!$D$5:$D$241,"&lt;"&amp;$A63+7,Summary!$G$5:$G$241,"Yes"))</f>
        <v>0</v>
      </c>
      <c r="F63">
        <f>IF(F55="","",COUNTIFS(Summary!$E$5:$E$241,F55,Summary!$D$5:$D$241,"&gt;="&amp;$A63,Summary!$D$5:$D$241,"&lt;"&amp;$A63+7,Summary!$G$5:$G$241,"Yes"))</f>
        <v>0</v>
      </c>
      <c r="G63">
        <f>IF(G55="","",COUNTIFS(Summary!$E$5:$E$241,G55,Summary!$D$5:$D$241,"&gt;="&amp;$A63,Summary!$D$5:$D$241,"&lt;"&amp;$A63+7,Summary!$G$5:$G$241,"Yes"))</f>
        <v>0</v>
      </c>
      <c r="H63">
        <f>IF(H55="","",COUNTIFS(Summary!$E$5:$E$241,H55,Summary!$D$5:$D$241,"&gt;="&amp;$A63,Summary!$D$5:$D$241,"&lt;"&amp;$A63+7,Summary!$G$5:$G$241,"Yes"))</f>
        <v>0</v>
      </c>
      <c r="I63">
        <f>IF(I55="","",COUNTIFS(Summary!$E$5:$E$241,I55,Summary!$D$5:$D$241,"&gt;="&amp;$A63,Summary!$D$5:$D$241,"&lt;"&amp;$A63+7,Summary!$G$5:$G$241,"Yes"))</f>
        <v>0</v>
      </c>
      <c r="J63">
        <f>IF(J55="","",COUNTIFS(Summary!$E$5:$E$241,J55,Summary!$D$5:$D$241,"&gt;="&amp;$A63,Summary!$D$5:$D$241,"&lt;"&amp;$A63+7,Summary!$G$5:$G$241,"Yes"))</f>
        <v>0</v>
      </c>
      <c r="K63">
        <f>IF(K55="","",COUNTIFS(Summary!$E$5:$E$241,K55,Summary!$D$5:$D$241,"&gt;="&amp;$A63,Summary!$D$5:$D$241,"&lt;"&amp;$A63+7,Summary!$G$5:$G$241,"Yes"))</f>
        <v>1</v>
      </c>
      <c r="L63">
        <f>IF(L55="","",COUNTIFS(Summary!$E$5:$E$241,L55,Summary!$D$5:$D$241,"&gt;="&amp;$A63,Summary!$D$5:$D$241,"&lt;"&amp;$A63+7,Summary!$G$5:$G$241,"Yes"))</f>
        <v>0</v>
      </c>
      <c r="M63">
        <f>IF(M55="","",COUNTIFS(Summary!$E$5:$E$241,M55,Summary!$D$5:$D$241,"&gt;="&amp;$A63,Summary!$D$5:$D$241,"&lt;"&amp;$A63+7,Summary!$G$5:$G$241,"Yes"))</f>
        <v>0</v>
      </c>
      <c r="N63">
        <f>IF(N55="","",COUNTIFS(Summary!$E$5:$E$241,N55,Summary!$D$5:$D$241,"&gt;="&amp;$A63,Summary!$D$5:$D$241,"&lt;"&amp;$A63+7,Summary!$G$5:$G$241,"Yes"))</f>
        <v>0</v>
      </c>
      <c r="O63">
        <f>IF(O55="","",COUNTIFS(Summary!$E$5:$E$241,O55,Summary!$D$5:$D$241,"&gt;="&amp;$A63,Summary!$D$5:$D$241,"&lt;"&amp;$A63+7,Summary!$G$5:$G$241,"Yes"))</f>
        <v>0</v>
      </c>
      <c r="P63">
        <f>IF(P55="","",COUNTIFS(Summary!$E$5:$E$241,P55,Summary!$D$5:$D$241,"&gt;="&amp;$A63,Summary!$D$5:$D$241,"&lt;"&amp;$A63+7,Summary!$G$5:$G$241,"Yes"))</f>
        <v>0</v>
      </c>
      <c r="Q63">
        <f>IF(Q55="","",COUNTIFS(Summary!$E$5:$E$241,Q55,Summary!$D$5:$D$241,"&gt;="&amp;$A63,Summary!$D$5:$D$241,"&lt;"&amp;$A63+7,Summary!$G$5:$G$241,"Yes"))</f>
        <v>0</v>
      </c>
      <c r="R63">
        <f>IF(R55="","",COUNTIFS(Summary!$E$5:$E$241,R55,Summary!$D$5:$D$241,"&gt;="&amp;$A63,Summary!$D$5:$D$241,"&lt;"&amp;$A63+7,Summary!$G$5:$G$241,"Yes"))</f>
        <v>0</v>
      </c>
      <c r="S63">
        <f>IF(S55="","",COUNTIFS(Summary!$E$5:$E$241,S55,Summary!$D$5:$D$241,"&gt;="&amp;$A63,Summary!$D$5:$D$241,"&lt;"&amp;$A63+7,Summary!$G$5:$G$241,"Yes"))</f>
        <v>0</v>
      </c>
      <c r="T63">
        <f>IF(T55="","",COUNTIFS(Summary!$E$5:$E$241,T55,Summary!$D$5:$D$241,"&gt;="&amp;$A63,Summary!$D$5:$D$241,"&lt;"&amp;$A63+7,Summary!$G$5:$G$241,"Yes"))</f>
        <v>0</v>
      </c>
      <c r="U63">
        <f>IF(U55="","",COUNTIFS(Summary!$E$5:$E$241,U55,Summary!$D$5:$D$241,"&gt;="&amp;$A63,Summary!$D$5:$D$241,"&lt;"&amp;$A63+7,Summary!$G$5:$G$241,"Yes"))</f>
        <v>0</v>
      </c>
      <c r="V63">
        <f>IF(V55="","",COUNTIFS(Summary!$E$5:$E$241,V55,Summary!$D$5:$D$241,"&gt;="&amp;$A63,Summary!$D$5:$D$241,"&lt;"&amp;$A63+7,Summary!$G$5:$G$241,"Yes"))</f>
        <v>0</v>
      </c>
      <c r="W63">
        <f>IF(W55="","",COUNTIFS(Summary!$E$5:$E$241,W55,Summary!$D$5:$D$241,"&gt;="&amp;$A63,Summary!$D$5:$D$241,"&lt;"&amp;$A63+7,Summary!$G$5:$G$241,"Yes"))</f>
        <v>0</v>
      </c>
      <c r="X63">
        <f>IF(X55="","",COUNTIFS(Summary!$E$5:$E$241,X55,Summary!$D$5:$D$241,"&gt;="&amp;$A63,Summary!$D$5:$D$241,"&lt;"&amp;$A63+7,Summary!$G$5:$G$241,"Yes"))</f>
        <v>0</v>
      </c>
      <c r="Y63">
        <f>IF(Y55="","",COUNTIFS(Summary!$E$5:$E$241,Y55,Summary!$D$5:$D$241,"&gt;="&amp;$A63,Summary!$D$5:$D$241,"&lt;"&amp;$A63+7,Summary!$G$5:$G$241,"Yes"))</f>
        <v>0</v>
      </c>
      <c r="Z63">
        <f>IF(Z55="","",COUNTIFS(Summary!$E$5:$E$241,Z55,Summary!$D$5:$D$241,"&gt;="&amp;$A63,Summary!$D$5:$D$241,"&lt;"&amp;$A63+7,Summary!$G$5:$G$241,"Yes"))</f>
        <v>0</v>
      </c>
      <c r="AA63">
        <f>IF(AA55="","",COUNTIFS(Summary!$E$5:$E$241,AA55,Summary!$D$5:$D$241,"&gt;="&amp;$A63,Summary!$D$5:$D$241,"&lt;"&amp;$A63+7,Summary!$G$5:$G$241,"Yes"))</f>
        <v>0</v>
      </c>
      <c r="AB63">
        <f>IF(AB55="","",COUNTIFS(Summary!$E$5:$E$241,AB55,Summary!$D$5:$D$241,"&gt;="&amp;$A63,Summary!$D$5:$D$241,"&lt;"&amp;$A63+7,Summary!$G$5:$G$241,"Yes"))</f>
        <v>0</v>
      </c>
      <c r="AC63">
        <f>IF(AC55="","",COUNTIFS(Summary!$E$5:$E$241,AC55,Summary!$D$5:$D$241,"&gt;="&amp;$A63,Summary!$D$5:$D$241,"&lt;"&amp;$A63+7,Summary!$G$5:$G$241,"Yes"))</f>
        <v>0</v>
      </c>
      <c r="AD63">
        <f>IF(AD55="","",COUNTIFS(Summary!$E$5:$E$241,AD55,Summary!$D$5:$D$241,"&gt;="&amp;$A63,Summary!$D$5:$D$241,"&lt;"&amp;$A63+7,Summary!$G$5:$G$241,"Yes"))</f>
        <v>0</v>
      </c>
      <c r="AE63">
        <f>IF(AE55="","",COUNTIFS(Summary!$E$5:$E$241,AE55,Summary!$D$5:$D$241,"&gt;="&amp;$A63,Summary!$D$5:$D$241,"&lt;"&amp;$A63+7,Summary!$G$5:$G$241,"Yes"))</f>
        <v>0</v>
      </c>
      <c r="AF63">
        <f>IF(AF55="","",COUNTIFS(Summary!$E$5:$E$241,AF55,Summary!$D$5:$D$241,"&gt;="&amp;$A63,Summary!$D$5:$D$241,"&lt;"&amp;$A63+7,Summary!$G$5:$G$241,"Yes"))</f>
        <v>0</v>
      </c>
      <c r="AG63">
        <f>IF(AG55="","",COUNTIFS(Summary!$E$5:$E$241,AG55,Summary!$D$5:$D$241,"&gt;="&amp;$A63,Summary!$D$5:$D$241,"&lt;"&amp;$A63+7,Summary!$G$5:$G$241,"Yes"))</f>
        <v>0</v>
      </c>
      <c r="AH63">
        <f>IF(AH55="","",COUNTIFS(Summary!$E$5:$E$241,AH55,Summary!$D$5:$D$241,"&gt;="&amp;$A63,Summary!$D$5:$D$241,"&lt;"&amp;$A63+7,Summary!$G$5:$G$241,"Yes"))</f>
        <v>0</v>
      </c>
      <c r="AI63">
        <f>IF(AI55="","",COUNTIFS(Summary!$E$5:$E$241,AI55,Summary!$D$5:$D$241,"&gt;="&amp;$A63,Summary!$D$5:$D$241,"&lt;"&amp;$A63+7,Summary!$G$5:$G$241,"Yes"))</f>
        <v>0</v>
      </c>
      <c r="AJ63">
        <f>IF(AJ55="","",COUNTIFS(Summary!$E$5:$E$241,AJ55,Summary!$D$5:$D$241,"&gt;="&amp;$A63,Summary!$D$5:$D$241,"&lt;"&amp;$A63+7,Summary!$G$5:$G$241,"Yes"))</f>
        <v>0</v>
      </c>
      <c r="AK63">
        <f>IF(AK55="","",COUNTIFS(Summary!$E$5:$E$241,AK55,Summary!$D$5:$D$241,"&gt;="&amp;$A63,Summary!$D$5:$D$241,"&lt;"&amp;$A63+7,Summary!$G$5:$G$241,"Yes"))</f>
        <v>0</v>
      </c>
      <c r="AL63">
        <f>IF(AL55="","",COUNTIFS(Summary!$E$5:$E$241,AL55,Summary!$D$5:$D$241,"&gt;="&amp;$A63,Summary!$D$5:$D$241,"&lt;"&amp;$A63+7,Summary!$G$5:$G$241,"Yes"))</f>
        <v>0</v>
      </c>
      <c r="AM63">
        <f>IF(AM55="","",COUNTIFS(Summary!$E$5:$E$241,AM55,Summary!$D$5:$D$241,"&gt;="&amp;$A63,Summary!$D$5:$D$241,"&lt;"&amp;$A63+7,Summary!$G$5:$G$241,"Yes"))</f>
        <v>0</v>
      </c>
      <c r="AN63">
        <f>IF(AN55="","",COUNTIFS(Summary!$E$5:$E$241,AN55,Summary!$D$5:$D$241,"&gt;="&amp;$A63,Summary!$D$5:$D$241,"&lt;"&amp;$A63+7,Summary!$G$5:$G$241,"Yes"))</f>
        <v>0</v>
      </c>
      <c r="AO63">
        <f>IF(AO55="","",COUNTIFS(Summary!$E$5:$E$241,AO55,Summary!$D$5:$D$241,"&gt;="&amp;$A63,Summary!$D$5:$D$241,"&lt;"&amp;$A63+7,Summary!$G$5:$G$241,"Yes"))</f>
        <v>0</v>
      </c>
      <c r="AP63">
        <f>IF(AP55="","",COUNTIFS(Summary!$E$5:$E$241,AP55,Summary!$D$5:$D$241,"&gt;="&amp;$A63,Summary!$D$5:$D$241,"&lt;"&amp;$A63+7,Summary!$G$5:$G$241,"Yes"))</f>
        <v>0</v>
      </c>
      <c r="AQ63">
        <f>IF(AQ55="","",COUNTIFS(Summary!$E$5:$E$241,AQ55,Summary!$D$5:$D$241,"&gt;="&amp;$A63,Summary!$D$5:$D$241,"&lt;"&amp;$A63+7,Summary!$G$5:$G$241,"Yes"))</f>
        <v>0</v>
      </c>
      <c r="AR63">
        <f>IF(AR55="","",COUNTIFS(Summary!$E$5:$E$241,AR55,Summary!$D$5:$D$241,"&gt;="&amp;$A63,Summary!$D$5:$D$241,"&lt;"&amp;$A63+7,Summary!$G$5:$G$241,"Yes"))</f>
        <v>0</v>
      </c>
      <c r="AS63">
        <f>IF(AS55="","",COUNTIFS(Summary!$E$5:$E$241,AS55,Summary!$D$5:$D$241,"&gt;="&amp;$A63,Summary!$D$5:$D$241,"&lt;"&amp;$A63+7,Summary!$G$5:$G$241,"Yes"))</f>
        <v>0</v>
      </c>
      <c r="AT63">
        <f>IF(AT55="","",COUNTIFS(Summary!$E$5:$E$241,AT55,Summary!$D$5:$D$241,"&gt;="&amp;$A63,Summary!$D$5:$D$241,"&lt;"&amp;$A63+7,Summary!$G$5:$G$241,"Yes"))</f>
        <v>0</v>
      </c>
      <c r="AU63">
        <f>IF(AU55="","",COUNTIFS(Summary!$E$5:$E$241,AU55,Summary!$D$5:$D$241,"&gt;="&amp;$A63,Summary!$D$5:$D$241,"&lt;"&amp;$A63+7,Summary!$G$5:$G$241,"Yes"))</f>
        <v>0</v>
      </c>
      <c r="AV63">
        <f>IF(AV55="","",COUNTIFS(Summary!$E$5:$E$241,AV55,Summary!$D$5:$D$241,"&gt;="&amp;$A63,Summary!$D$5:$D$241,"&lt;"&amp;$A63+7,Summary!$G$5:$G$241,"Yes"))</f>
        <v>0</v>
      </c>
      <c r="AW63">
        <f>IF(AW55="","",COUNTIFS(Summary!$E$5:$E$241,AW55,Summary!$D$5:$D$241,"&gt;="&amp;$A63,Summary!$D$5:$D$241,"&lt;"&amp;$A63+7,Summary!$G$5:$G$241,"Yes"))</f>
        <v>0</v>
      </c>
      <c r="AX63">
        <f>IF(AX55="","",COUNTIFS(Summary!$E$5:$E$241,AX55,Summary!$D$5:$D$241,"&gt;="&amp;$A63,Summary!$D$5:$D$241,"&lt;"&amp;$A63+7,Summary!$G$5:$G$241,"Yes"))</f>
        <v>0</v>
      </c>
      <c r="AY63">
        <f>IF(AY55="","",COUNTIFS(Summary!$E$5:$E$241,AY55,Summary!$D$5:$D$241,"&gt;="&amp;$A63,Summary!$D$5:$D$241,"&lt;"&amp;$A63+7,Summary!$G$5:$G$241,"Yes"))</f>
        <v>0</v>
      </c>
      <c r="AZ63">
        <f>IF(AZ55="","",COUNTIFS(Summary!$E$5:$E$241,AZ55,Summary!$D$5:$D$241,"&gt;="&amp;$A63,Summary!$D$5:$D$241,"&lt;"&amp;$A63+7,Summary!$G$5:$G$241,"Yes"))</f>
        <v>0</v>
      </c>
      <c r="BA63">
        <f>IF(BA55="","",COUNTIFS(Summary!$E$5:$E$241,BA55,Summary!$D$5:$D$241,"&gt;="&amp;$A63,Summary!$D$5:$D$241,"&lt;"&amp;$A63+7,Summary!$G$5:$G$241,"Yes"))</f>
        <v>0</v>
      </c>
      <c r="BB63">
        <f>IF(BB55="","",COUNTIFS(Summary!$E$5:$E$241,BB55,Summary!$D$5:$D$241,"&gt;="&amp;$A63,Summary!$D$5:$D$241,"&lt;"&amp;$A63+7,Summary!$G$5:$G$241,"Yes"))</f>
        <v>0</v>
      </c>
      <c r="BC63">
        <f>IF(BC55="","",COUNTIFS(Summary!$E$5:$E$241,BC55,Summary!$D$5:$D$241,"&gt;="&amp;$A63,Summary!$D$5:$D$241,"&lt;"&amp;$A63+7,Summary!$G$5:$G$241,"Yes"))</f>
        <v>0</v>
      </c>
      <c r="BD63">
        <f>IF(BD55="","",COUNTIFS(Summary!$E$5:$E$241,BD55,Summary!$D$5:$D$241,"&gt;="&amp;$A63,Summary!$D$5:$D$241,"&lt;"&amp;$A63+7,Summary!$G$5:$G$241,"Yes"))</f>
        <v>0</v>
      </c>
      <c r="BE63">
        <f>IF(BE55="","",COUNTIFS(Summary!$E$5:$E$241,BE55,Summary!$D$5:$D$241,"&gt;="&amp;$A63,Summary!$D$5:$D$241,"&lt;"&amp;$A63+7,Summary!$G$5:$G$241,"Yes"))</f>
        <v>0</v>
      </c>
      <c r="BF63" s="28">
        <f>IF(BF55="","",COUNTIFS(Summary!$E$5:$E$241,BF55,Summary!$D$5:$D$241,"&gt;="&amp;$A63,Summary!$D$5:$D$241,"&lt;"&amp;$A63+7,Summary!$G$5:$G$241,"Yes"))</f>
        <v>0</v>
      </c>
    </row>
    <row r="64" spans="1:58">
      <c r="A64" s="18">
        <f t="shared" si="5"/>
        <v>46139</v>
      </c>
      <c r="B64" s="2" t="str">
        <f t="shared" si="4"/>
        <v>Apr 27</v>
      </c>
      <c r="C64">
        <f>IF(C55="","",COUNTIFS(Summary!$E$5:$E$241,C55,Summary!$D$5:$D$241,"&gt;="&amp;$A64,Summary!$D$5:$D$241,"&lt;"&amp;$A64+7,Summary!$G$5:$G$241,"Yes"))</f>
        <v>0</v>
      </c>
      <c r="D64">
        <f>IF(D55="","",COUNTIFS(Summary!$E$5:$E$241,D55,Summary!$D$5:$D$241,"&gt;="&amp;$A64,Summary!$D$5:$D$241,"&lt;"&amp;$A64+7,Summary!$G$5:$G$241,"Yes"))</f>
        <v>0</v>
      </c>
      <c r="E64">
        <f>IF(E55="","",COUNTIFS(Summary!$E$5:$E$241,E55,Summary!$D$5:$D$241,"&gt;="&amp;$A64,Summary!$D$5:$D$241,"&lt;"&amp;$A64+7,Summary!$G$5:$G$241,"Yes"))</f>
        <v>0</v>
      </c>
      <c r="F64">
        <f>IF(F55="","",COUNTIFS(Summary!$E$5:$E$241,F55,Summary!$D$5:$D$241,"&gt;="&amp;$A64,Summary!$D$5:$D$241,"&lt;"&amp;$A64+7,Summary!$G$5:$G$241,"Yes"))</f>
        <v>0</v>
      </c>
      <c r="G64">
        <f>IF(G55="","",COUNTIFS(Summary!$E$5:$E$241,G55,Summary!$D$5:$D$241,"&gt;="&amp;$A64,Summary!$D$5:$D$241,"&lt;"&amp;$A64+7,Summary!$G$5:$G$241,"Yes"))</f>
        <v>0</v>
      </c>
      <c r="H64">
        <f>IF(H55="","",COUNTIFS(Summary!$E$5:$E$241,H55,Summary!$D$5:$D$241,"&gt;="&amp;$A64,Summary!$D$5:$D$241,"&lt;"&amp;$A64+7,Summary!$G$5:$G$241,"Yes"))</f>
        <v>0</v>
      </c>
      <c r="I64">
        <f>IF(I55="","",COUNTIFS(Summary!$E$5:$E$241,I55,Summary!$D$5:$D$241,"&gt;="&amp;$A64,Summary!$D$5:$D$241,"&lt;"&amp;$A64+7,Summary!$G$5:$G$241,"Yes"))</f>
        <v>0</v>
      </c>
      <c r="J64">
        <f>IF(J55="","",COUNTIFS(Summary!$E$5:$E$241,J55,Summary!$D$5:$D$241,"&gt;="&amp;$A64,Summary!$D$5:$D$241,"&lt;"&amp;$A64+7,Summary!$G$5:$G$241,"Yes"))</f>
        <v>0</v>
      </c>
      <c r="K64">
        <f>IF(K55="","",COUNTIFS(Summary!$E$5:$E$241,K55,Summary!$D$5:$D$241,"&gt;="&amp;$A64,Summary!$D$5:$D$241,"&lt;"&amp;$A64+7,Summary!$G$5:$G$241,"Yes"))</f>
        <v>0</v>
      </c>
      <c r="L64">
        <f>IF(L55="","",COUNTIFS(Summary!$E$5:$E$241,L55,Summary!$D$5:$D$241,"&gt;="&amp;$A64,Summary!$D$5:$D$241,"&lt;"&amp;$A64+7,Summary!$G$5:$G$241,"Yes"))</f>
        <v>0</v>
      </c>
      <c r="M64">
        <f>IF(M55="","",COUNTIFS(Summary!$E$5:$E$241,M55,Summary!$D$5:$D$241,"&gt;="&amp;$A64,Summary!$D$5:$D$241,"&lt;"&amp;$A64+7,Summary!$G$5:$G$241,"Yes"))</f>
        <v>0</v>
      </c>
      <c r="N64">
        <f>IF(N55="","",COUNTIFS(Summary!$E$5:$E$241,N55,Summary!$D$5:$D$241,"&gt;="&amp;$A64,Summary!$D$5:$D$241,"&lt;"&amp;$A64+7,Summary!$G$5:$G$241,"Yes"))</f>
        <v>0</v>
      </c>
      <c r="O64">
        <f>IF(O55="","",COUNTIFS(Summary!$E$5:$E$241,O55,Summary!$D$5:$D$241,"&gt;="&amp;$A64,Summary!$D$5:$D$241,"&lt;"&amp;$A64+7,Summary!$G$5:$G$241,"Yes"))</f>
        <v>0</v>
      </c>
      <c r="P64">
        <f>IF(P55="","",COUNTIFS(Summary!$E$5:$E$241,P55,Summary!$D$5:$D$241,"&gt;="&amp;$A64,Summary!$D$5:$D$241,"&lt;"&amp;$A64+7,Summary!$G$5:$G$241,"Yes"))</f>
        <v>0</v>
      </c>
      <c r="Q64">
        <f>IF(Q55="","",COUNTIFS(Summary!$E$5:$E$241,Q55,Summary!$D$5:$D$241,"&gt;="&amp;$A64,Summary!$D$5:$D$241,"&lt;"&amp;$A64+7,Summary!$G$5:$G$241,"Yes"))</f>
        <v>0</v>
      </c>
      <c r="R64">
        <f>IF(R55="","",COUNTIFS(Summary!$E$5:$E$241,R55,Summary!$D$5:$D$241,"&gt;="&amp;$A64,Summary!$D$5:$D$241,"&lt;"&amp;$A64+7,Summary!$G$5:$G$241,"Yes"))</f>
        <v>0</v>
      </c>
      <c r="S64">
        <f>IF(S55="","",COUNTIFS(Summary!$E$5:$E$241,S55,Summary!$D$5:$D$241,"&gt;="&amp;$A64,Summary!$D$5:$D$241,"&lt;"&amp;$A64+7,Summary!$G$5:$G$241,"Yes"))</f>
        <v>0</v>
      </c>
      <c r="T64">
        <f>IF(T55="","",COUNTIFS(Summary!$E$5:$E$241,T55,Summary!$D$5:$D$241,"&gt;="&amp;$A64,Summary!$D$5:$D$241,"&lt;"&amp;$A64+7,Summary!$G$5:$G$241,"Yes"))</f>
        <v>0</v>
      </c>
      <c r="U64">
        <f>IF(U55="","",COUNTIFS(Summary!$E$5:$E$241,U55,Summary!$D$5:$D$241,"&gt;="&amp;$A64,Summary!$D$5:$D$241,"&lt;"&amp;$A64+7,Summary!$G$5:$G$241,"Yes"))</f>
        <v>0</v>
      </c>
      <c r="V64">
        <f>IF(V55="","",COUNTIFS(Summary!$E$5:$E$241,V55,Summary!$D$5:$D$241,"&gt;="&amp;$A64,Summary!$D$5:$D$241,"&lt;"&amp;$A64+7,Summary!$G$5:$G$241,"Yes"))</f>
        <v>0</v>
      </c>
      <c r="W64">
        <f>IF(W55="","",COUNTIFS(Summary!$E$5:$E$241,W55,Summary!$D$5:$D$241,"&gt;="&amp;$A64,Summary!$D$5:$D$241,"&lt;"&amp;$A64+7,Summary!$G$5:$G$241,"Yes"))</f>
        <v>0</v>
      </c>
      <c r="X64">
        <f>IF(X55="","",COUNTIFS(Summary!$E$5:$E$241,X55,Summary!$D$5:$D$241,"&gt;="&amp;$A64,Summary!$D$5:$D$241,"&lt;"&amp;$A64+7,Summary!$G$5:$G$241,"Yes"))</f>
        <v>0</v>
      </c>
      <c r="Y64">
        <f>IF(Y55="","",COUNTIFS(Summary!$E$5:$E$241,Y55,Summary!$D$5:$D$241,"&gt;="&amp;$A64,Summary!$D$5:$D$241,"&lt;"&amp;$A64+7,Summary!$G$5:$G$241,"Yes"))</f>
        <v>0</v>
      </c>
      <c r="Z64">
        <f>IF(Z55="","",COUNTIFS(Summary!$E$5:$E$241,Z55,Summary!$D$5:$D$241,"&gt;="&amp;$A64,Summary!$D$5:$D$241,"&lt;"&amp;$A64+7,Summary!$G$5:$G$241,"Yes"))</f>
        <v>0</v>
      </c>
      <c r="AA64">
        <f>IF(AA55="","",COUNTIFS(Summary!$E$5:$E$241,AA55,Summary!$D$5:$D$241,"&gt;="&amp;$A64,Summary!$D$5:$D$241,"&lt;"&amp;$A64+7,Summary!$G$5:$G$241,"Yes"))</f>
        <v>0</v>
      </c>
      <c r="AB64">
        <f>IF(AB55="","",COUNTIFS(Summary!$E$5:$E$241,AB55,Summary!$D$5:$D$241,"&gt;="&amp;$A64,Summary!$D$5:$D$241,"&lt;"&amp;$A64+7,Summary!$G$5:$G$241,"Yes"))</f>
        <v>0</v>
      </c>
      <c r="AC64">
        <f>IF(AC55="","",COUNTIFS(Summary!$E$5:$E$241,AC55,Summary!$D$5:$D$241,"&gt;="&amp;$A64,Summary!$D$5:$D$241,"&lt;"&amp;$A64+7,Summary!$G$5:$G$241,"Yes"))</f>
        <v>0</v>
      </c>
      <c r="AD64">
        <f>IF(AD55="","",COUNTIFS(Summary!$E$5:$E$241,AD55,Summary!$D$5:$D$241,"&gt;="&amp;$A64,Summary!$D$5:$D$241,"&lt;"&amp;$A64+7,Summary!$G$5:$G$241,"Yes"))</f>
        <v>0</v>
      </c>
      <c r="AE64">
        <f>IF(AE55="","",COUNTIFS(Summary!$E$5:$E$241,AE55,Summary!$D$5:$D$241,"&gt;="&amp;$A64,Summary!$D$5:$D$241,"&lt;"&amp;$A64+7,Summary!$G$5:$G$241,"Yes"))</f>
        <v>0</v>
      </c>
      <c r="AF64">
        <f>IF(AF55="","",COUNTIFS(Summary!$E$5:$E$241,AF55,Summary!$D$5:$D$241,"&gt;="&amp;$A64,Summary!$D$5:$D$241,"&lt;"&amp;$A64+7,Summary!$G$5:$G$241,"Yes"))</f>
        <v>0</v>
      </c>
      <c r="AG64">
        <f>IF(AG55="","",COUNTIFS(Summary!$E$5:$E$241,AG55,Summary!$D$5:$D$241,"&gt;="&amp;$A64,Summary!$D$5:$D$241,"&lt;"&amp;$A64+7,Summary!$G$5:$G$241,"Yes"))</f>
        <v>0</v>
      </c>
      <c r="AH64">
        <f>IF(AH55="","",COUNTIFS(Summary!$E$5:$E$241,AH55,Summary!$D$5:$D$241,"&gt;="&amp;$A64,Summary!$D$5:$D$241,"&lt;"&amp;$A64+7,Summary!$G$5:$G$241,"Yes"))</f>
        <v>0</v>
      </c>
      <c r="AI64">
        <f>IF(AI55="","",COUNTIFS(Summary!$E$5:$E$241,AI55,Summary!$D$5:$D$241,"&gt;="&amp;$A64,Summary!$D$5:$D$241,"&lt;"&amp;$A64+7,Summary!$G$5:$G$241,"Yes"))</f>
        <v>0</v>
      </c>
      <c r="AJ64">
        <f>IF(AJ55="","",COUNTIFS(Summary!$E$5:$E$241,AJ55,Summary!$D$5:$D$241,"&gt;="&amp;$A64,Summary!$D$5:$D$241,"&lt;"&amp;$A64+7,Summary!$G$5:$G$241,"Yes"))</f>
        <v>0</v>
      </c>
      <c r="AK64">
        <f>IF(AK55="","",COUNTIFS(Summary!$E$5:$E$241,AK55,Summary!$D$5:$D$241,"&gt;="&amp;$A64,Summary!$D$5:$D$241,"&lt;"&amp;$A64+7,Summary!$G$5:$G$241,"Yes"))</f>
        <v>0</v>
      </c>
      <c r="AL64">
        <f>IF(AL55="","",COUNTIFS(Summary!$E$5:$E$241,AL55,Summary!$D$5:$D$241,"&gt;="&amp;$A64,Summary!$D$5:$D$241,"&lt;"&amp;$A64+7,Summary!$G$5:$G$241,"Yes"))</f>
        <v>0</v>
      </c>
      <c r="AM64">
        <f>IF(AM55="","",COUNTIFS(Summary!$E$5:$E$241,AM55,Summary!$D$5:$D$241,"&gt;="&amp;$A64,Summary!$D$5:$D$241,"&lt;"&amp;$A64+7,Summary!$G$5:$G$241,"Yes"))</f>
        <v>0</v>
      </c>
      <c r="AN64">
        <f>IF(AN55="","",COUNTIFS(Summary!$E$5:$E$241,AN55,Summary!$D$5:$D$241,"&gt;="&amp;$A64,Summary!$D$5:$D$241,"&lt;"&amp;$A64+7,Summary!$G$5:$G$241,"Yes"))</f>
        <v>0</v>
      </c>
      <c r="AO64">
        <f>IF(AO55="","",COUNTIFS(Summary!$E$5:$E$241,AO55,Summary!$D$5:$D$241,"&gt;="&amp;$A64,Summary!$D$5:$D$241,"&lt;"&amp;$A64+7,Summary!$G$5:$G$241,"Yes"))</f>
        <v>0</v>
      </c>
      <c r="AP64">
        <f>IF(AP55="","",COUNTIFS(Summary!$E$5:$E$241,AP55,Summary!$D$5:$D$241,"&gt;="&amp;$A64,Summary!$D$5:$D$241,"&lt;"&amp;$A64+7,Summary!$G$5:$G$241,"Yes"))</f>
        <v>0</v>
      </c>
      <c r="AQ64">
        <f>IF(AQ55="","",COUNTIFS(Summary!$E$5:$E$241,AQ55,Summary!$D$5:$D$241,"&gt;="&amp;$A64,Summary!$D$5:$D$241,"&lt;"&amp;$A64+7,Summary!$G$5:$G$241,"Yes"))</f>
        <v>0</v>
      </c>
      <c r="AR64">
        <f>IF(AR55="","",COUNTIFS(Summary!$E$5:$E$241,AR55,Summary!$D$5:$D$241,"&gt;="&amp;$A64,Summary!$D$5:$D$241,"&lt;"&amp;$A64+7,Summary!$G$5:$G$241,"Yes"))</f>
        <v>0</v>
      </c>
      <c r="AS64">
        <f>IF(AS55="","",COUNTIFS(Summary!$E$5:$E$241,AS55,Summary!$D$5:$D$241,"&gt;="&amp;$A64,Summary!$D$5:$D$241,"&lt;"&amp;$A64+7,Summary!$G$5:$G$241,"Yes"))</f>
        <v>0</v>
      </c>
      <c r="AT64">
        <f>IF(AT55="","",COUNTIFS(Summary!$E$5:$E$241,AT55,Summary!$D$5:$D$241,"&gt;="&amp;$A64,Summary!$D$5:$D$241,"&lt;"&amp;$A64+7,Summary!$G$5:$G$241,"Yes"))</f>
        <v>0</v>
      </c>
      <c r="AU64">
        <f>IF(AU55="","",COUNTIFS(Summary!$E$5:$E$241,AU55,Summary!$D$5:$D$241,"&gt;="&amp;$A64,Summary!$D$5:$D$241,"&lt;"&amp;$A64+7,Summary!$G$5:$G$241,"Yes"))</f>
        <v>0</v>
      </c>
      <c r="AV64">
        <f>IF(AV55="","",COUNTIFS(Summary!$E$5:$E$241,AV55,Summary!$D$5:$D$241,"&gt;="&amp;$A64,Summary!$D$5:$D$241,"&lt;"&amp;$A64+7,Summary!$G$5:$G$241,"Yes"))</f>
        <v>0</v>
      </c>
      <c r="AW64">
        <f>IF(AW55="","",COUNTIFS(Summary!$E$5:$E$241,AW55,Summary!$D$5:$D$241,"&gt;="&amp;$A64,Summary!$D$5:$D$241,"&lt;"&amp;$A64+7,Summary!$G$5:$G$241,"Yes"))</f>
        <v>0</v>
      </c>
      <c r="AX64">
        <f>IF(AX55="","",COUNTIFS(Summary!$E$5:$E$241,AX55,Summary!$D$5:$D$241,"&gt;="&amp;$A64,Summary!$D$5:$D$241,"&lt;"&amp;$A64+7,Summary!$G$5:$G$241,"Yes"))</f>
        <v>0</v>
      </c>
      <c r="AY64">
        <f>IF(AY55="","",COUNTIFS(Summary!$E$5:$E$241,AY55,Summary!$D$5:$D$241,"&gt;="&amp;$A64,Summary!$D$5:$D$241,"&lt;"&amp;$A64+7,Summary!$G$5:$G$241,"Yes"))</f>
        <v>0</v>
      </c>
      <c r="AZ64">
        <f>IF(AZ55="","",COUNTIFS(Summary!$E$5:$E$241,AZ55,Summary!$D$5:$D$241,"&gt;="&amp;$A64,Summary!$D$5:$D$241,"&lt;"&amp;$A64+7,Summary!$G$5:$G$241,"Yes"))</f>
        <v>0</v>
      </c>
      <c r="BA64">
        <f>IF(BA55="","",COUNTIFS(Summary!$E$5:$E$241,BA55,Summary!$D$5:$D$241,"&gt;="&amp;$A64,Summary!$D$5:$D$241,"&lt;"&amp;$A64+7,Summary!$G$5:$G$241,"Yes"))</f>
        <v>0</v>
      </c>
      <c r="BB64">
        <f>IF(BB55="","",COUNTIFS(Summary!$E$5:$E$241,BB55,Summary!$D$5:$D$241,"&gt;="&amp;$A64,Summary!$D$5:$D$241,"&lt;"&amp;$A64+7,Summary!$G$5:$G$241,"Yes"))</f>
        <v>0</v>
      </c>
      <c r="BC64">
        <f>IF(BC55="","",COUNTIFS(Summary!$E$5:$E$241,BC55,Summary!$D$5:$D$241,"&gt;="&amp;$A64,Summary!$D$5:$D$241,"&lt;"&amp;$A64+7,Summary!$G$5:$G$241,"Yes"))</f>
        <v>0</v>
      </c>
      <c r="BD64">
        <f>IF(BD55="","",COUNTIFS(Summary!$E$5:$E$241,BD55,Summary!$D$5:$D$241,"&gt;="&amp;$A64,Summary!$D$5:$D$241,"&lt;"&amp;$A64+7,Summary!$G$5:$G$241,"Yes"))</f>
        <v>0</v>
      </c>
      <c r="BE64">
        <f>IF(BE55="","",COUNTIFS(Summary!$E$5:$E$241,BE55,Summary!$D$5:$D$241,"&gt;="&amp;$A64,Summary!$D$5:$D$241,"&lt;"&amp;$A64+7,Summary!$G$5:$G$241,"Yes"))</f>
        <v>0</v>
      </c>
      <c r="BF64" s="28">
        <f>IF(BF55="","",COUNTIFS(Summary!$E$5:$E$241,BF55,Summary!$D$5:$D$241,"&gt;="&amp;$A64,Summary!$D$5:$D$241,"&lt;"&amp;$A64+7,Summary!$G$5:$G$241,"Yes"))</f>
        <v>0</v>
      </c>
    </row>
    <row r="65" spans="1:58">
      <c r="A65" s="18">
        <f t="shared" si="5"/>
        <v>46146</v>
      </c>
      <c r="B65" s="2" t="str">
        <f t="shared" si="4"/>
        <v>May 4</v>
      </c>
      <c r="C65">
        <f>IF(C55="","",COUNTIFS(Summary!$E$5:$E$241,C55,Summary!$D$5:$D$241,"&gt;="&amp;$A65,Summary!$D$5:$D$241,"&lt;"&amp;$A65+7,Summary!$G$5:$G$241,"Yes"))</f>
        <v>0</v>
      </c>
      <c r="D65">
        <f>IF(D55="","",COUNTIFS(Summary!$E$5:$E$241,D55,Summary!$D$5:$D$241,"&gt;="&amp;$A65,Summary!$D$5:$D$241,"&lt;"&amp;$A65+7,Summary!$G$5:$G$241,"Yes"))</f>
        <v>0</v>
      </c>
      <c r="E65">
        <f>IF(E55="","",COUNTIFS(Summary!$E$5:$E$241,E55,Summary!$D$5:$D$241,"&gt;="&amp;$A65,Summary!$D$5:$D$241,"&lt;"&amp;$A65+7,Summary!$G$5:$G$241,"Yes"))</f>
        <v>0</v>
      </c>
      <c r="F65">
        <f>IF(F55="","",COUNTIFS(Summary!$E$5:$E$241,F55,Summary!$D$5:$D$241,"&gt;="&amp;$A65,Summary!$D$5:$D$241,"&lt;"&amp;$A65+7,Summary!$G$5:$G$241,"Yes"))</f>
        <v>0</v>
      </c>
      <c r="G65">
        <f>IF(G55="","",COUNTIFS(Summary!$E$5:$E$241,G55,Summary!$D$5:$D$241,"&gt;="&amp;$A65,Summary!$D$5:$D$241,"&lt;"&amp;$A65+7,Summary!$G$5:$G$241,"Yes"))</f>
        <v>0</v>
      </c>
      <c r="H65">
        <f>IF(H55="","",COUNTIFS(Summary!$E$5:$E$241,H55,Summary!$D$5:$D$241,"&gt;="&amp;$A65,Summary!$D$5:$D$241,"&lt;"&amp;$A65+7,Summary!$G$5:$G$241,"Yes"))</f>
        <v>0</v>
      </c>
      <c r="I65">
        <f>IF(I55="","",COUNTIFS(Summary!$E$5:$E$241,I55,Summary!$D$5:$D$241,"&gt;="&amp;$A65,Summary!$D$5:$D$241,"&lt;"&amp;$A65+7,Summary!$G$5:$G$241,"Yes"))</f>
        <v>0</v>
      </c>
      <c r="J65">
        <f>IF(J55="","",COUNTIFS(Summary!$E$5:$E$241,J55,Summary!$D$5:$D$241,"&gt;="&amp;$A65,Summary!$D$5:$D$241,"&lt;"&amp;$A65+7,Summary!$G$5:$G$241,"Yes"))</f>
        <v>0</v>
      </c>
      <c r="K65">
        <f>IF(K55="","",COUNTIFS(Summary!$E$5:$E$241,K55,Summary!$D$5:$D$241,"&gt;="&amp;$A65,Summary!$D$5:$D$241,"&lt;"&amp;$A65+7,Summary!$G$5:$G$241,"Yes"))</f>
        <v>0</v>
      </c>
      <c r="L65">
        <f>IF(L55="","",COUNTIFS(Summary!$E$5:$E$241,L55,Summary!$D$5:$D$241,"&gt;="&amp;$A65,Summary!$D$5:$D$241,"&lt;"&amp;$A65+7,Summary!$G$5:$G$241,"Yes"))</f>
        <v>0</v>
      </c>
      <c r="M65">
        <f>IF(M55="","",COUNTIFS(Summary!$E$5:$E$241,M55,Summary!$D$5:$D$241,"&gt;="&amp;$A65,Summary!$D$5:$D$241,"&lt;"&amp;$A65+7,Summary!$G$5:$G$241,"Yes"))</f>
        <v>0</v>
      </c>
      <c r="N65">
        <f>IF(N55="","",COUNTIFS(Summary!$E$5:$E$241,N55,Summary!$D$5:$D$241,"&gt;="&amp;$A65,Summary!$D$5:$D$241,"&lt;"&amp;$A65+7,Summary!$G$5:$G$241,"Yes"))</f>
        <v>0</v>
      </c>
      <c r="O65">
        <f>IF(O55="","",COUNTIFS(Summary!$E$5:$E$241,O55,Summary!$D$5:$D$241,"&gt;="&amp;$A65,Summary!$D$5:$D$241,"&lt;"&amp;$A65+7,Summary!$G$5:$G$241,"Yes"))</f>
        <v>0</v>
      </c>
      <c r="P65">
        <f>IF(P55="","",COUNTIFS(Summary!$E$5:$E$241,P55,Summary!$D$5:$D$241,"&gt;="&amp;$A65,Summary!$D$5:$D$241,"&lt;"&amp;$A65+7,Summary!$G$5:$G$241,"Yes"))</f>
        <v>0</v>
      </c>
      <c r="Q65">
        <f>IF(Q55="","",COUNTIFS(Summary!$E$5:$E$241,Q55,Summary!$D$5:$D$241,"&gt;="&amp;$A65,Summary!$D$5:$D$241,"&lt;"&amp;$A65+7,Summary!$G$5:$G$241,"Yes"))</f>
        <v>0</v>
      </c>
      <c r="R65">
        <f>IF(R55="","",COUNTIFS(Summary!$E$5:$E$241,R55,Summary!$D$5:$D$241,"&gt;="&amp;$A65,Summary!$D$5:$D$241,"&lt;"&amp;$A65+7,Summary!$G$5:$G$241,"Yes"))</f>
        <v>0</v>
      </c>
      <c r="S65">
        <f>IF(S55="","",COUNTIFS(Summary!$E$5:$E$241,S55,Summary!$D$5:$D$241,"&gt;="&amp;$A65,Summary!$D$5:$D$241,"&lt;"&amp;$A65+7,Summary!$G$5:$G$241,"Yes"))</f>
        <v>0</v>
      </c>
      <c r="T65">
        <f>IF(T55="","",COUNTIFS(Summary!$E$5:$E$241,T55,Summary!$D$5:$D$241,"&gt;="&amp;$A65,Summary!$D$5:$D$241,"&lt;"&amp;$A65+7,Summary!$G$5:$G$241,"Yes"))</f>
        <v>0</v>
      </c>
      <c r="U65">
        <f>IF(U55="","",COUNTIFS(Summary!$E$5:$E$241,U55,Summary!$D$5:$D$241,"&gt;="&amp;$A65,Summary!$D$5:$D$241,"&lt;"&amp;$A65+7,Summary!$G$5:$G$241,"Yes"))</f>
        <v>0</v>
      </c>
      <c r="V65">
        <f>IF(V55="","",COUNTIFS(Summary!$E$5:$E$241,V55,Summary!$D$5:$D$241,"&gt;="&amp;$A65,Summary!$D$5:$D$241,"&lt;"&amp;$A65+7,Summary!$G$5:$G$241,"Yes"))</f>
        <v>0</v>
      </c>
      <c r="W65">
        <f>IF(W55="","",COUNTIFS(Summary!$E$5:$E$241,W55,Summary!$D$5:$D$241,"&gt;="&amp;$A65,Summary!$D$5:$D$241,"&lt;"&amp;$A65+7,Summary!$G$5:$G$241,"Yes"))</f>
        <v>0</v>
      </c>
      <c r="X65">
        <f>IF(X55="","",COUNTIFS(Summary!$E$5:$E$241,X55,Summary!$D$5:$D$241,"&gt;="&amp;$A65,Summary!$D$5:$D$241,"&lt;"&amp;$A65+7,Summary!$G$5:$G$241,"Yes"))</f>
        <v>0</v>
      </c>
      <c r="Y65">
        <f>IF(Y55="","",COUNTIFS(Summary!$E$5:$E$241,Y55,Summary!$D$5:$D$241,"&gt;="&amp;$A65,Summary!$D$5:$D$241,"&lt;"&amp;$A65+7,Summary!$G$5:$G$241,"Yes"))</f>
        <v>0</v>
      </c>
      <c r="Z65">
        <f>IF(Z55="","",COUNTIFS(Summary!$E$5:$E$241,Z55,Summary!$D$5:$D$241,"&gt;="&amp;$A65,Summary!$D$5:$D$241,"&lt;"&amp;$A65+7,Summary!$G$5:$G$241,"Yes"))</f>
        <v>0</v>
      </c>
      <c r="AA65">
        <f>IF(AA55="","",COUNTIFS(Summary!$E$5:$E$241,AA55,Summary!$D$5:$D$241,"&gt;="&amp;$A65,Summary!$D$5:$D$241,"&lt;"&amp;$A65+7,Summary!$G$5:$G$241,"Yes"))</f>
        <v>0</v>
      </c>
      <c r="AB65">
        <f>IF(AB55="","",COUNTIFS(Summary!$E$5:$E$241,AB55,Summary!$D$5:$D$241,"&gt;="&amp;$A65,Summary!$D$5:$D$241,"&lt;"&amp;$A65+7,Summary!$G$5:$G$241,"Yes"))</f>
        <v>0</v>
      </c>
      <c r="AC65">
        <f>IF(AC55="","",COUNTIFS(Summary!$E$5:$E$241,AC55,Summary!$D$5:$D$241,"&gt;="&amp;$A65,Summary!$D$5:$D$241,"&lt;"&amp;$A65+7,Summary!$G$5:$G$241,"Yes"))</f>
        <v>0</v>
      </c>
      <c r="AD65">
        <f>IF(AD55="","",COUNTIFS(Summary!$E$5:$E$241,AD55,Summary!$D$5:$D$241,"&gt;="&amp;$A65,Summary!$D$5:$D$241,"&lt;"&amp;$A65+7,Summary!$G$5:$G$241,"Yes"))</f>
        <v>0</v>
      </c>
      <c r="AE65">
        <f>IF(AE55="","",COUNTIFS(Summary!$E$5:$E$241,AE55,Summary!$D$5:$D$241,"&gt;="&amp;$A65,Summary!$D$5:$D$241,"&lt;"&amp;$A65+7,Summary!$G$5:$G$241,"Yes"))</f>
        <v>0</v>
      </c>
      <c r="AF65">
        <f>IF(AF55="","",COUNTIFS(Summary!$E$5:$E$241,AF55,Summary!$D$5:$D$241,"&gt;="&amp;$A65,Summary!$D$5:$D$241,"&lt;"&amp;$A65+7,Summary!$G$5:$G$241,"Yes"))</f>
        <v>0</v>
      </c>
      <c r="AG65">
        <f>IF(AG55="","",COUNTIFS(Summary!$E$5:$E$241,AG55,Summary!$D$5:$D$241,"&gt;="&amp;$A65,Summary!$D$5:$D$241,"&lt;"&amp;$A65+7,Summary!$G$5:$G$241,"Yes"))</f>
        <v>0</v>
      </c>
      <c r="AH65">
        <f>IF(AH55="","",COUNTIFS(Summary!$E$5:$E$241,AH55,Summary!$D$5:$D$241,"&gt;="&amp;$A65,Summary!$D$5:$D$241,"&lt;"&amp;$A65+7,Summary!$G$5:$G$241,"Yes"))</f>
        <v>0</v>
      </c>
      <c r="AI65">
        <f>IF(AI55="","",COUNTIFS(Summary!$E$5:$E$241,AI55,Summary!$D$5:$D$241,"&gt;="&amp;$A65,Summary!$D$5:$D$241,"&lt;"&amp;$A65+7,Summary!$G$5:$G$241,"Yes"))</f>
        <v>0</v>
      </c>
      <c r="AJ65">
        <f>IF(AJ55="","",COUNTIFS(Summary!$E$5:$E$241,AJ55,Summary!$D$5:$D$241,"&gt;="&amp;$A65,Summary!$D$5:$D$241,"&lt;"&amp;$A65+7,Summary!$G$5:$G$241,"Yes"))</f>
        <v>0</v>
      </c>
      <c r="AK65">
        <f>IF(AK55="","",COUNTIFS(Summary!$E$5:$E$241,AK55,Summary!$D$5:$D$241,"&gt;="&amp;$A65,Summary!$D$5:$D$241,"&lt;"&amp;$A65+7,Summary!$G$5:$G$241,"Yes"))</f>
        <v>0</v>
      </c>
      <c r="AL65">
        <f>IF(AL55="","",COUNTIFS(Summary!$E$5:$E$241,AL55,Summary!$D$5:$D$241,"&gt;="&amp;$A65,Summary!$D$5:$D$241,"&lt;"&amp;$A65+7,Summary!$G$5:$G$241,"Yes"))</f>
        <v>0</v>
      </c>
      <c r="AM65">
        <f>IF(AM55="","",COUNTIFS(Summary!$E$5:$E$241,AM55,Summary!$D$5:$D$241,"&gt;="&amp;$A65,Summary!$D$5:$D$241,"&lt;"&amp;$A65+7,Summary!$G$5:$G$241,"Yes"))</f>
        <v>0</v>
      </c>
      <c r="AN65">
        <f>IF(AN55="","",COUNTIFS(Summary!$E$5:$E$241,AN55,Summary!$D$5:$D$241,"&gt;="&amp;$A65,Summary!$D$5:$D$241,"&lt;"&amp;$A65+7,Summary!$G$5:$G$241,"Yes"))</f>
        <v>0</v>
      </c>
      <c r="AO65">
        <f>IF(AO55="","",COUNTIFS(Summary!$E$5:$E$241,AO55,Summary!$D$5:$D$241,"&gt;="&amp;$A65,Summary!$D$5:$D$241,"&lt;"&amp;$A65+7,Summary!$G$5:$G$241,"Yes"))</f>
        <v>0</v>
      </c>
      <c r="AP65">
        <f>IF(AP55="","",COUNTIFS(Summary!$E$5:$E$241,AP55,Summary!$D$5:$D$241,"&gt;="&amp;$A65,Summary!$D$5:$D$241,"&lt;"&amp;$A65+7,Summary!$G$5:$G$241,"Yes"))</f>
        <v>0</v>
      </c>
      <c r="AQ65">
        <f>IF(AQ55="","",COUNTIFS(Summary!$E$5:$E$241,AQ55,Summary!$D$5:$D$241,"&gt;="&amp;$A65,Summary!$D$5:$D$241,"&lt;"&amp;$A65+7,Summary!$G$5:$G$241,"Yes"))</f>
        <v>0</v>
      </c>
      <c r="AR65">
        <f>IF(AR55="","",COUNTIFS(Summary!$E$5:$E$241,AR55,Summary!$D$5:$D$241,"&gt;="&amp;$A65,Summary!$D$5:$D$241,"&lt;"&amp;$A65+7,Summary!$G$5:$G$241,"Yes"))</f>
        <v>0</v>
      </c>
      <c r="AS65">
        <f>IF(AS55="","",COUNTIFS(Summary!$E$5:$E$241,AS55,Summary!$D$5:$D$241,"&gt;="&amp;$A65,Summary!$D$5:$D$241,"&lt;"&amp;$A65+7,Summary!$G$5:$G$241,"Yes"))</f>
        <v>0</v>
      </c>
      <c r="AT65">
        <f>IF(AT55="","",COUNTIFS(Summary!$E$5:$E$241,AT55,Summary!$D$5:$D$241,"&gt;="&amp;$A65,Summary!$D$5:$D$241,"&lt;"&amp;$A65+7,Summary!$G$5:$G$241,"Yes"))</f>
        <v>0</v>
      </c>
      <c r="AU65">
        <f>IF(AU55="","",COUNTIFS(Summary!$E$5:$E$241,AU55,Summary!$D$5:$D$241,"&gt;="&amp;$A65,Summary!$D$5:$D$241,"&lt;"&amp;$A65+7,Summary!$G$5:$G$241,"Yes"))</f>
        <v>0</v>
      </c>
      <c r="AV65">
        <f>IF(AV55="","",COUNTIFS(Summary!$E$5:$E$241,AV55,Summary!$D$5:$D$241,"&gt;="&amp;$A65,Summary!$D$5:$D$241,"&lt;"&amp;$A65+7,Summary!$G$5:$G$241,"Yes"))</f>
        <v>0</v>
      </c>
      <c r="AW65">
        <f>IF(AW55="","",COUNTIFS(Summary!$E$5:$E$241,AW55,Summary!$D$5:$D$241,"&gt;="&amp;$A65,Summary!$D$5:$D$241,"&lt;"&amp;$A65+7,Summary!$G$5:$G$241,"Yes"))</f>
        <v>0</v>
      </c>
      <c r="AX65">
        <f>IF(AX55="","",COUNTIFS(Summary!$E$5:$E$241,AX55,Summary!$D$5:$D$241,"&gt;="&amp;$A65,Summary!$D$5:$D$241,"&lt;"&amp;$A65+7,Summary!$G$5:$G$241,"Yes"))</f>
        <v>0</v>
      </c>
      <c r="AY65">
        <f>IF(AY55="","",COUNTIFS(Summary!$E$5:$E$241,AY55,Summary!$D$5:$D$241,"&gt;="&amp;$A65,Summary!$D$5:$D$241,"&lt;"&amp;$A65+7,Summary!$G$5:$G$241,"Yes"))</f>
        <v>0</v>
      </c>
      <c r="AZ65">
        <f>IF(AZ55="","",COUNTIFS(Summary!$E$5:$E$241,AZ55,Summary!$D$5:$D$241,"&gt;="&amp;$A65,Summary!$D$5:$D$241,"&lt;"&amp;$A65+7,Summary!$G$5:$G$241,"Yes"))</f>
        <v>0</v>
      </c>
      <c r="BA65">
        <f>IF(BA55="","",COUNTIFS(Summary!$E$5:$E$241,BA55,Summary!$D$5:$D$241,"&gt;="&amp;$A65,Summary!$D$5:$D$241,"&lt;"&amp;$A65+7,Summary!$G$5:$G$241,"Yes"))</f>
        <v>0</v>
      </c>
      <c r="BB65">
        <f>IF(BB55="","",COUNTIFS(Summary!$E$5:$E$241,BB55,Summary!$D$5:$D$241,"&gt;="&amp;$A65,Summary!$D$5:$D$241,"&lt;"&amp;$A65+7,Summary!$G$5:$G$241,"Yes"))</f>
        <v>0</v>
      </c>
      <c r="BC65">
        <f>IF(BC55="","",COUNTIFS(Summary!$E$5:$E$241,BC55,Summary!$D$5:$D$241,"&gt;="&amp;$A65,Summary!$D$5:$D$241,"&lt;"&amp;$A65+7,Summary!$G$5:$G$241,"Yes"))</f>
        <v>0</v>
      </c>
      <c r="BD65">
        <f>IF(BD55="","",COUNTIFS(Summary!$E$5:$E$241,BD55,Summary!$D$5:$D$241,"&gt;="&amp;$A65,Summary!$D$5:$D$241,"&lt;"&amp;$A65+7,Summary!$G$5:$G$241,"Yes"))</f>
        <v>0</v>
      </c>
      <c r="BE65">
        <f>IF(BE55="","",COUNTIFS(Summary!$E$5:$E$241,BE55,Summary!$D$5:$D$241,"&gt;="&amp;$A65,Summary!$D$5:$D$241,"&lt;"&amp;$A65+7,Summary!$G$5:$G$241,"Yes"))</f>
        <v>0</v>
      </c>
      <c r="BF65" s="28">
        <f>IF(BF55="","",COUNTIFS(Summary!$E$5:$E$241,BF55,Summary!$D$5:$D$241,"&gt;="&amp;$A65,Summary!$D$5:$D$241,"&lt;"&amp;$A65+7,Summary!$G$5:$G$241,"Yes"))</f>
        <v>0</v>
      </c>
    </row>
    <row r="66" spans="1:58">
      <c r="A66" s="18">
        <f t="shared" si="5"/>
        <v>46153</v>
      </c>
      <c r="B66" s="2" t="str">
        <f t="shared" si="4"/>
        <v>May 11</v>
      </c>
      <c r="C66">
        <f>IF(C55="","",COUNTIFS(Summary!$E$5:$E$241,C55,Summary!$D$5:$D$241,"&gt;="&amp;$A66,Summary!$D$5:$D$241,"&lt;"&amp;$A66+7,Summary!$G$5:$G$241,"Yes"))</f>
        <v>0</v>
      </c>
      <c r="D66">
        <f>IF(D55="","",COUNTIFS(Summary!$E$5:$E$241,D55,Summary!$D$5:$D$241,"&gt;="&amp;$A66,Summary!$D$5:$D$241,"&lt;"&amp;$A66+7,Summary!$G$5:$G$241,"Yes"))</f>
        <v>0</v>
      </c>
      <c r="E66">
        <f>IF(E55="","",COUNTIFS(Summary!$E$5:$E$241,E55,Summary!$D$5:$D$241,"&gt;="&amp;$A66,Summary!$D$5:$D$241,"&lt;"&amp;$A66+7,Summary!$G$5:$G$241,"Yes"))</f>
        <v>0</v>
      </c>
      <c r="F66">
        <f>IF(F55="","",COUNTIFS(Summary!$E$5:$E$241,F55,Summary!$D$5:$D$241,"&gt;="&amp;$A66,Summary!$D$5:$D$241,"&lt;"&amp;$A66+7,Summary!$G$5:$G$241,"Yes"))</f>
        <v>0</v>
      </c>
      <c r="G66">
        <f>IF(G55="","",COUNTIFS(Summary!$E$5:$E$241,G55,Summary!$D$5:$D$241,"&gt;="&amp;$A66,Summary!$D$5:$D$241,"&lt;"&amp;$A66+7,Summary!$G$5:$G$241,"Yes"))</f>
        <v>0</v>
      </c>
      <c r="H66">
        <f>IF(H55="","",COUNTIFS(Summary!$E$5:$E$241,H55,Summary!$D$5:$D$241,"&gt;="&amp;$A66,Summary!$D$5:$D$241,"&lt;"&amp;$A66+7,Summary!$G$5:$G$241,"Yes"))</f>
        <v>0</v>
      </c>
      <c r="I66">
        <f>IF(I55="","",COUNTIFS(Summary!$E$5:$E$241,I55,Summary!$D$5:$D$241,"&gt;="&amp;$A66,Summary!$D$5:$D$241,"&lt;"&amp;$A66+7,Summary!$G$5:$G$241,"Yes"))</f>
        <v>0</v>
      </c>
      <c r="J66">
        <f>IF(J55="","",COUNTIFS(Summary!$E$5:$E$241,J55,Summary!$D$5:$D$241,"&gt;="&amp;$A66,Summary!$D$5:$D$241,"&lt;"&amp;$A66+7,Summary!$G$5:$G$241,"Yes"))</f>
        <v>0</v>
      </c>
      <c r="K66">
        <f>IF(K55="","",COUNTIFS(Summary!$E$5:$E$241,K55,Summary!$D$5:$D$241,"&gt;="&amp;$A66,Summary!$D$5:$D$241,"&lt;"&amp;$A66+7,Summary!$G$5:$G$241,"Yes"))</f>
        <v>0</v>
      </c>
      <c r="L66">
        <f>IF(L55="","",COUNTIFS(Summary!$E$5:$E$241,L55,Summary!$D$5:$D$241,"&gt;="&amp;$A66,Summary!$D$5:$D$241,"&lt;"&amp;$A66+7,Summary!$G$5:$G$241,"Yes"))</f>
        <v>0</v>
      </c>
      <c r="M66">
        <f>IF(M55="","",COUNTIFS(Summary!$E$5:$E$241,M55,Summary!$D$5:$D$241,"&gt;="&amp;$A66,Summary!$D$5:$D$241,"&lt;"&amp;$A66+7,Summary!$G$5:$G$241,"Yes"))</f>
        <v>0</v>
      </c>
      <c r="N66">
        <f>IF(N55="","",COUNTIFS(Summary!$E$5:$E$241,N55,Summary!$D$5:$D$241,"&gt;="&amp;$A66,Summary!$D$5:$D$241,"&lt;"&amp;$A66+7,Summary!$G$5:$G$241,"Yes"))</f>
        <v>0</v>
      </c>
      <c r="O66">
        <f>IF(O55="","",COUNTIFS(Summary!$E$5:$E$241,O55,Summary!$D$5:$D$241,"&gt;="&amp;$A66,Summary!$D$5:$D$241,"&lt;"&amp;$A66+7,Summary!$G$5:$G$241,"Yes"))</f>
        <v>0</v>
      </c>
      <c r="P66">
        <f>IF(P55="","",COUNTIFS(Summary!$E$5:$E$241,P55,Summary!$D$5:$D$241,"&gt;="&amp;$A66,Summary!$D$5:$D$241,"&lt;"&amp;$A66+7,Summary!$G$5:$G$241,"Yes"))</f>
        <v>0</v>
      </c>
      <c r="Q66">
        <f>IF(Q55="","",COUNTIFS(Summary!$E$5:$E$241,Q55,Summary!$D$5:$D$241,"&gt;="&amp;$A66,Summary!$D$5:$D$241,"&lt;"&amp;$A66+7,Summary!$G$5:$G$241,"Yes"))</f>
        <v>0</v>
      </c>
      <c r="R66">
        <f>IF(R55="","",COUNTIFS(Summary!$E$5:$E$241,R55,Summary!$D$5:$D$241,"&gt;="&amp;$A66,Summary!$D$5:$D$241,"&lt;"&amp;$A66+7,Summary!$G$5:$G$241,"Yes"))</f>
        <v>0</v>
      </c>
      <c r="S66">
        <f>IF(S55="","",COUNTIFS(Summary!$E$5:$E$241,S55,Summary!$D$5:$D$241,"&gt;="&amp;$A66,Summary!$D$5:$D$241,"&lt;"&amp;$A66+7,Summary!$G$5:$G$241,"Yes"))</f>
        <v>0</v>
      </c>
      <c r="T66">
        <f>IF(T55="","",COUNTIFS(Summary!$E$5:$E$241,T55,Summary!$D$5:$D$241,"&gt;="&amp;$A66,Summary!$D$5:$D$241,"&lt;"&amp;$A66+7,Summary!$G$5:$G$241,"Yes"))</f>
        <v>0</v>
      </c>
      <c r="U66">
        <f>IF(U55="","",COUNTIFS(Summary!$E$5:$E$241,U55,Summary!$D$5:$D$241,"&gt;="&amp;$A66,Summary!$D$5:$D$241,"&lt;"&amp;$A66+7,Summary!$G$5:$G$241,"Yes"))</f>
        <v>0</v>
      </c>
      <c r="V66">
        <f>IF(V55="","",COUNTIFS(Summary!$E$5:$E$241,V55,Summary!$D$5:$D$241,"&gt;="&amp;$A66,Summary!$D$5:$D$241,"&lt;"&amp;$A66+7,Summary!$G$5:$G$241,"Yes"))</f>
        <v>0</v>
      </c>
      <c r="W66">
        <f>IF(W55="","",COUNTIFS(Summary!$E$5:$E$241,W55,Summary!$D$5:$D$241,"&gt;="&amp;$A66,Summary!$D$5:$D$241,"&lt;"&amp;$A66+7,Summary!$G$5:$G$241,"Yes"))</f>
        <v>0</v>
      </c>
      <c r="X66">
        <f>IF(X55="","",COUNTIFS(Summary!$E$5:$E$241,X55,Summary!$D$5:$D$241,"&gt;="&amp;$A66,Summary!$D$5:$D$241,"&lt;"&amp;$A66+7,Summary!$G$5:$G$241,"Yes"))</f>
        <v>0</v>
      </c>
      <c r="Y66">
        <f>IF(Y55="","",COUNTIFS(Summary!$E$5:$E$241,Y55,Summary!$D$5:$D$241,"&gt;="&amp;$A66,Summary!$D$5:$D$241,"&lt;"&amp;$A66+7,Summary!$G$5:$G$241,"Yes"))</f>
        <v>0</v>
      </c>
      <c r="Z66">
        <f>IF(Z55="","",COUNTIFS(Summary!$E$5:$E$241,Z55,Summary!$D$5:$D$241,"&gt;="&amp;$A66,Summary!$D$5:$D$241,"&lt;"&amp;$A66+7,Summary!$G$5:$G$241,"Yes"))</f>
        <v>0</v>
      </c>
      <c r="AA66">
        <f>IF(AA55="","",COUNTIFS(Summary!$E$5:$E$241,AA55,Summary!$D$5:$D$241,"&gt;="&amp;$A66,Summary!$D$5:$D$241,"&lt;"&amp;$A66+7,Summary!$G$5:$G$241,"Yes"))</f>
        <v>0</v>
      </c>
      <c r="AB66">
        <f>IF(AB55="","",COUNTIFS(Summary!$E$5:$E$241,AB55,Summary!$D$5:$D$241,"&gt;="&amp;$A66,Summary!$D$5:$D$241,"&lt;"&amp;$A66+7,Summary!$G$5:$G$241,"Yes"))</f>
        <v>0</v>
      </c>
      <c r="AC66">
        <f>IF(AC55="","",COUNTIFS(Summary!$E$5:$E$241,AC55,Summary!$D$5:$D$241,"&gt;="&amp;$A66,Summary!$D$5:$D$241,"&lt;"&amp;$A66+7,Summary!$G$5:$G$241,"Yes"))</f>
        <v>0</v>
      </c>
      <c r="AD66">
        <f>IF(AD55="","",COUNTIFS(Summary!$E$5:$E$241,AD55,Summary!$D$5:$D$241,"&gt;="&amp;$A66,Summary!$D$5:$D$241,"&lt;"&amp;$A66+7,Summary!$G$5:$G$241,"Yes"))</f>
        <v>0</v>
      </c>
      <c r="AE66">
        <f>IF(AE55="","",COUNTIFS(Summary!$E$5:$E$241,AE55,Summary!$D$5:$D$241,"&gt;="&amp;$A66,Summary!$D$5:$D$241,"&lt;"&amp;$A66+7,Summary!$G$5:$G$241,"Yes"))</f>
        <v>0</v>
      </c>
      <c r="AF66">
        <f>IF(AF55="","",COUNTIFS(Summary!$E$5:$E$241,AF55,Summary!$D$5:$D$241,"&gt;="&amp;$A66,Summary!$D$5:$D$241,"&lt;"&amp;$A66+7,Summary!$G$5:$G$241,"Yes"))</f>
        <v>0</v>
      </c>
      <c r="AG66">
        <f>IF(AG55="","",COUNTIFS(Summary!$E$5:$E$241,AG55,Summary!$D$5:$D$241,"&gt;="&amp;$A66,Summary!$D$5:$D$241,"&lt;"&amp;$A66+7,Summary!$G$5:$G$241,"Yes"))</f>
        <v>0</v>
      </c>
      <c r="AH66">
        <f>IF(AH55="","",COUNTIFS(Summary!$E$5:$E$241,AH55,Summary!$D$5:$D$241,"&gt;="&amp;$A66,Summary!$D$5:$D$241,"&lt;"&amp;$A66+7,Summary!$G$5:$G$241,"Yes"))</f>
        <v>0</v>
      </c>
      <c r="AI66">
        <f>IF(AI55="","",COUNTIFS(Summary!$E$5:$E$241,AI55,Summary!$D$5:$D$241,"&gt;="&amp;$A66,Summary!$D$5:$D$241,"&lt;"&amp;$A66+7,Summary!$G$5:$G$241,"Yes"))</f>
        <v>0</v>
      </c>
      <c r="AJ66">
        <f>IF(AJ55="","",COUNTIFS(Summary!$E$5:$E$241,AJ55,Summary!$D$5:$D$241,"&gt;="&amp;$A66,Summary!$D$5:$D$241,"&lt;"&amp;$A66+7,Summary!$G$5:$G$241,"Yes"))</f>
        <v>0</v>
      </c>
      <c r="AK66">
        <f>IF(AK55="","",COUNTIFS(Summary!$E$5:$E$241,AK55,Summary!$D$5:$D$241,"&gt;="&amp;$A66,Summary!$D$5:$D$241,"&lt;"&amp;$A66+7,Summary!$G$5:$G$241,"Yes"))</f>
        <v>0</v>
      </c>
      <c r="AL66">
        <f>IF(AL55="","",COUNTIFS(Summary!$E$5:$E$241,AL55,Summary!$D$5:$D$241,"&gt;="&amp;$A66,Summary!$D$5:$D$241,"&lt;"&amp;$A66+7,Summary!$G$5:$G$241,"Yes"))</f>
        <v>0</v>
      </c>
      <c r="AM66">
        <f>IF(AM55="","",COUNTIFS(Summary!$E$5:$E$241,AM55,Summary!$D$5:$D$241,"&gt;="&amp;$A66,Summary!$D$5:$D$241,"&lt;"&amp;$A66+7,Summary!$G$5:$G$241,"Yes"))</f>
        <v>0</v>
      </c>
      <c r="AN66">
        <f>IF(AN55="","",COUNTIFS(Summary!$E$5:$E$241,AN55,Summary!$D$5:$D$241,"&gt;="&amp;$A66,Summary!$D$5:$D$241,"&lt;"&amp;$A66+7,Summary!$G$5:$G$241,"Yes"))</f>
        <v>0</v>
      </c>
      <c r="AO66">
        <f>IF(AO55="","",COUNTIFS(Summary!$E$5:$E$241,AO55,Summary!$D$5:$D$241,"&gt;="&amp;$A66,Summary!$D$5:$D$241,"&lt;"&amp;$A66+7,Summary!$G$5:$G$241,"Yes"))</f>
        <v>0</v>
      </c>
      <c r="AP66">
        <f>IF(AP55="","",COUNTIFS(Summary!$E$5:$E$241,AP55,Summary!$D$5:$D$241,"&gt;="&amp;$A66,Summary!$D$5:$D$241,"&lt;"&amp;$A66+7,Summary!$G$5:$G$241,"Yes"))</f>
        <v>0</v>
      </c>
      <c r="AQ66">
        <f>IF(AQ55="","",COUNTIFS(Summary!$E$5:$E$241,AQ55,Summary!$D$5:$D$241,"&gt;="&amp;$A66,Summary!$D$5:$D$241,"&lt;"&amp;$A66+7,Summary!$G$5:$G$241,"Yes"))</f>
        <v>0</v>
      </c>
      <c r="AR66">
        <f>IF(AR55="","",COUNTIFS(Summary!$E$5:$E$241,AR55,Summary!$D$5:$D$241,"&gt;="&amp;$A66,Summary!$D$5:$D$241,"&lt;"&amp;$A66+7,Summary!$G$5:$G$241,"Yes"))</f>
        <v>0</v>
      </c>
      <c r="AS66">
        <f>IF(AS55="","",COUNTIFS(Summary!$E$5:$E$241,AS55,Summary!$D$5:$D$241,"&gt;="&amp;$A66,Summary!$D$5:$D$241,"&lt;"&amp;$A66+7,Summary!$G$5:$G$241,"Yes"))</f>
        <v>0</v>
      </c>
      <c r="AT66">
        <f>IF(AT55="","",COUNTIFS(Summary!$E$5:$E$241,AT55,Summary!$D$5:$D$241,"&gt;="&amp;$A66,Summary!$D$5:$D$241,"&lt;"&amp;$A66+7,Summary!$G$5:$G$241,"Yes"))</f>
        <v>0</v>
      </c>
      <c r="AU66">
        <f>IF(AU55="","",COUNTIFS(Summary!$E$5:$E$241,AU55,Summary!$D$5:$D$241,"&gt;="&amp;$A66,Summary!$D$5:$D$241,"&lt;"&amp;$A66+7,Summary!$G$5:$G$241,"Yes"))</f>
        <v>0</v>
      </c>
      <c r="AV66">
        <f>IF(AV55="","",COUNTIFS(Summary!$E$5:$E$241,AV55,Summary!$D$5:$D$241,"&gt;="&amp;$A66,Summary!$D$5:$D$241,"&lt;"&amp;$A66+7,Summary!$G$5:$G$241,"Yes"))</f>
        <v>0</v>
      </c>
      <c r="AW66">
        <f>IF(AW55="","",COUNTIFS(Summary!$E$5:$E$241,AW55,Summary!$D$5:$D$241,"&gt;="&amp;$A66,Summary!$D$5:$D$241,"&lt;"&amp;$A66+7,Summary!$G$5:$G$241,"Yes"))</f>
        <v>0</v>
      </c>
      <c r="AX66">
        <f>IF(AX55="","",COUNTIFS(Summary!$E$5:$E$241,AX55,Summary!$D$5:$D$241,"&gt;="&amp;$A66,Summary!$D$5:$D$241,"&lt;"&amp;$A66+7,Summary!$G$5:$G$241,"Yes"))</f>
        <v>0</v>
      </c>
      <c r="AY66">
        <f>IF(AY55="","",COUNTIFS(Summary!$E$5:$E$241,AY55,Summary!$D$5:$D$241,"&gt;="&amp;$A66,Summary!$D$5:$D$241,"&lt;"&amp;$A66+7,Summary!$G$5:$G$241,"Yes"))</f>
        <v>0</v>
      </c>
      <c r="AZ66">
        <f>IF(AZ55="","",COUNTIFS(Summary!$E$5:$E$241,AZ55,Summary!$D$5:$D$241,"&gt;="&amp;$A66,Summary!$D$5:$D$241,"&lt;"&amp;$A66+7,Summary!$G$5:$G$241,"Yes"))</f>
        <v>0</v>
      </c>
      <c r="BA66">
        <f>IF(BA55="","",COUNTIFS(Summary!$E$5:$E$241,BA55,Summary!$D$5:$D$241,"&gt;="&amp;$A66,Summary!$D$5:$D$241,"&lt;"&amp;$A66+7,Summary!$G$5:$G$241,"Yes"))</f>
        <v>0</v>
      </c>
      <c r="BB66">
        <f>IF(BB55="","",COUNTIFS(Summary!$E$5:$E$241,BB55,Summary!$D$5:$D$241,"&gt;="&amp;$A66,Summary!$D$5:$D$241,"&lt;"&amp;$A66+7,Summary!$G$5:$G$241,"Yes"))</f>
        <v>0</v>
      </c>
      <c r="BC66">
        <f>IF(BC55="","",COUNTIFS(Summary!$E$5:$E$241,BC55,Summary!$D$5:$D$241,"&gt;="&amp;$A66,Summary!$D$5:$D$241,"&lt;"&amp;$A66+7,Summary!$G$5:$G$241,"Yes"))</f>
        <v>0</v>
      </c>
      <c r="BD66">
        <f>IF(BD55="","",COUNTIFS(Summary!$E$5:$E$241,BD55,Summary!$D$5:$D$241,"&gt;="&amp;$A66,Summary!$D$5:$D$241,"&lt;"&amp;$A66+7,Summary!$G$5:$G$241,"Yes"))</f>
        <v>0</v>
      </c>
      <c r="BE66">
        <f>IF(BE55="","",COUNTIFS(Summary!$E$5:$E$241,BE55,Summary!$D$5:$D$241,"&gt;="&amp;$A66,Summary!$D$5:$D$241,"&lt;"&amp;$A66+7,Summary!$G$5:$G$241,"Yes"))</f>
        <v>0</v>
      </c>
      <c r="BF66" s="28">
        <f>IF(BF55="","",COUNTIFS(Summary!$E$5:$E$241,BF55,Summary!$D$5:$D$241,"&gt;="&amp;$A66,Summary!$D$5:$D$241,"&lt;"&amp;$A66+7,Summary!$G$5:$G$241,"Yes"))</f>
        <v>0</v>
      </c>
    </row>
    <row r="67" spans="1:58">
      <c r="A67" s="18">
        <f t="shared" si="5"/>
        <v>46160</v>
      </c>
      <c r="B67" s="2" t="str">
        <f t="shared" si="4"/>
        <v>May 18</v>
      </c>
      <c r="C67">
        <f>IF(C55="","",COUNTIFS(Summary!$E$5:$E$241,C55,Summary!$D$5:$D$241,"&gt;="&amp;$A67,Summary!$D$5:$D$241,"&lt;"&amp;$A67+7,Summary!$G$5:$G$241,"Yes"))</f>
        <v>0</v>
      </c>
      <c r="D67">
        <f>IF(D55="","",COUNTIFS(Summary!$E$5:$E$241,D55,Summary!$D$5:$D$241,"&gt;="&amp;$A67,Summary!$D$5:$D$241,"&lt;"&amp;$A67+7,Summary!$G$5:$G$241,"Yes"))</f>
        <v>0</v>
      </c>
      <c r="E67">
        <f>IF(E55="","",COUNTIFS(Summary!$E$5:$E$241,E55,Summary!$D$5:$D$241,"&gt;="&amp;$A67,Summary!$D$5:$D$241,"&lt;"&amp;$A67+7,Summary!$G$5:$G$241,"Yes"))</f>
        <v>0</v>
      </c>
      <c r="F67">
        <f>IF(F55="","",COUNTIFS(Summary!$E$5:$E$241,F55,Summary!$D$5:$D$241,"&gt;="&amp;$A67,Summary!$D$5:$D$241,"&lt;"&amp;$A67+7,Summary!$G$5:$G$241,"Yes"))</f>
        <v>0</v>
      </c>
      <c r="G67">
        <f>IF(G55="","",COUNTIFS(Summary!$E$5:$E$241,G55,Summary!$D$5:$D$241,"&gt;="&amp;$A67,Summary!$D$5:$D$241,"&lt;"&amp;$A67+7,Summary!$G$5:$G$241,"Yes"))</f>
        <v>0</v>
      </c>
      <c r="H67">
        <f>IF(H55="","",COUNTIFS(Summary!$E$5:$E$241,H55,Summary!$D$5:$D$241,"&gt;="&amp;$A67,Summary!$D$5:$D$241,"&lt;"&amp;$A67+7,Summary!$G$5:$G$241,"Yes"))</f>
        <v>0</v>
      </c>
      <c r="I67">
        <f>IF(I55="","",COUNTIFS(Summary!$E$5:$E$241,I55,Summary!$D$5:$D$241,"&gt;="&amp;$A67,Summary!$D$5:$D$241,"&lt;"&amp;$A67+7,Summary!$G$5:$G$241,"Yes"))</f>
        <v>0</v>
      </c>
      <c r="J67">
        <f>IF(J55="","",COUNTIFS(Summary!$E$5:$E$241,J55,Summary!$D$5:$D$241,"&gt;="&amp;$A67,Summary!$D$5:$D$241,"&lt;"&amp;$A67+7,Summary!$G$5:$G$241,"Yes"))</f>
        <v>0</v>
      </c>
      <c r="K67">
        <f>IF(K55="","",COUNTIFS(Summary!$E$5:$E$241,K55,Summary!$D$5:$D$241,"&gt;="&amp;$A67,Summary!$D$5:$D$241,"&lt;"&amp;$A67+7,Summary!$G$5:$G$241,"Yes"))</f>
        <v>0</v>
      </c>
      <c r="L67">
        <f>IF(L55="","",COUNTIFS(Summary!$E$5:$E$241,L55,Summary!$D$5:$D$241,"&gt;="&amp;$A67,Summary!$D$5:$D$241,"&lt;"&amp;$A67+7,Summary!$G$5:$G$241,"Yes"))</f>
        <v>0</v>
      </c>
      <c r="M67">
        <f>IF(M55="","",COUNTIFS(Summary!$E$5:$E$241,M55,Summary!$D$5:$D$241,"&gt;="&amp;$A67,Summary!$D$5:$D$241,"&lt;"&amp;$A67+7,Summary!$G$5:$G$241,"Yes"))</f>
        <v>0</v>
      </c>
      <c r="N67">
        <f>IF(N55="","",COUNTIFS(Summary!$E$5:$E$241,N55,Summary!$D$5:$D$241,"&gt;="&amp;$A67,Summary!$D$5:$D$241,"&lt;"&amp;$A67+7,Summary!$G$5:$G$241,"Yes"))</f>
        <v>0</v>
      </c>
      <c r="O67">
        <f>IF(O55="","",COUNTIFS(Summary!$E$5:$E$241,O55,Summary!$D$5:$D$241,"&gt;="&amp;$A67,Summary!$D$5:$D$241,"&lt;"&amp;$A67+7,Summary!$G$5:$G$241,"Yes"))</f>
        <v>0</v>
      </c>
      <c r="P67">
        <f>IF(P55="","",COUNTIFS(Summary!$E$5:$E$241,P55,Summary!$D$5:$D$241,"&gt;="&amp;$A67,Summary!$D$5:$D$241,"&lt;"&amp;$A67+7,Summary!$G$5:$G$241,"Yes"))</f>
        <v>0</v>
      </c>
      <c r="Q67">
        <f>IF(Q55="","",COUNTIFS(Summary!$E$5:$E$241,Q55,Summary!$D$5:$D$241,"&gt;="&amp;$A67,Summary!$D$5:$D$241,"&lt;"&amp;$A67+7,Summary!$G$5:$G$241,"Yes"))</f>
        <v>0</v>
      </c>
      <c r="R67">
        <f>IF(R55="","",COUNTIFS(Summary!$E$5:$E$241,R55,Summary!$D$5:$D$241,"&gt;="&amp;$A67,Summary!$D$5:$D$241,"&lt;"&amp;$A67+7,Summary!$G$5:$G$241,"Yes"))</f>
        <v>0</v>
      </c>
      <c r="S67">
        <f>IF(S55="","",COUNTIFS(Summary!$E$5:$E$241,S55,Summary!$D$5:$D$241,"&gt;="&amp;$A67,Summary!$D$5:$D$241,"&lt;"&amp;$A67+7,Summary!$G$5:$G$241,"Yes"))</f>
        <v>0</v>
      </c>
      <c r="T67">
        <f>IF(T55="","",COUNTIFS(Summary!$E$5:$E$241,T55,Summary!$D$5:$D$241,"&gt;="&amp;$A67,Summary!$D$5:$D$241,"&lt;"&amp;$A67+7,Summary!$G$5:$G$241,"Yes"))</f>
        <v>0</v>
      </c>
      <c r="U67">
        <f>IF(U55="","",COUNTIFS(Summary!$E$5:$E$241,U55,Summary!$D$5:$D$241,"&gt;="&amp;$A67,Summary!$D$5:$D$241,"&lt;"&amp;$A67+7,Summary!$G$5:$G$241,"Yes"))</f>
        <v>0</v>
      </c>
      <c r="V67">
        <f>IF(V55="","",COUNTIFS(Summary!$E$5:$E$241,V55,Summary!$D$5:$D$241,"&gt;="&amp;$A67,Summary!$D$5:$D$241,"&lt;"&amp;$A67+7,Summary!$G$5:$G$241,"Yes"))</f>
        <v>0</v>
      </c>
      <c r="W67">
        <f>IF(W55="","",COUNTIFS(Summary!$E$5:$E$241,W55,Summary!$D$5:$D$241,"&gt;="&amp;$A67,Summary!$D$5:$D$241,"&lt;"&amp;$A67+7,Summary!$G$5:$G$241,"Yes"))</f>
        <v>0</v>
      </c>
      <c r="X67">
        <f>IF(X55="","",COUNTIFS(Summary!$E$5:$E$241,X55,Summary!$D$5:$D$241,"&gt;="&amp;$A67,Summary!$D$5:$D$241,"&lt;"&amp;$A67+7,Summary!$G$5:$G$241,"Yes"))</f>
        <v>0</v>
      </c>
      <c r="Y67">
        <f>IF(Y55="","",COUNTIFS(Summary!$E$5:$E$241,Y55,Summary!$D$5:$D$241,"&gt;="&amp;$A67,Summary!$D$5:$D$241,"&lt;"&amp;$A67+7,Summary!$G$5:$G$241,"Yes"))</f>
        <v>0</v>
      </c>
      <c r="Z67">
        <f>IF(Z55="","",COUNTIFS(Summary!$E$5:$E$241,Z55,Summary!$D$5:$D$241,"&gt;="&amp;$A67,Summary!$D$5:$D$241,"&lt;"&amp;$A67+7,Summary!$G$5:$G$241,"Yes"))</f>
        <v>0</v>
      </c>
      <c r="AA67">
        <f>IF(AA55="","",COUNTIFS(Summary!$E$5:$E$241,AA55,Summary!$D$5:$D$241,"&gt;="&amp;$A67,Summary!$D$5:$D$241,"&lt;"&amp;$A67+7,Summary!$G$5:$G$241,"Yes"))</f>
        <v>0</v>
      </c>
      <c r="AB67">
        <f>IF(AB55="","",COUNTIFS(Summary!$E$5:$E$241,AB55,Summary!$D$5:$D$241,"&gt;="&amp;$A67,Summary!$D$5:$D$241,"&lt;"&amp;$A67+7,Summary!$G$5:$G$241,"Yes"))</f>
        <v>0</v>
      </c>
      <c r="AC67">
        <f>IF(AC55="","",COUNTIFS(Summary!$E$5:$E$241,AC55,Summary!$D$5:$D$241,"&gt;="&amp;$A67,Summary!$D$5:$D$241,"&lt;"&amp;$A67+7,Summary!$G$5:$G$241,"Yes"))</f>
        <v>0</v>
      </c>
      <c r="AD67">
        <f>IF(AD55="","",COUNTIFS(Summary!$E$5:$E$241,AD55,Summary!$D$5:$D$241,"&gt;="&amp;$A67,Summary!$D$5:$D$241,"&lt;"&amp;$A67+7,Summary!$G$5:$G$241,"Yes"))</f>
        <v>0</v>
      </c>
      <c r="AE67">
        <f>IF(AE55="","",COUNTIFS(Summary!$E$5:$E$241,AE55,Summary!$D$5:$D$241,"&gt;="&amp;$A67,Summary!$D$5:$D$241,"&lt;"&amp;$A67+7,Summary!$G$5:$G$241,"Yes"))</f>
        <v>0</v>
      </c>
      <c r="AF67">
        <f>IF(AF55="","",COUNTIFS(Summary!$E$5:$E$241,AF55,Summary!$D$5:$D$241,"&gt;="&amp;$A67,Summary!$D$5:$D$241,"&lt;"&amp;$A67+7,Summary!$G$5:$G$241,"Yes"))</f>
        <v>0</v>
      </c>
      <c r="AG67">
        <f>IF(AG55="","",COUNTIFS(Summary!$E$5:$E$241,AG55,Summary!$D$5:$D$241,"&gt;="&amp;$A67,Summary!$D$5:$D$241,"&lt;"&amp;$A67+7,Summary!$G$5:$G$241,"Yes"))</f>
        <v>0</v>
      </c>
      <c r="AH67">
        <f>IF(AH55="","",COUNTIFS(Summary!$E$5:$E$241,AH55,Summary!$D$5:$D$241,"&gt;="&amp;$A67,Summary!$D$5:$D$241,"&lt;"&amp;$A67+7,Summary!$G$5:$G$241,"Yes"))</f>
        <v>0</v>
      </c>
      <c r="AI67">
        <f>IF(AI55="","",COUNTIFS(Summary!$E$5:$E$241,AI55,Summary!$D$5:$D$241,"&gt;="&amp;$A67,Summary!$D$5:$D$241,"&lt;"&amp;$A67+7,Summary!$G$5:$G$241,"Yes"))</f>
        <v>0</v>
      </c>
      <c r="AJ67">
        <f>IF(AJ55="","",COUNTIFS(Summary!$E$5:$E$241,AJ55,Summary!$D$5:$D$241,"&gt;="&amp;$A67,Summary!$D$5:$D$241,"&lt;"&amp;$A67+7,Summary!$G$5:$G$241,"Yes"))</f>
        <v>0</v>
      </c>
      <c r="AK67">
        <f>IF(AK55="","",COUNTIFS(Summary!$E$5:$E$241,AK55,Summary!$D$5:$D$241,"&gt;="&amp;$A67,Summary!$D$5:$D$241,"&lt;"&amp;$A67+7,Summary!$G$5:$G$241,"Yes"))</f>
        <v>0</v>
      </c>
      <c r="AL67">
        <f>IF(AL55="","",COUNTIFS(Summary!$E$5:$E$241,AL55,Summary!$D$5:$D$241,"&gt;="&amp;$A67,Summary!$D$5:$D$241,"&lt;"&amp;$A67+7,Summary!$G$5:$G$241,"Yes"))</f>
        <v>0</v>
      </c>
      <c r="AM67">
        <f>IF(AM55="","",COUNTIFS(Summary!$E$5:$E$241,AM55,Summary!$D$5:$D$241,"&gt;="&amp;$A67,Summary!$D$5:$D$241,"&lt;"&amp;$A67+7,Summary!$G$5:$G$241,"Yes"))</f>
        <v>0</v>
      </c>
      <c r="AN67">
        <f>IF(AN55="","",COUNTIFS(Summary!$E$5:$E$241,AN55,Summary!$D$5:$D$241,"&gt;="&amp;$A67,Summary!$D$5:$D$241,"&lt;"&amp;$A67+7,Summary!$G$5:$G$241,"Yes"))</f>
        <v>0</v>
      </c>
      <c r="AO67">
        <f>IF(AO55="","",COUNTIFS(Summary!$E$5:$E$241,AO55,Summary!$D$5:$D$241,"&gt;="&amp;$A67,Summary!$D$5:$D$241,"&lt;"&amp;$A67+7,Summary!$G$5:$G$241,"Yes"))</f>
        <v>0</v>
      </c>
      <c r="AP67">
        <f>IF(AP55="","",COUNTIFS(Summary!$E$5:$E$241,AP55,Summary!$D$5:$D$241,"&gt;="&amp;$A67,Summary!$D$5:$D$241,"&lt;"&amp;$A67+7,Summary!$G$5:$G$241,"Yes"))</f>
        <v>0</v>
      </c>
      <c r="AQ67">
        <f>IF(AQ55="","",COUNTIFS(Summary!$E$5:$E$241,AQ55,Summary!$D$5:$D$241,"&gt;="&amp;$A67,Summary!$D$5:$D$241,"&lt;"&amp;$A67+7,Summary!$G$5:$G$241,"Yes"))</f>
        <v>0</v>
      </c>
      <c r="AR67">
        <f>IF(AR55="","",COUNTIFS(Summary!$E$5:$E$241,AR55,Summary!$D$5:$D$241,"&gt;="&amp;$A67,Summary!$D$5:$D$241,"&lt;"&amp;$A67+7,Summary!$G$5:$G$241,"Yes"))</f>
        <v>0</v>
      </c>
      <c r="AS67">
        <f>IF(AS55="","",COUNTIFS(Summary!$E$5:$E$241,AS55,Summary!$D$5:$D$241,"&gt;="&amp;$A67,Summary!$D$5:$D$241,"&lt;"&amp;$A67+7,Summary!$G$5:$G$241,"Yes"))</f>
        <v>0</v>
      </c>
      <c r="AT67">
        <f>IF(AT55="","",COUNTIFS(Summary!$E$5:$E$241,AT55,Summary!$D$5:$D$241,"&gt;="&amp;$A67,Summary!$D$5:$D$241,"&lt;"&amp;$A67+7,Summary!$G$5:$G$241,"Yes"))</f>
        <v>0</v>
      </c>
      <c r="AU67">
        <f>IF(AU55="","",COUNTIFS(Summary!$E$5:$E$241,AU55,Summary!$D$5:$D$241,"&gt;="&amp;$A67,Summary!$D$5:$D$241,"&lt;"&amp;$A67+7,Summary!$G$5:$G$241,"Yes"))</f>
        <v>0</v>
      </c>
      <c r="AV67">
        <f>IF(AV55="","",COUNTIFS(Summary!$E$5:$E$241,AV55,Summary!$D$5:$D$241,"&gt;="&amp;$A67,Summary!$D$5:$D$241,"&lt;"&amp;$A67+7,Summary!$G$5:$G$241,"Yes"))</f>
        <v>0</v>
      </c>
      <c r="AW67">
        <f>IF(AW55="","",COUNTIFS(Summary!$E$5:$E$241,AW55,Summary!$D$5:$D$241,"&gt;="&amp;$A67,Summary!$D$5:$D$241,"&lt;"&amp;$A67+7,Summary!$G$5:$G$241,"Yes"))</f>
        <v>0</v>
      </c>
      <c r="AX67">
        <f>IF(AX55="","",COUNTIFS(Summary!$E$5:$E$241,AX55,Summary!$D$5:$D$241,"&gt;="&amp;$A67,Summary!$D$5:$D$241,"&lt;"&amp;$A67+7,Summary!$G$5:$G$241,"Yes"))</f>
        <v>0</v>
      </c>
      <c r="AY67">
        <f>IF(AY55="","",COUNTIFS(Summary!$E$5:$E$241,AY55,Summary!$D$5:$D$241,"&gt;="&amp;$A67,Summary!$D$5:$D$241,"&lt;"&amp;$A67+7,Summary!$G$5:$G$241,"Yes"))</f>
        <v>0</v>
      </c>
      <c r="AZ67">
        <f>IF(AZ55="","",COUNTIFS(Summary!$E$5:$E$241,AZ55,Summary!$D$5:$D$241,"&gt;="&amp;$A67,Summary!$D$5:$D$241,"&lt;"&amp;$A67+7,Summary!$G$5:$G$241,"Yes"))</f>
        <v>0</v>
      </c>
      <c r="BA67">
        <f>IF(BA55="","",COUNTIFS(Summary!$E$5:$E$241,BA55,Summary!$D$5:$D$241,"&gt;="&amp;$A67,Summary!$D$5:$D$241,"&lt;"&amp;$A67+7,Summary!$G$5:$G$241,"Yes"))</f>
        <v>0</v>
      </c>
      <c r="BB67">
        <f>IF(BB55="","",COUNTIFS(Summary!$E$5:$E$241,BB55,Summary!$D$5:$D$241,"&gt;="&amp;$A67,Summary!$D$5:$D$241,"&lt;"&amp;$A67+7,Summary!$G$5:$G$241,"Yes"))</f>
        <v>0</v>
      </c>
      <c r="BC67">
        <f>IF(BC55="","",COUNTIFS(Summary!$E$5:$E$241,BC55,Summary!$D$5:$D$241,"&gt;="&amp;$A67,Summary!$D$5:$D$241,"&lt;"&amp;$A67+7,Summary!$G$5:$G$241,"Yes"))</f>
        <v>0</v>
      </c>
      <c r="BD67">
        <f>IF(BD55="","",COUNTIFS(Summary!$E$5:$E$241,BD55,Summary!$D$5:$D$241,"&gt;="&amp;$A67,Summary!$D$5:$D$241,"&lt;"&amp;$A67+7,Summary!$G$5:$G$241,"Yes"))</f>
        <v>0</v>
      </c>
      <c r="BE67">
        <f>IF(BE55="","",COUNTIFS(Summary!$E$5:$E$241,BE55,Summary!$D$5:$D$241,"&gt;="&amp;$A67,Summary!$D$5:$D$241,"&lt;"&amp;$A67+7,Summary!$G$5:$G$241,"Yes"))</f>
        <v>0</v>
      </c>
      <c r="BF67" s="28">
        <f>IF(BF55="","",COUNTIFS(Summary!$E$5:$E$241,BF55,Summary!$D$5:$D$241,"&gt;="&amp;$A67,Summary!$D$5:$D$241,"&lt;"&amp;$A67+7,Summary!$G$5:$G$241,"Yes"))</f>
        <v>0</v>
      </c>
    </row>
    <row r="68" spans="1:58">
      <c r="A68" s="18">
        <f t="shared" si="5"/>
        <v>46167</v>
      </c>
      <c r="B68" s="2" t="str">
        <f t="shared" si="4"/>
        <v>May 25</v>
      </c>
      <c r="C68">
        <f>IF(C55="","",COUNTIFS(Summary!$E$5:$E$241,C55,Summary!$D$5:$D$241,"&gt;="&amp;$A68,Summary!$D$5:$D$241,"&lt;"&amp;$A68+7,Summary!$G$5:$G$241,"Yes"))</f>
        <v>0</v>
      </c>
      <c r="D68">
        <f>IF(D55="","",COUNTIFS(Summary!$E$5:$E$241,D55,Summary!$D$5:$D$241,"&gt;="&amp;$A68,Summary!$D$5:$D$241,"&lt;"&amp;$A68+7,Summary!$G$5:$G$241,"Yes"))</f>
        <v>0</v>
      </c>
      <c r="E68">
        <f>IF(E55="","",COUNTIFS(Summary!$E$5:$E$241,E55,Summary!$D$5:$D$241,"&gt;="&amp;$A68,Summary!$D$5:$D$241,"&lt;"&amp;$A68+7,Summary!$G$5:$G$241,"Yes"))</f>
        <v>0</v>
      </c>
      <c r="F68">
        <f>IF(F55="","",COUNTIFS(Summary!$E$5:$E$241,F55,Summary!$D$5:$D$241,"&gt;="&amp;$A68,Summary!$D$5:$D$241,"&lt;"&amp;$A68+7,Summary!$G$5:$G$241,"Yes"))</f>
        <v>0</v>
      </c>
      <c r="G68">
        <f>IF(G55="","",COUNTIFS(Summary!$E$5:$E$241,G55,Summary!$D$5:$D$241,"&gt;="&amp;$A68,Summary!$D$5:$D$241,"&lt;"&amp;$A68+7,Summary!$G$5:$G$241,"Yes"))</f>
        <v>0</v>
      </c>
      <c r="H68">
        <f>IF(H55="","",COUNTIFS(Summary!$E$5:$E$241,H55,Summary!$D$5:$D$241,"&gt;="&amp;$A68,Summary!$D$5:$D$241,"&lt;"&amp;$A68+7,Summary!$G$5:$G$241,"Yes"))</f>
        <v>0</v>
      </c>
      <c r="I68">
        <f>IF(I55="","",COUNTIFS(Summary!$E$5:$E$241,I55,Summary!$D$5:$D$241,"&gt;="&amp;$A68,Summary!$D$5:$D$241,"&lt;"&amp;$A68+7,Summary!$G$5:$G$241,"Yes"))</f>
        <v>0</v>
      </c>
      <c r="J68">
        <f>IF(J55="","",COUNTIFS(Summary!$E$5:$E$241,J55,Summary!$D$5:$D$241,"&gt;="&amp;$A68,Summary!$D$5:$D$241,"&lt;"&amp;$A68+7,Summary!$G$5:$G$241,"Yes"))</f>
        <v>0</v>
      </c>
      <c r="K68">
        <f>IF(K55="","",COUNTIFS(Summary!$E$5:$E$241,K55,Summary!$D$5:$D$241,"&gt;="&amp;$A68,Summary!$D$5:$D$241,"&lt;"&amp;$A68+7,Summary!$G$5:$G$241,"Yes"))</f>
        <v>0</v>
      </c>
      <c r="L68">
        <f>IF(L55="","",COUNTIFS(Summary!$E$5:$E$241,L55,Summary!$D$5:$D$241,"&gt;="&amp;$A68,Summary!$D$5:$D$241,"&lt;"&amp;$A68+7,Summary!$G$5:$G$241,"Yes"))</f>
        <v>0</v>
      </c>
      <c r="M68">
        <f>IF(M55="","",COUNTIFS(Summary!$E$5:$E$241,M55,Summary!$D$5:$D$241,"&gt;="&amp;$A68,Summary!$D$5:$D$241,"&lt;"&amp;$A68+7,Summary!$G$5:$G$241,"Yes"))</f>
        <v>0</v>
      </c>
      <c r="N68">
        <f>IF(N55="","",COUNTIFS(Summary!$E$5:$E$241,N55,Summary!$D$5:$D$241,"&gt;="&amp;$A68,Summary!$D$5:$D$241,"&lt;"&amp;$A68+7,Summary!$G$5:$G$241,"Yes"))</f>
        <v>0</v>
      </c>
      <c r="O68">
        <f>IF(O55="","",COUNTIFS(Summary!$E$5:$E$241,O55,Summary!$D$5:$D$241,"&gt;="&amp;$A68,Summary!$D$5:$D$241,"&lt;"&amp;$A68+7,Summary!$G$5:$G$241,"Yes"))</f>
        <v>0</v>
      </c>
      <c r="P68">
        <f>IF(P55="","",COUNTIFS(Summary!$E$5:$E$241,P55,Summary!$D$5:$D$241,"&gt;="&amp;$A68,Summary!$D$5:$D$241,"&lt;"&amp;$A68+7,Summary!$G$5:$G$241,"Yes"))</f>
        <v>0</v>
      </c>
      <c r="Q68">
        <f>IF(Q55="","",COUNTIFS(Summary!$E$5:$E$241,Q55,Summary!$D$5:$D$241,"&gt;="&amp;$A68,Summary!$D$5:$D$241,"&lt;"&amp;$A68+7,Summary!$G$5:$G$241,"Yes"))</f>
        <v>1</v>
      </c>
      <c r="R68">
        <f>IF(R55="","",COUNTIFS(Summary!$E$5:$E$241,R55,Summary!$D$5:$D$241,"&gt;="&amp;$A68,Summary!$D$5:$D$241,"&lt;"&amp;$A68+7,Summary!$G$5:$G$241,"Yes"))</f>
        <v>1</v>
      </c>
      <c r="S68">
        <f>IF(S55="","",COUNTIFS(Summary!$E$5:$E$241,S55,Summary!$D$5:$D$241,"&gt;="&amp;$A68,Summary!$D$5:$D$241,"&lt;"&amp;$A68+7,Summary!$G$5:$G$241,"Yes"))</f>
        <v>0</v>
      </c>
      <c r="T68">
        <f>IF(T55="","",COUNTIFS(Summary!$E$5:$E$241,T55,Summary!$D$5:$D$241,"&gt;="&amp;$A68,Summary!$D$5:$D$241,"&lt;"&amp;$A68+7,Summary!$G$5:$G$241,"Yes"))</f>
        <v>0</v>
      </c>
      <c r="U68">
        <f>IF(U55="","",COUNTIFS(Summary!$E$5:$E$241,U55,Summary!$D$5:$D$241,"&gt;="&amp;$A68,Summary!$D$5:$D$241,"&lt;"&amp;$A68+7,Summary!$G$5:$G$241,"Yes"))</f>
        <v>0</v>
      </c>
      <c r="V68">
        <f>IF(V55="","",COUNTIFS(Summary!$E$5:$E$241,V55,Summary!$D$5:$D$241,"&gt;="&amp;$A68,Summary!$D$5:$D$241,"&lt;"&amp;$A68+7,Summary!$G$5:$G$241,"Yes"))</f>
        <v>0</v>
      </c>
      <c r="W68">
        <f>IF(W55="","",COUNTIFS(Summary!$E$5:$E$241,W55,Summary!$D$5:$D$241,"&gt;="&amp;$A68,Summary!$D$5:$D$241,"&lt;"&amp;$A68+7,Summary!$G$5:$G$241,"Yes"))</f>
        <v>0</v>
      </c>
      <c r="X68">
        <f>IF(X55="","",COUNTIFS(Summary!$E$5:$E$241,X55,Summary!$D$5:$D$241,"&gt;="&amp;$A68,Summary!$D$5:$D$241,"&lt;"&amp;$A68+7,Summary!$G$5:$G$241,"Yes"))</f>
        <v>0</v>
      </c>
      <c r="Y68">
        <f>IF(Y55="","",COUNTIFS(Summary!$E$5:$E$241,Y55,Summary!$D$5:$D$241,"&gt;="&amp;$A68,Summary!$D$5:$D$241,"&lt;"&amp;$A68+7,Summary!$G$5:$G$241,"Yes"))</f>
        <v>0</v>
      </c>
      <c r="Z68">
        <f>IF(Z55="","",COUNTIFS(Summary!$E$5:$E$241,Z55,Summary!$D$5:$D$241,"&gt;="&amp;$A68,Summary!$D$5:$D$241,"&lt;"&amp;$A68+7,Summary!$G$5:$G$241,"Yes"))</f>
        <v>0</v>
      </c>
      <c r="AA68">
        <f>IF(AA55="","",COUNTIFS(Summary!$E$5:$E$241,AA55,Summary!$D$5:$D$241,"&gt;="&amp;$A68,Summary!$D$5:$D$241,"&lt;"&amp;$A68+7,Summary!$G$5:$G$241,"Yes"))</f>
        <v>0</v>
      </c>
      <c r="AB68">
        <f>IF(AB55="","",COUNTIFS(Summary!$E$5:$E$241,AB55,Summary!$D$5:$D$241,"&gt;="&amp;$A68,Summary!$D$5:$D$241,"&lt;"&amp;$A68+7,Summary!$G$5:$G$241,"Yes"))</f>
        <v>0</v>
      </c>
      <c r="AC68">
        <f>IF(AC55="","",COUNTIFS(Summary!$E$5:$E$241,AC55,Summary!$D$5:$D$241,"&gt;="&amp;$A68,Summary!$D$5:$D$241,"&lt;"&amp;$A68+7,Summary!$G$5:$G$241,"Yes"))</f>
        <v>0</v>
      </c>
      <c r="AD68">
        <f>IF(AD55="","",COUNTIFS(Summary!$E$5:$E$241,AD55,Summary!$D$5:$D$241,"&gt;="&amp;$A68,Summary!$D$5:$D$241,"&lt;"&amp;$A68+7,Summary!$G$5:$G$241,"Yes"))</f>
        <v>0</v>
      </c>
      <c r="AE68">
        <f>IF(AE55="","",COUNTIFS(Summary!$E$5:$E$241,AE55,Summary!$D$5:$D$241,"&gt;="&amp;$A68,Summary!$D$5:$D$241,"&lt;"&amp;$A68+7,Summary!$G$5:$G$241,"Yes"))</f>
        <v>0</v>
      </c>
      <c r="AF68">
        <f>IF(AF55="","",COUNTIFS(Summary!$E$5:$E$241,AF55,Summary!$D$5:$D$241,"&gt;="&amp;$A68,Summary!$D$5:$D$241,"&lt;"&amp;$A68+7,Summary!$G$5:$G$241,"Yes"))</f>
        <v>0</v>
      </c>
      <c r="AG68">
        <f>IF(AG55="","",COUNTIFS(Summary!$E$5:$E$241,AG55,Summary!$D$5:$D$241,"&gt;="&amp;$A68,Summary!$D$5:$D$241,"&lt;"&amp;$A68+7,Summary!$G$5:$G$241,"Yes"))</f>
        <v>0</v>
      </c>
      <c r="AH68">
        <f>IF(AH55="","",COUNTIFS(Summary!$E$5:$E$241,AH55,Summary!$D$5:$D$241,"&gt;="&amp;$A68,Summary!$D$5:$D$241,"&lt;"&amp;$A68+7,Summary!$G$5:$G$241,"Yes"))</f>
        <v>0</v>
      </c>
      <c r="AI68">
        <f>IF(AI55="","",COUNTIFS(Summary!$E$5:$E$241,AI55,Summary!$D$5:$D$241,"&gt;="&amp;$A68,Summary!$D$5:$D$241,"&lt;"&amp;$A68+7,Summary!$G$5:$G$241,"Yes"))</f>
        <v>0</v>
      </c>
      <c r="AJ68">
        <f>IF(AJ55="","",COUNTIFS(Summary!$E$5:$E$241,AJ55,Summary!$D$5:$D$241,"&gt;="&amp;$A68,Summary!$D$5:$D$241,"&lt;"&amp;$A68+7,Summary!$G$5:$G$241,"Yes"))</f>
        <v>0</v>
      </c>
      <c r="AK68">
        <f>IF(AK55="","",COUNTIFS(Summary!$E$5:$E$241,AK55,Summary!$D$5:$D$241,"&gt;="&amp;$A68,Summary!$D$5:$D$241,"&lt;"&amp;$A68+7,Summary!$G$5:$G$241,"Yes"))</f>
        <v>0</v>
      </c>
      <c r="AL68">
        <f>IF(AL55="","",COUNTIFS(Summary!$E$5:$E$241,AL55,Summary!$D$5:$D$241,"&gt;="&amp;$A68,Summary!$D$5:$D$241,"&lt;"&amp;$A68+7,Summary!$G$5:$G$241,"Yes"))</f>
        <v>0</v>
      </c>
      <c r="AM68">
        <f>IF(AM55="","",COUNTIFS(Summary!$E$5:$E$241,AM55,Summary!$D$5:$D$241,"&gt;="&amp;$A68,Summary!$D$5:$D$241,"&lt;"&amp;$A68+7,Summary!$G$5:$G$241,"Yes"))</f>
        <v>0</v>
      </c>
      <c r="AN68">
        <f>IF(AN55="","",COUNTIFS(Summary!$E$5:$E$241,AN55,Summary!$D$5:$D$241,"&gt;="&amp;$A68,Summary!$D$5:$D$241,"&lt;"&amp;$A68+7,Summary!$G$5:$G$241,"Yes"))</f>
        <v>0</v>
      </c>
      <c r="AO68">
        <f>IF(AO55="","",COUNTIFS(Summary!$E$5:$E$241,AO55,Summary!$D$5:$D$241,"&gt;="&amp;$A68,Summary!$D$5:$D$241,"&lt;"&amp;$A68+7,Summary!$G$5:$G$241,"Yes"))</f>
        <v>0</v>
      </c>
      <c r="AP68">
        <f>IF(AP55="","",COUNTIFS(Summary!$E$5:$E$241,AP55,Summary!$D$5:$D$241,"&gt;="&amp;$A68,Summary!$D$5:$D$241,"&lt;"&amp;$A68+7,Summary!$G$5:$G$241,"Yes"))</f>
        <v>0</v>
      </c>
      <c r="AQ68">
        <f>IF(AQ55="","",COUNTIFS(Summary!$E$5:$E$241,AQ55,Summary!$D$5:$D$241,"&gt;="&amp;$A68,Summary!$D$5:$D$241,"&lt;"&amp;$A68+7,Summary!$G$5:$G$241,"Yes"))</f>
        <v>0</v>
      </c>
      <c r="AR68">
        <f>IF(AR55="","",COUNTIFS(Summary!$E$5:$E$241,AR55,Summary!$D$5:$D$241,"&gt;="&amp;$A68,Summary!$D$5:$D$241,"&lt;"&amp;$A68+7,Summary!$G$5:$G$241,"Yes"))</f>
        <v>0</v>
      </c>
      <c r="AS68">
        <f>IF(AS55="","",COUNTIFS(Summary!$E$5:$E$241,AS55,Summary!$D$5:$D$241,"&gt;="&amp;$A68,Summary!$D$5:$D$241,"&lt;"&amp;$A68+7,Summary!$G$5:$G$241,"Yes"))</f>
        <v>0</v>
      </c>
      <c r="AT68">
        <f>IF(AT55="","",COUNTIFS(Summary!$E$5:$E$241,AT55,Summary!$D$5:$D$241,"&gt;="&amp;$A68,Summary!$D$5:$D$241,"&lt;"&amp;$A68+7,Summary!$G$5:$G$241,"Yes"))</f>
        <v>0</v>
      </c>
      <c r="AU68">
        <f>IF(AU55="","",COUNTIFS(Summary!$E$5:$E$241,AU55,Summary!$D$5:$D$241,"&gt;="&amp;$A68,Summary!$D$5:$D$241,"&lt;"&amp;$A68+7,Summary!$G$5:$G$241,"Yes"))</f>
        <v>0</v>
      </c>
      <c r="AV68">
        <f>IF(AV55="","",COUNTIFS(Summary!$E$5:$E$241,AV55,Summary!$D$5:$D$241,"&gt;="&amp;$A68,Summary!$D$5:$D$241,"&lt;"&amp;$A68+7,Summary!$G$5:$G$241,"Yes"))</f>
        <v>0</v>
      </c>
      <c r="AW68">
        <f>IF(AW55="","",COUNTIFS(Summary!$E$5:$E$241,AW55,Summary!$D$5:$D$241,"&gt;="&amp;$A68,Summary!$D$5:$D$241,"&lt;"&amp;$A68+7,Summary!$G$5:$G$241,"Yes"))</f>
        <v>0</v>
      </c>
      <c r="AX68">
        <f>IF(AX55="","",COUNTIFS(Summary!$E$5:$E$241,AX55,Summary!$D$5:$D$241,"&gt;="&amp;$A68,Summary!$D$5:$D$241,"&lt;"&amp;$A68+7,Summary!$G$5:$G$241,"Yes"))</f>
        <v>0</v>
      </c>
      <c r="AY68">
        <f>IF(AY55="","",COUNTIFS(Summary!$E$5:$E$241,AY55,Summary!$D$5:$D$241,"&gt;="&amp;$A68,Summary!$D$5:$D$241,"&lt;"&amp;$A68+7,Summary!$G$5:$G$241,"Yes"))</f>
        <v>0</v>
      </c>
      <c r="AZ68">
        <f>IF(AZ55="","",COUNTIFS(Summary!$E$5:$E$241,AZ55,Summary!$D$5:$D$241,"&gt;="&amp;$A68,Summary!$D$5:$D$241,"&lt;"&amp;$A68+7,Summary!$G$5:$G$241,"Yes"))</f>
        <v>0</v>
      </c>
      <c r="BA68">
        <f>IF(BA55="","",COUNTIFS(Summary!$E$5:$E$241,BA55,Summary!$D$5:$D$241,"&gt;="&amp;$A68,Summary!$D$5:$D$241,"&lt;"&amp;$A68+7,Summary!$G$5:$G$241,"Yes"))</f>
        <v>0</v>
      </c>
      <c r="BB68">
        <f>IF(BB55="","",COUNTIFS(Summary!$E$5:$E$241,BB55,Summary!$D$5:$D$241,"&gt;="&amp;$A68,Summary!$D$5:$D$241,"&lt;"&amp;$A68+7,Summary!$G$5:$G$241,"Yes"))</f>
        <v>0</v>
      </c>
      <c r="BC68">
        <f>IF(BC55="","",COUNTIFS(Summary!$E$5:$E$241,BC55,Summary!$D$5:$D$241,"&gt;="&amp;$A68,Summary!$D$5:$D$241,"&lt;"&amp;$A68+7,Summary!$G$5:$G$241,"Yes"))</f>
        <v>0</v>
      </c>
      <c r="BD68">
        <f>IF(BD55="","",COUNTIFS(Summary!$E$5:$E$241,BD55,Summary!$D$5:$D$241,"&gt;="&amp;$A68,Summary!$D$5:$D$241,"&lt;"&amp;$A68+7,Summary!$G$5:$G$241,"Yes"))</f>
        <v>0</v>
      </c>
      <c r="BE68">
        <f>IF(BE55="","",COUNTIFS(Summary!$E$5:$E$241,BE55,Summary!$D$5:$D$241,"&gt;="&amp;$A68,Summary!$D$5:$D$241,"&lt;"&amp;$A68+7,Summary!$G$5:$G$241,"Yes"))</f>
        <v>0</v>
      </c>
      <c r="BF68" s="28">
        <f>IF(BF55="","",COUNTIFS(Summary!$E$5:$E$241,BF55,Summary!$D$5:$D$241,"&gt;="&amp;$A68,Summary!$D$5:$D$241,"&lt;"&amp;$A68+7,Summary!$G$5:$G$241,"Yes"))</f>
        <v>0</v>
      </c>
    </row>
    <row r="69" spans="1:58">
      <c r="A69" s="18">
        <f t="shared" si="5"/>
        <v>46174</v>
      </c>
      <c r="B69" s="2" t="str">
        <f t="shared" si="4"/>
        <v>Jun 1</v>
      </c>
      <c r="C69">
        <f>IF(C55="","",COUNTIFS(Summary!$E$5:$E$241,C55,Summary!$D$5:$D$241,"&gt;="&amp;$A69,Summary!$D$5:$D$241,"&lt;"&amp;$A69+7,Summary!$G$5:$G$241,"Yes"))</f>
        <v>2</v>
      </c>
      <c r="D69">
        <f>IF(D55="","",COUNTIFS(Summary!$E$5:$E$241,D55,Summary!$D$5:$D$241,"&gt;="&amp;$A69,Summary!$D$5:$D$241,"&lt;"&amp;$A69+7,Summary!$G$5:$G$241,"Yes"))</f>
        <v>0</v>
      </c>
      <c r="E69">
        <f>IF(E55="","",COUNTIFS(Summary!$E$5:$E$241,E55,Summary!$D$5:$D$241,"&gt;="&amp;$A69,Summary!$D$5:$D$241,"&lt;"&amp;$A69+7,Summary!$G$5:$G$241,"Yes"))</f>
        <v>0</v>
      </c>
      <c r="F69">
        <f>IF(F55="","",COUNTIFS(Summary!$E$5:$E$241,F55,Summary!$D$5:$D$241,"&gt;="&amp;$A69,Summary!$D$5:$D$241,"&lt;"&amp;$A69+7,Summary!$G$5:$G$241,"Yes"))</f>
        <v>0</v>
      </c>
      <c r="G69">
        <f>IF(G55="","",COUNTIFS(Summary!$E$5:$E$241,G55,Summary!$D$5:$D$241,"&gt;="&amp;$A69,Summary!$D$5:$D$241,"&lt;"&amp;$A69+7,Summary!$G$5:$G$241,"Yes"))</f>
        <v>0</v>
      </c>
      <c r="H69">
        <f>IF(H55="","",COUNTIFS(Summary!$E$5:$E$241,H55,Summary!$D$5:$D$241,"&gt;="&amp;$A69,Summary!$D$5:$D$241,"&lt;"&amp;$A69+7,Summary!$G$5:$G$241,"Yes"))</f>
        <v>0</v>
      </c>
      <c r="I69">
        <f>IF(I55="","",COUNTIFS(Summary!$E$5:$E$241,I55,Summary!$D$5:$D$241,"&gt;="&amp;$A69,Summary!$D$5:$D$241,"&lt;"&amp;$A69+7,Summary!$G$5:$G$241,"Yes"))</f>
        <v>0</v>
      </c>
      <c r="J69">
        <f>IF(J55="","",COUNTIFS(Summary!$E$5:$E$241,J55,Summary!$D$5:$D$241,"&gt;="&amp;$A69,Summary!$D$5:$D$241,"&lt;"&amp;$A69+7,Summary!$G$5:$G$241,"Yes"))</f>
        <v>0</v>
      </c>
      <c r="K69">
        <f>IF(K55="","",COUNTIFS(Summary!$E$5:$E$241,K55,Summary!$D$5:$D$241,"&gt;="&amp;$A69,Summary!$D$5:$D$241,"&lt;"&amp;$A69+7,Summary!$G$5:$G$241,"Yes"))</f>
        <v>0</v>
      </c>
      <c r="L69">
        <f>IF(L55="","",COUNTIFS(Summary!$E$5:$E$241,L55,Summary!$D$5:$D$241,"&gt;="&amp;$A69,Summary!$D$5:$D$241,"&lt;"&amp;$A69+7,Summary!$G$5:$G$241,"Yes"))</f>
        <v>0</v>
      </c>
      <c r="M69">
        <f>IF(M55="","",COUNTIFS(Summary!$E$5:$E$241,M55,Summary!$D$5:$D$241,"&gt;="&amp;$A69,Summary!$D$5:$D$241,"&lt;"&amp;$A69+7,Summary!$G$5:$G$241,"Yes"))</f>
        <v>0</v>
      </c>
      <c r="N69">
        <f>IF(N55="","",COUNTIFS(Summary!$E$5:$E$241,N55,Summary!$D$5:$D$241,"&gt;="&amp;$A69,Summary!$D$5:$D$241,"&lt;"&amp;$A69+7,Summary!$G$5:$G$241,"Yes"))</f>
        <v>0</v>
      </c>
      <c r="O69">
        <f>IF(O55="","",COUNTIFS(Summary!$E$5:$E$241,O55,Summary!$D$5:$D$241,"&gt;="&amp;$A69,Summary!$D$5:$D$241,"&lt;"&amp;$A69+7,Summary!$G$5:$G$241,"Yes"))</f>
        <v>0</v>
      </c>
      <c r="P69">
        <f>IF(P55="","",COUNTIFS(Summary!$E$5:$E$241,P55,Summary!$D$5:$D$241,"&gt;="&amp;$A69,Summary!$D$5:$D$241,"&lt;"&amp;$A69+7,Summary!$G$5:$G$241,"Yes"))</f>
        <v>0</v>
      </c>
      <c r="Q69">
        <f>IF(Q55="","",COUNTIFS(Summary!$E$5:$E$241,Q55,Summary!$D$5:$D$241,"&gt;="&amp;$A69,Summary!$D$5:$D$241,"&lt;"&amp;$A69+7,Summary!$G$5:$G$241,"Yes"))</f>
        <v>0</v>
      </c>
      <c r="R69">
        <f>IF(R55="","",COUNTIFS(Summary!$E$5:$E$241,R55,Summary!$D$5:$D$241,"&gt;="&amp;$A69,Summary!$D$5:$D$241,"&lt;"&amp;$A69+7,Summary!$G$5:$G$241,"Yes"))</f>
        <v>0</v>
      </c>
      <c r="S69">
        <f>IF(S55="","",COUNTIFS(Summary!$E$5:$E$241,S55,Summary!$D$5:$D$241,"&gt;="&amp;$A69,Summary!$D$5:$D$241,"&lt;"&amp;$A69+7,Summary!$G$5:$G$241,"Yes"))</f>
        <v>0</v>
      </c>
      <c r="T69">
        <f>IF(T55="","",COUNTIFS(Summary!$E$5:$E$241,T55,Summary!$D$5:$D$241,"&gt;="&amp;$A69,Summary!$D$5:$D$241,"&lt;"&amp;$A69+7,Summary!$G$5:$G$241,"Yes"))</f>
        <v>0</v>
      </c>
      <c r="U69">
        <f>IF(U55="","",COUNTIFS(Summary!$E$5:$E$241,U55,Summary!$D$5:$D$241,"&gt;="&amp;$A69,Summary!$D$5:$D$241,"&lt;"&amp;$A69+7,Summary!$G$5:$G$241,"Yes"))</f>
        <v>0</v>
      </c>
      <c r="V69">
        <f>IF(V55="","",COUNTIFS(Summary!$E$5:$E$241,V55,Summary!$D$5:$D$241,"&gt;="&amp;$A69,Summary!$D$5:$D$241,"&lt;"&amp;$A69+7,Summary!$G$5:$G$241,"Yes"))</f>
        <v>0</v>
      </c>
      <c r="W69">
        <f>IF(W55="","",COUNTIFS(Summary!$E$5:$E$241,W55,Summary!$D$5:$D$241,"&gt;="&amp;$A69,Summary!$D$5:$D$241,"&lt;"&amp;$A69+7,Summary!$G$5:$G$241,"Yes"))</f>
        <v>0</v>
      </c>
      <c r="X69">
        <f>IF(X55="","",COUNTIFS(Summary!$E$5:$E$241,X55,Summary!$D$5:$D$241,"&gt;="&amp;$A69,Summary!$D$5:$D$241,"&lt;"&amp;$A69+7,Summary!$G$5:$G$241,"Yes"))</f>
        <v>0</v>
      </c>
      <c r="Y69">
        <f>IF(Y55="","",COUNTIFS(Summary!$E$5:$E$241,Y55,Summary!$D$5:$D$241,"&gt;="&amp;$A69,Summary!$D$5:$D$241,"&lt;"&amp;$A69+7,Summary!$G$5:$G$241,"Yes"))</f>
        <v>0</v>
      </c>
      <c r="Z69">
        <f>IF(Z55="","",COUNTIFS(Summary!$E$5:$E$241,Z55,Summary!$D$5:$D$241,"&gt;="&amp;$A69,Summary!$D$5:$D$241,"&lt;"&amp;$A69+7,Summary!$G$5:$G$241,"Yes"))</f>
        <v>0</v>
      </c>
      <c r="AA69">
        <f>IF(AA55="","",COUNTIFS(Summary!$E$5:$E$241,AA55,Summary!$D$5:$D$241,"&gt;="&amp;$A69,Summary!$D$5:$D$241,"&lt;"&amp;$A69+7,Summary!$G$5:$G$241,"Yes"))</f>
        <v>0</v>
      </c>
      <c r="AB69">
        <f>IF(AB55="","",COUNTIFS(Summary!$E$5:$E$241,AB55,Summary!$D$5:$D$241,"&gt;="&amp;$A69,Summary!$D$5:$D$241,"&lt;"&amp;$A69+7,Summary!$G$5:$G$241,"Yes"))</f>
        <v>0</v>
      </c>
      <c r="AC69">
        <f>IF(AC55="","",COUNTIFS(Summary!$E$5:$E$241,AC55,Summary!$D$5:$D$241,"&gt;="&amp;$A69,Summary!$D$5:$D$241,"&lt;"&amp;$A69+7,Summary!$G$5:$G$241,"Yes"))</f>
        <v>0</v>
      </c>
      <c r="AD69">
        <f>IF(AD55="","",COUNTIFS(Summary!$E$5:$E$241,AD55,Summary!$D$5:$D$241,"&gt;="&amp;$A69,Summary!$D$5:$D$241,"&lt;"&amp;$A69+7,Summary!$G$5:$G$241,"Yes"))</f>
        <v>0</v>
      </c>
      <c r="AE69">
        <f>IF(AE55="","",COUNTIFS(Summary!$E$5:$E$241,AE55,Summary!$D$5:$D$241,"&gt;="&amp;$A69,Summary!$D$5:$D$241,"&lt;"&amp;$A69+7,Summary!$G$5:$G$241,"Yes"))</f>
        <v>0</v>
      </c>
      <c r="AF69">
        <f>IF(AF55="","",COUNTIFS(Summary!$E$5:$E$241,AF55,Summary!$D$5:$D$241,"&gt;="&amp;$A69,Summary!$D$5:$D$241,"&lt;"&amp;$A69+7,Summary!$G$5:$G$241,"Yes"))</f>
        <v>0</v>
      </c>
      <c r="AG69">
        <f>IF(AG55="","",COUNTIFS(Summary!$E$5:$E$241,AG55,Summary!$D$5:$D$241,"&gt;="&amp;$A69,Summary!$D$5:$D$241,"&lt;"&amp;$A69+7,Summary!$G$5:$G$241,"Yes"))</f>
        <v>0</v>
      </c>
      <c r="AH69">
        <f>IF(AH55="","",COUNTIFS(Summary!$E$5:$E$241,AH55,Summary!$D$5:$D$241,"&gt;="&amp;$A69,Summary!$D$5:$D$241,"&lt;"&amp;$A69+7,Summary!$G$5:$G$241,"Yes"))</f>
        <v>0</v>
      </c>
      <c r="AI69">
        <f>IF(AI55="","",COUNTIFS(Summary!$E$5:$E$241,AI55,Summary!$D$5:$D$241,"&gt;="&amp;$A69,Summary!$D$5:$D$241,"&lt;"&amp;$A69+7,Summary!$G$5:$G$241,"Yes"))</f>
        <v>0</v>
      </c>
      <c r="AJ69">
        <f>IF(AJ55="","",COUNTIFS(Summary!$E$5:$E$241,AJ55,Summary!$D$5:$D$241,"&gt;="&amp;$A69,Summary!$D$5:$D$241,"&lt;"&amp;$A69+7,Summary!$G$5:$G$241,"Yes"))</f>
        <v>0</v>
      </c>
      <c r="AK69">
        <f>IF(AK55="","",COUNTIFS(Summary!$E$5:$E$241,AK55,Summary!$D$5:$D$241,"&gt;="&amp;$A69,Summary!$D$5:$D$241,"&lt;"&amp;$A69+7,Summary!$G$5:$G$241,"Yes"))</f>
        <v>0</v>
      </c>
      <c r="AL69">
        <f>IF(AL55="","",COUNTIFS(Summary!$E$5:$E$241,AL55,Summary!$D$5:$D$241,"&gt;="&amp;$A69,Summary!$D$5:$D$241,"&lt;"&amp;$A69+7,Summary!$G$5:$G$241,"Yes"))</f>
        <v>0</v>
      </c>
      <c r="AM69">
        <f>IF(AM55="","",COUNTIFS(Summary!$E$5:$E$241,AM55,Summary!$D$5:$D$241,"&gt;="&amp;$A69,Summary!$D$5:$D$241,"&lt;"&amp;$A69+7,Summary!$G$5:$G$241,"Yes"))</f>
        <v>0</v>
      </c>
      <c r="AN69">
        <f>IF(AN55="","",COUNTIFS(Summary!$E$5:$E$241,AN55,Summary!$D$5:$D$241,"&gt;="&amp;$A69,Summary!$D$5:$D$241,"&lt;"&amp;$A69+7,Summary!$G$5:$G$241,"Yes"))</f>
        <v>0</v>
      </c>
      <c r="AO69">
        <f>IF(AO55="","",COUNTIFS(Summary!$E$5:$E$241,AO55,Summary!$D$5:$D$241,"&gt;="&amp;$A69,Summary!$D$5:$D$241,"&lt;"&amp;$A69+7,Summary!$G$5:$G$241,"Yes"))</f>
        <v>0</v>
      </c>
      <c r="AP69">
        <f>IF(AP55="","",COUNTIFS(Summary!$E$5:$E$241,AP55,Summary!$D$5:$D$241,"&gt;="&amp;$A69,Summary!$D$5:$D$241,"&lt;"&amp;$A69+7,Summary!$G$5:$G$241,"Yes"))</f>
        <v>0</v>
      </c>
      <c r="AQ69">
        <f>IF(AQ55="","",COUNTIFS(Summary!$E$5:$E$241,AQ55,Summary!$D$5:$D$241,"&gt;="&amp;$A69,Summary!$D$5:$D$241,"&lt;"&amp;$A69+7,Summary!$G$5:$G$241,"Yes"))</f>
        <v>0</v>
      </c>
      <c r="AR69">
        <f>IF(AR55="","",COUNTIFS(Summary!$E$5:$E$241,AR55,Summary!$D$5:$D$241,"&gt;="&amp;$A69,Summary!$D$5:$D$241,"&lt;"&amp;$A69+7,Summary!$G$5:$G$241,"Yes"))</f>
        <v>0</v>
      </c>
      <c r="AS69">
        <f>IF(AS55="","",COUNTIFS(Summary!$E$5:$E$241,AS55,Summary!$D$5:$D$241,"&gt;="&amp;$A69,Summary!$D$5:$D$241,"&lt;"&amp;$A69+7,Summary!$G$5:$G$241,"Yes"))</f>
        <v>0</v>
      </c>
      <c r="AT69">
        <f>IF(AT55="","",COUNTIFS(Summary!$E$5:$E$241,AT55,Summary!$D$5:$D$241,"&gt;="&amp;$A69,Summary!$D$5:$D$241,"&lt;"&amp;$A69+7,Summary!$G$5:$G$241,"Yes"))</f>
        <v>0</v>
      </c>
      <c r="AU69">
        <f>IF(AU55="","",COUNTIFS(Summary!$E$5:$E$241,AU55,Summary!$D$5:$D$241,"&gt;="&amp;$A69,Summary!$D$5:$D$241,"&lt;"&amp;$A69+7,Summary!$G$5:$G$241,"Yes"))</f>
        <v>0</v>
      </c>
      <c r="AV69">
        <f>IF(AV55="","",COUNTIFS(Summary!$E$5:$E$241,AV55,Summary!$D$5:$D$241,"&gt;="&amp;$A69,Summary!$D$5:$D$241,"&lt;"&amp;$A69+7,Summary!$G$5:$G$241,"Yes"))</f>
        <v>0</v>
      </c>
      <c r="AW69">
        <f>IF(AW55="","",COUNTIFS(Summary!$E$5:$E$241,AW55,Summary!$D$5:$D$241,"&gt;="&amp;$A69,Summary!$D$5:$D$241,"&lt;"&amp;$A69+7,Summary!$G$5:$G$241,"Yes"))</f>
        <v>0</v>
      </c>
      <c r="AX69">
        <f>IF(AX55="","",COUNTIFS(Summary!$E$5:$E$241,AX55,Summary!$D$5:$D$241,"&gt;="&amp;$A69,Summary!$D$5:$D$241,"&lt;"&amp;$A69+7,Summary!$G$5:$G$241,"Yes"))</f>
        <v>0</v>
      </c>
      <c r="AY69">
        <f>IF(AY55="","",COUNTIFS(Summary!$E$5:$E$241,AY55,Summary!$D$5:$D$241,"&gt;="&amp;$A69,Summary!$D$5:$D$241,"&lt;"&amp;$A69+7,Summary!$G$5:$G$241,"Yes"))</f>
        <v>0</v>
      </c>
      <c r="AZ69">
        <f>IF(AZ55="","",COUNTIFS(Summary!$E$5:$E$241,AZ55,Summary!$D$5:$D$241,"&gt;="&amp;$A69,Summary!$D$5:$D$241,"&lt;"&amp;$A69+7,Summary!$G$5:$G$241,"Yes"))</f>
        <v>0</v>
      </c>
      <c r="BA69">
        <f>IF(BA55="","",COUNTIFS(Summary!$E$5:$E$241,BA55,Summary!$D$5:$D$241,"&gt;="&amp;$A69,Summary!$D$5:$D$241,"&lt;"&amp;$A69+7,Summary!$G$5:$G$241,"Yes"))</f>
        <v>0</v>
      </c>
      <c r="BB69">
        <f>IF(BB55="","",COUNTIFS(Summary!$E$5:$E$241,BB55,Summary!$D$5:$D$241,"&gt;="&amp;$A69,Summary!$D$5:$D$241,"&lt;"&amp;$A69+7,Summary!$G$5:$G$241,"Yes"))</f>
        <v>0</v>
      </c>
      <c r="BC69">
        <f>IF(BC55="","",COUNTIFS(Summary!$E$5:$E$241,BC55,Summary!$D$5:$D$241,"&gt;="&amp;$A69,Summary!$D$5:$D$241,"&lt;"&amp;$A69+7,Summary!$G$5:$G$241,"Yes"))</f>
        <v>0</v>
      </c>
      <c r="BD69">
        <f>IF(BD55="","",COUNTIFS(Summary!$E$5:$E$241,BD55,Summary!$D$5:$D$241,"&gt;="&amp;$A69,Summary!$D$5:$D$241,"&lt;"&amp;$A69+7,Summary!$G$5:$G$241,"Yes"))</f>
        <v>0</v>
      </c>
      <c r="BE69">
        <f>IF(BE55="","",COUNTIFS(Summary!$E$5:$E$241,BE55,Summary!$D$5:$D$241,"&gt;="&amp;$A69,Summary!$D$5:$D$241,"&lt;"&amp;$A69+7,Summary!$G$5:$G$241,"Yes"))</f>
        <v>0</v>
      </c>
      <c r="BF69" s="28">
        <f>IF(BF55="","",COUNTIFS(Summary!$E$5:$E$241,BF55,Summary!$D$5:$D$241,"&gt;="&amp;$A69,Summary!$D$5:$D$241,"&lt;"&amp;$A69+7,Summary!$G$5:$G$241,"Yes"))</f>
        <v>0</v>
      </c>
    </row>
    <row r="70" spans="1:58">
      <c r="A70" s="18">
        <f t="shared" si="5"/>
        <v>46181</v>
      </c>
      <c r="B70" s="2" t="str">
        <f t="shared" si="4"/>
        <v>Jun 8</v>
      </c>
      <c r="C70">
        <f>IF(C55="","",COUNTIFS(Summary!$E$5:$E$241,C55,Summary!$D$5:$D$241,"&gt;="&amp;$A70,Summary!$D$5:$D$241,"&lt;"&amp;$A70+7,Summary!$G$5:$G$241,"Yes"))</f>
        <v>0</v>
      </c>
      <c r="D70">
        <f>IF(D55="","",COUNTIFS(Summary!$E$5:$E$241,D55,Summary!$D$5:$D$241,"&gt;="&amp;$A70,Summary!$D$5:$D$241,"&lt;"&amp;$A70+7,Summary!$G$5:$G$241,"Yes"))</f>
        <v>0</v>
      </c>
      <c r="E70">
        <f>IF(E55="","",COUNTIFS(Summary!$E$5:$E$241,E55,Summary!$D$5:$D$241,"&gt;="&amp;$A70,Summary!$D$5:$D$241,"&lt;"&amp;$A70+7,Summary!$G$5:$G$241,"Yes"))</f>
        <v>0</v>
      </c>
      <c r="F70">
        <f>IF(F55="","",COUNTIFS(Summary!$E$5:$E$241,F55,Summary!$D$5:$D$241,"&gt;="&amp;$A70,Summary!$D$5:$D$241,"&lt;"&amp;$A70+7,Summary!$G$5:$G$241,"Yes"))</f>
        <v>0</v>
      </c>
      <c r="G70">
        <f>IF(G55="","",COUNTIFS(Summary!$E$5:$E$241,G55,Summary!$D$5:$D$241,"&gt;="&amp;$A70,Summary!$D$5:$D$241,"&lt;"&amp;$A70+7,Summary!$G$5:$G$241,"Yes"))</f>
        <v>0</v>
      </c>
      <c r="H70">
        <f>IF(H55="","",COUNTIFS(Summary!$E$5:$E$241,H55,Summary!$D$5:$D$241,"&gt;="&amp;$A70,Summary!$D$5:$D$241,"&lt;"&amp;$A70+7,Summary!$G$5:$G$241,"Yes"))</f>
        <v>0</v>
      </c>
      <c r="I70">
        <f>IF(I55="","",COUNTIFS(Summary!$E$5:$E$241,I55,Summary!$D$5:$D$241,"&gt;="&amp;$A70,Summary!$D$5:$D$241,"&lt;"&amp;$A70+7,Summary!$G$5:$G$241,"Yes"))</f>
        <v>1</v>
      </c>
      <c r="J70">
        <f>IF(J55="","",COUNTIFS(Summary!$E$5:$E$241,J55,Summary!$D$5:$D$241,"&gt;="&amp;$A70,Summary!$D$5:$D$241,"&lt;"&amp;$A70+7,Summary!$G$5:$G$241,"Yes"))</f>
        <v>0</v>
      </c>
      <c r="K70">
        <f>IF(K55="","",COUNTIFS(Summary!$E$5:$E$241,K55,Summary!$D$5:$D$241,"&gt;="&amp;$A70,Summary!$D$5:$D$241,"&lt;"&amp;$A70+7,Summary!$G$5:$G$241,"Yes"))</f>
        <v>0</v>
      </c>
      <c r="L70">
        <f>IF(L55="","",COUNTIFS(Summary!$E$5:$E$241,L55,Summary!$D$5:$D$241,"&gt;="&amp;$A70,Summary!$D$5:$D$241,"&lt;"&amp;$A70+7,Summary!$G$5:$G$241,"Yes"))</f>
        <v>0</v>
      </c>
      <c r="M70">
        <f>IF(M55="","",COUNTIFS(Summary!$E$5:$E$241,M55,Summary!$D$5:$D$241,"&gt;="&amp;$A70,Summary!$D$5:$D$241,"&lt;"&amp;$A70+7,Summary!$G$5:$G$241,"Yes"))</f>
        <v>0</v>
      </c>
      <c r="N70">
        <f>IF(N55="","",COUNTIFS(Summary!$E$5:$E$241,N55,Summary!$D$5:$D$241,"&gt;="&amp;$A70,Summary!$D$5:$D$241,"&lt;"&amp;$A70+7,Summary!$G$5:$G$241,"Yes"))</f>
        <v>0</v>
      </c>
      <c r="O70">
        <f>IF(O55="","",COUNTIFS(Summary!$E$5:$E$241,O55,Summary!$D$5:$D$241,"&gt;="&amp;$A70,Summary!$D$5:$D$241,"&lt;"&amp;$A70+7,Summary!$G$5:$G$241,"Yes"))</f>
        <v>0</v>
      </c>
      <c r="P70">
        <f>IF(P55="","",COUNTIFS(Summary!$E$5:$E$241,P55,Summary!$D$5:$D$241,"&gt;="&amp;$A70,Summary!$D$5:$D$241,"&lt;"&amp;$A70+7,Summary!$G$5:$G$241,"Yes"))</f>
        <v>0</v>
      </c>
      <c r="Q70">
        <f>IF(Q55="","",COUNTIFS(Summary!$E$5:$E$241,Q55,Summary!$D$5:$D$241,"&gt;="&amp;$A70,Summary!$D$5:$D$241,"&lt;"&amp;$A70+7,Summary!$G$5:$G$241,"Yes"))</f>
        <v>0</v>
      </c>
      <c r="R70">
        <f>IF(R55="","",COUNTIFS(Summary!$E$5:$E$241,R55,Summary!$D$5:$D$241,"&gt;="&amp;$A70,Summary!$D$5:$D$241,"&lt;"&amp;$A70+7,Summary!$G$5:$G$241,"Yes"))</f>
        <v>0</v>
      </c>
      <c r="S70">
        <f>IF(S55="","",COUNTIFS(Summary!$E$5:$E$241,S55,Summary!$D$5:$D$241,"&gt;="&amp;$A70,Summary!$D$5:$D$241,"&lt;"&amp;$A70+7,Summary!$G$5:$G$241,"Yes"))</f>
        <v>0</v>
      </c>
      <c r="T70">
        <f>IF(T55="","",COUNTIFS(Summary!$E$5:$E$241,T55,Summary!$D$5:$D$241,"&gt;="&amp;$A70,Summary!$D$5:$D$241,"&lt;"&amp;$A70+7,Summary!$G$5:$G$241,"Yes"))</f>
        <v>0</v>
      </c>
      <c r="U70">
        <f>IF(U55="","",COUNTIFS(Summary!$E$5:$E$241,U55,Summary!$D$5:$D$241,"&gt;="&amp;$A70,Summary!$D$5:$D$241,"&lt;"&amp;$A70+7,Summary!$G$5:$G$241,"Yes"))</f>
        <v>0</v>
      </c>
      <c r="V70">
        <f>IF(V55="","",COUNTIFS(Summary!$E$5:$E$241,V55,Summary!$D$5:$D$241,"&gt;="&amp;$A70,Summary!$D$5:$D$241,"&lt;"&amp;$A70+7,Summary!$G$5:$G$241,"Yes"))</f>
        <v>0</v>
      </c>
      <c r="W70">
        <f>IF(W55="","",COUNTIFS(Summary!$E$5:$E$241,W55,Summary!$D$5:$D$241,"&gt;="&amp;$A70,Summary!$D$5:$D$241,"&lt;"&amp;$A70+7,Summary!$G$5:$G$241,"Yes"))</f>
        <v>0</v>
      </c>
      <c r="X70">
        <f>IF(X55="","",COUNTIFS(Summary!$E$5:$E$241,X55,Summary!$D$5:$D$241,"&gt;="&amp;$A70,Summary!$D$5:$D$241,"&lt;"&amp;$A70+7,Summary!$G$5:$G$241,"Yes"))</f>
        <v>0</v>
      </c>
      <c r="Y70">
        <f>IF(Y55="","",COUNTIFS(Summary!$E$5:$E$241,Y55,Summary!$D$5:$D$241,"&gt;="&amp;$A70,Summary!$D$5:$D$241,"&lt;"&amp;$A70+7,Summary!$G$5:$G$241,"Yes"))</f>
        <v>0</v>
      </c>
      <c r="Z70">
        <f>IF(Z55="","",COUNTIFS(Summary!$E$5:$E$241,Z55,Summary!$D$5:$D$241,"&gt;="&amp;$A70,Summary!$D$5:$D$241,"&lt;"&amp;$A70+7,Summary!$G$5:$G$241,"Yes"))</f>
        <v>0</v>
      </c>
      <c r="AA70">
        <f>IF(AA55="","",COUNTIFS(Summary!$E$5:$E$241,AA55,Summary!$D$5:$D$241,"&gt;="&amp;$A70,Summary!$D$5:$D$241,"&lt;"&amp;$A70+7,Summary!$G$5:$G$241,"Yes"))</f>
        <v>0</v>
      </c>
      <c r="AB70">
        <f>IF(AB55="","",COUNTIFS(Summary!$E$5:$E$241,AB55,Summary!$D$5:$D$241,"&gt;="&amp;$A70,Summary!$D$5:$D$241,"&lt;"&amp;$A70+7,Summary!$G$5:$G$241,"Yes"))</f>
        <v>0</v>
      </c>
      <c r="AC70">
        <f>IF(AC55="","",COUNTIFS(Summary!$E$5:$E$241,AC55,Summary!$D$5:$D$241,"&gt;="&amp;$A70,Summary!$D$5:$D$241,"&lt;"&amp;$A70+7,Summary!$G$5:$G$241,"Yes"))</f>
        <v>0</v>
      </c>
      <c r="AD70">
        <f>IF(AD55="","",COUNTIFS(Summary!$E$5:$E$241,AD55,Summary!$D$5:$D$241,"&gt;="&amp;$A70,Summary!$D$5:$D$241,"&lt;"&amp;$A70+7,Summary!$G$5:$G$241,"Yes"))</f>
        <v>0</v>
      </c>
      <c r="AE70">
        <f>IF(AE55="","",COUNTIFS(Summary!$E$5:$E$241,AE55,Summary!$D$5:$D$241,"&gt;="&amp;$A70,Summary!$D$5:$D$241,"&lt;"&amp;$A70+7,Summary!$G$5:$G$241,"Yes"))</f>
        <v>0</v>
      </c>
      <c r="AF70">
        <f>IF(AF55="","",COUNTIFS(Summary!$E$5:$E$241,AF55,Summary!$D$5:$D$241,"&gt;="&amp;$A70,Summary!$D$5:$D$241,"&lt;"&amp;$A70+7,Summary!$G$5:$G$241,"Yes"))</f>
        <v>0</v>
      </c>
      <c r="AG70">
        <f>IF(AG55="","",COUNTIFS(Summary!$E$5:$E$241,AG55,Summary!$D$5:$D$241,"&gt;="&amp;$A70,Summary!$D$5:$D$241,"&lt;"&amp;$A70+7,Summary!$G$5:$G$241,"Yes"))</f>
        <v>0</v>
      </c>
      <c r="AH70">
        <f>IF(AH55="","",COUNTIFS(Summary!$E$5:$E$241,AH55,Summary!$D$5:$D$241,"&gt;="&amp;$A70,Summary!$D$5:$D$241,"&lt;"&amp;$A70+7,Summary!$G$5:$G$241,"Yes"))</f>
        <v>0</v>
      </c>
      <c r="AI70">
        <f>IF(AI55="","",COUNTIFS(Summary!$E$5:$E$241,AI55,Summary!$D$5:$D$241,"&gt;="&amp;$A70,Summary!$D$5:$D$241,"&lt;"&amp;$A70+7,Summary!$G$5:$G$241,"Yes"))</f>
        <v>0</v>
      </c>
      <c r="AJ70">
        <f>IF(AJ55="","",COUNTIFS(Summary!$E$5:$E$241,AJ55,Summary!$D$5:$D$241,"&gt;="&amp;$A70,Summary!$D$5:$D$241,"&lt;"&amp;$A70+7,Summary!$G$5:$G$241,"Yes"))</f>
        <v>0</v>
      </c>
      <c r="AK70">
        <f>IF(AK55="","",COUNTIFS(Summary!$E$5:$E$241,AK55,Summary!$D$5:$D$241,"&gt;="&amp;$A70,Summary!$D$5:$D$241,"&lt;"&amp;$A70+7,Summary!$G$5:$G$241,"Yes"))</f>
        <v>0</v>
      </c>
      <c r="AL70">
        <f>IF(AL55="","",COUNTIFS(Summary!$E$5:$E$241,AL55,Summary!$D$5:$D$241,"&gt;="&amp;$A70,Summary!$D$5:$D$241,"&lt;"&amp;$A70+7,Summary!$G$5:$G$241,"Yes"))</f>
        <v>0</v>
      </c>
      <c r="AM70">
        <f>IF(AM55="","",COUNTIFS(Summary!$E$5:$E$241,AM55,Summary!$D$5:$D$241,"&gt;="&amp;$A70,Summary!$D$5:$D$241,"&lt;"&amp;$A70+7,Summary!$G$5:$G$241,"Yes"))</f>
        <v>0</v>
      </c>
      <c r="AN70">
        <f>IF(AN55="","",COUNTIFS(Summary!$E$5:$E$241,AN55,Summary!$D$5:$D$241,"&gt;="&amp;$A70,Summary!$D$5:$D$241,"&lt;"&amp;$A70+7,Summary!$G$5:$G$241,"Yes"))</f>
        <v>0</v>
      </c>
      <c r="AO70">
        <f>IF(AO55="","",COUNTIFS(Summary!$E$5:$E$241,AO55,Summary!$D$5:$D$241,"&gt;="&amp;$A70,Summary!$D$5:$D$241,"&lt;"&amp;$A70+7,Summary!$G$5:$G$241,"Yes"))</f>
        <v>0</v>
      </c>
      <c r="AP70">
        <f>IF(AP55="","",COUNTIFS(Summary!$E$5:$E$241,AP55,Summary!$D$5:$D$241,"&gt;="&amp;$A70,Summary!$D$5:$D$241,"&lt;"&amp;$A70+7,Summary!$G$5:$G$241,"Yes"))</f>
        <v>0</v>
      </c>
      <c r="AQ70">
        <f>IF(AQ55="","",COUNTIFS(Summary!$E$5:$E$241,AQ55,Summary!$D$5:$D$241,"&gt;="&amp;$A70,Summary!$D$5:$D$241,"&lt;"&amp;$A70+7,Summary!$G$5:$G$241,"Yes"))</f>
        <v>0</v>
      </c>
      <c r="AR70">
        <f>IF(AR55="","",COUNTIFS(Summary!$E$5:$E$241,AR55,Summary!$D$5:$D$241,"&gt;="&amp;$A70,Summary!$D$5:$D$241,"&lt;"&amp;$A70+7,Summary!$G$5:$G$241,"Yes"))</f>
        <v>0</v>
      </c>
      <c r="AS70">
        <f>IF(AS55="","",COUNTIFS(Summary!$E$5:$E$241,AS55,Summary!$D$5:$D$241,"&gt;="&amp;$A70,Summary!$D$5:$D$241,"&lt;"&amp;$A70+7,Summary!$G$5:$G$241,"Yes"))</f>
        <v>0</v>
      </c>
      <c r="AT70">
        <f>IF(AT55="","",COUNTIFS(Summary!$E$5:$E$241,AT55,Summary!$D$5:$D$241,"&gt;="&amp;$A70,Summary!$D$5:$D$241,"&lt;"&amp;$A70+7,Summary!$G$5:$G$241,"Yes"))</f>
        <v>0</v>
      </c>
      <c r="AU70">
        <f>IF(AU55="","",COUNTIFS(Summary!$E$5:$E$241,AU55,Summary!$D$5:$D$241,"&gt;="&amp;$A70,Summary!$D$5:$D$241,"&lt;"&amp;$A70+7,Summary!$G$5:$G$241,"Yes"))</f>
        <v>0</v>
      </c>
      <c r="AV70">
        <f>IF(AV55="","",COUNTIFS(Summary!$E$5:$E$241,AV55,Summary!$D$5:$D$241,"&gt;="&amp;$A70,Summary!$D$5:$D$241,"&lt;"&amp;$A70+7,Summary!$G$5:$G$241,"Yes"))</f>
        <v>0</v>
      </c>
      <c r="AW70">
        <f>IF(AW55="","",COUNTIFS(Summary!$E$5:$E$241,AW55,Summary!$D$5:$D$241,"&gt;="&amp;$A70,Summary!$D$5:$D$241,"&lt;"&amp;$A70+7,Summary!$G$5:$G$241,"Yes"))</f>
        <v>0</v>
      </c>
      <c r="AX70">
        <f>IF(AX55="","",COUNTIFS(Summary!$E$5:$E$241,AX55,Summary!$D$5:$D$241,"&gt;="&amp;$A70,Summary!$D$5:$D$241,"&lt;"&amp;$A70+7,Summary!$G$5:$G$241,"Yes"))</f>
        <v>0</v>
      </c>
      <c r="AY70">
        <f>IF(AY55="","",COUNTIFS(Summary!$E$5:$E$241,AY55,Summary!$D$5:$D$241,"&gt;="&amp;$A70,Summary!$D$5:$D$241,"&lt;"&amp;$A70+7,Summary!$G$5:$G$241,"Yes"))</f>
        <v>0</v>
      </c>
      <c r="AZ70">
        <f>IF(AZ55="","",COUNTIFS(Summary!$E$5:$E$241,AZ55,Summary!$D$5:$D$241,"&gt;="&amp;$A70,Summary!$D$5:$D$241,"&lt;"&amp;$A70+7,Summary!$G$5:$G$241,"Yes"))</f>
        <v>0</v>
      </c>
      <c r="BA70">
        <f>IF(BA55="","",COUNTIFS(Summary!$E$5:$E$241,BA55,Summary!$D$5:$D$241,"&gt;="&amp;$A70,Summary!$D$5:$D$241,"&lt;"&amp;$A70+7,Summary!$G$5:$G$241,"Yes"))</f>
        <v>0</v>
      </c>
      <c r="BB70">
        <f>IF(BB55="","",COUNTIFS(Summary!$E$5:$E$241,BB55,Summary!$D$5:$D$241,"&gt;="&amp;$A70,Summary!$D$5:$D$241,"&lt;"&amp;$A70+7,Summary!$G$5:$G$241,"Yes"))</f>
        <v>0</v>
      </c>
      <c r="BC70">
        <f>IF(BC55="","",COUNTIFS(Summary!$E$5:$E$241,BC55,Summary!$D$5:$D$241,"&gt;="&amp;$A70,Summary!$D$5:$D$241,"&lt;"&amp;$A70+7,Summary!$G$5:$G$241,"Yes"))</f>
        <v>0</v>
      </c>
      <c r="BD70">
        <f>IF(BD55="","",COUNTIFS(Summary!$E$5:$E$241,BD55,Summary!$D$5:$D$241,"&gt;="&amp;$A70,Summary!$D$5:$D$241,"&lt;"&amp;$A70+7,Summary!$G$5:$G$241,"Yes"))</f>
        <v>0</v>
      </c>
      <c r="BE70">
        <f>IF(BE55="","",COUNTIFS(Summary!$E$5:$E$241,BE55,Summary!$D$5:$D$241,"&gt;="&amp;$A70,Summary!$D$5:$D$241,"&lt;"&amp;$A70+7,Summary!$G$5:$G$241,"Yes"))</f>
        <v>0</v>
      </c>
      <c r="BF70" s="28">
        <f>IF(BF55="","",COUNTIFS(Summary!$E$5:$E$241,BF55,Summary!$D$5:$D$241,"&gt;="&amp;$A70,Summary!$D$5:$D$241,"&lt;"&amp;$A70+7,Summary!$G$5:$G$241,"Yes"))</f>
        <v>0</v>
      </c>
    </row>
    <row r="71" spans="1:58">
      <c r="A71" s="18">
        <f t="shared" si="5"/>
        <v>46188</v>
      </c>
      <c r="B71" s="2" t="str">
        <f t="shared" si="4"/>
        <v>Jun 15</v>
      </c>
      <c r="C71">
        <f>IF(C55="","",COUNTIFS(Summary!$E$5:$E$241,C55,Summary!$D$5:$D$241,"&gt;="&amp;$A71,Summary!$D$5:$D$241,"&lt;"&amp;$A71+7,Summary!$G$5:$G$241,"Yes"))</f>
        <v>0</v>
      </c>
      <c r="D71">
        <f>IF(D55="","",COUNTIFS(Summary!$E$5:$E$241,D55,Summary!$D$5:$D$241,"&gt;="&amp;$A71,Summary!$D$5:$D$241,"&lt;"&amp;$A71+7,Summary!$G$5:$G$241,"Yes"))</f>
        <v>1</v>
      </c>
      <c r="E71">
        <f>IF(E55="","",COUNTIFS(Summary!$E$5:$E$241,E55,Summary!$D$5:$D$241,"&gt;="&amp;$A71,Summary!$D$5:$D$241,"&lt;"&amp;$A71+7,Summary!$G$5:$G$241,"Yes"))</f>
        <v>0</v>
      </c>
      <c r="F71">
        <f>IF(F55="","",COUNTIFS(Summary!$E$5:$E$241,F55,Summary!$D$5:$D$241,"&gt;="&amp;$A71,Summary!$D$5:$D$241,"&lt;"&amp;$A71+7,Summary!$G$5:$G$241,"Yes"))</f>
        <v>0</v>
      </c>
      <c r="G71">
        <f>IF(G55="","",COUNTIFS(Summary!$E$5:$E$241,G55,Summary!$D$5:$D$241,"&gt;="&amp;$A71,Summary!$D$5:$D$241,"&lt;"&amp;$A71+7,Summary!$G$5:$G$241,"Yes"))</f>
        <v>0</v>
      </c>
      <c r="H71">
        <f>IF(H55="","",COUNTIFS(Summary!$E$5:$E$241,H55,Summary!$D$5:$D$241,"&gt;="&amp;$A71,Summary!$D$5:$D$241,"&lt;"&amp;$A71+7,Summary!$G$5:$G$241,"Yes"))</f>
        <v>1</v>
      </c>
      <c r="I71">
        <f>IF(I55="","",COUNTIFS(Summary!$E$5:$E$241,I55,Summary!$D$5:$D$241,"&gt;="&amp;$A71,Summary!$D$5:$D$241,"&lt;"&amp;$A71+7,Summary!$G$5:$G$241,"Yes"))</f>
        <v>0</v>
      </c>
      <c r="J71">
        <f>IF(J55="","",COUNTIFS(Summary!$E$5:$E$241,J55,Summary!$D$5:$D$241,"&gt;="&amp;$A71,Summary!$D$5:$D$241,"&lt;"&amp;$A71+7,Summary!$G$5:$G$241,"Yes"))</f>
        <v>0</v>
      </c>
      <c r="K71">
        <f>IF(K55="","",COUNTIFS(Summary!$E$5:$E$241,K55,Summary!$D$5:$D$241,"&gt;="&amp;$A71,Summary!$D$5:$D$241,"&lt;"&amp;$A71+7,Summary!$G$5:$G$241,"Yes"))</f>
        <v>0</v>
      </c>
      <c r="L71">
        <f>IF(L55="","",COUNTIFS(Summary!$E$5:$E$241,L55,Summary!$D$5:$D$241,"&gt;="&amp;$A71,Summary!$D$5:$D$241,"&lt;"&amp;$A71+7,Summary!$G$5:$G$241,"Yes"))</f>
        <v>0</v>
      </c>
      <c r="M71">
        <f>IF(M55="","",COUNTIFS(Summary!$E$5:$E$241,M55,Summary!$D$5:$D$241,"&gt;="&amp;$A71,Summary!$D$5:$D$241,"&lt;"&amp;$A71+7,Summary!$G$5:$G$241,"Yes"))</f>
        <v>2</v>
      </c>
      <c r="N71">
        <f>IF(N55="","",COUNTIFS(Summary!$E$5:$E$241,N55,Summary!$D$5:$D$241,"&gt;="&amp;$A71,Summary!$D$5:$D$241,"&lt;"&amp;$A71+7,Summary!$G$5:$G$241,"Yes"))</f>
        <v>0</v>
      </c>
      <c r="O71">
        <f>IF(O55="","",COUNTIFS(Summary!$E$5:$E$241,O55,Summary!$D$5:$D$241,"&gt;="&amp;$A71,Summary!$D$5:$D$241,"&lt;"&amp;$A71+7,Summary!$G$5:$G$241,"Yes"))</f>
        <v>0</v>
      </c>
      <c r="P71">
        <f>IF(P55="","",COUNTIFS(Summary!$E$5:$E$241,P55,Summary!$D$5:$D$241,"&gt;="&amp;$A71,Summary!$D$5:$D$241,"&lt;"&amp;$A71+7,Summary!$G$5:$G$241,"Yes"))</f>
        <v>0</v>
      </c>
      <c r="Q71">
        <f>IF(Q55="","",COUNTIFS(Summary!$E$5:$E$241,Q55,Summary!$D$5:$D$241,"&gt;="&amp;$A71,Summary!$D$5:$D$241,"&lt;"&amp;$A71+7,Summary!$G$5:$G$241,"Yes"))</f>
        <v>2</v>
      </c>
      <c r="R71">
        <f>IF(R55="","",COUNTIFS(Summary!$E$5:$E$241,R55,Summary!$D$5:$D$241,"&gt;="&amp;$A71,Summary!$D$5:$D$241,"&lt;"&amp;$A71+7,Summary!$G$5:$G$241,"Yes"))</f>
        <v>0</v>
      </c>
      <c r="S71">
        <f>IF(S55="","",COUNTIFS(Summary!$E$5:$E$241,S55,Summary!$D$5:$D$241,"&gt;="&amp;$A71,Summary!$D$5:$D$241,"&lt;"&amp;$A71+7,Summary!$G$5:$G$241,"Yes"))</f>
        <v>1</v>
      </c>
      <c r="T71">
        <f>IF(T55="","",COUNTIFS(Summary!$E$5:$E$241,T55,Summary!$D$5:$D$241,"&gt;="&amp;$A71,Summary!$D$5:$D$241,"&lt;"&amp;$A71+7,Summary!$G$5:$G$241,"Yes"))</f>
        <v>0</v>
      </c>
      <c r="U71">
        <f>IF(U55="","",COUNTIFS(Summary!$E$5:$E$241,U55,Summary!$D$5:$D$241,"&gt;="&amp;$A71,Summary!$D$5:$D$241,"&lt;"&amp;$A71+7,Summary!$G$5:$G$241,"Yes"))</f>
        <v>0</v>
      </c>
      <c r="V71">
        <f>IF(V55="","",COUNTIFS(Summary!$E$5:$E$241,V55,Summary!$D$5:$D$241,"&gt;="&amp;$A71,Summary!$D$5:$D$241,"&lt;"&amp;$A71+7,Summary!$G$5:$G$241,"Yes"))</f>
        <v>0</v>
      </c>
      <c r="W71">
        <f>IF(W55="","",COUNTIFS(Summary!$E$5:$E$241,W55,Summary!$D$5:$D$241,"&gt;="&amp;$A71,Summary!$D$5:$D$241,"&lt;"&amp;$A71+7,Summary!$G$5:$G$241,"Yes"))</f>
        <v>0</v>
      </c>
      <c r="X71">
        <f>IF(X55="","",COUNTIFS(Summary!$E$5:$E$241,X55,Summary!$D$5:$D$241,"&gt;="&amp;$A71,Summary!$D$5:$D$241,"&lt;"&amp;$A71+7,Summary!$G$5:$G$241,"Yes"))</f>
        <v>0</v>
      </c>
      <c r="Y71">
        <f>IF(Y55="","",COUNTIFS(Summary!$E$5:$E$241,Y55,Summary!$D$5:$D$241,"&gt;="&amp;$A71,Summary!$D$5:$D$241,"&lt;"&amp;$A71+7,Summary!$G$5:$G$241,"Yes"))</f>
        <v>0</v>
      </c>
      <c r="Z71">
        <f>IF(Z55="","",COUNTIFS(Summary!$E$5:$E$241,Z55,Summary!$D$5:$D$241,"&gt;="&amp;$A71,Summary!$D$5:$D$241,"&lt;"&amp;$A71+7,Summary!$G$5:$G$241,"Yes"))</f>
        <v>0</v>
      </c>
      <c r="AA71">
        <f>IF(AA55="","",COUNTIFS(Summary!$E$5:$E$241,AA55,Summary!$D$5:$D$241,"&gt;="&amp;$A71,Summary!$D$5:$D$241,"&lt;"&amp;$A71+7,Summary!$G$5:$G$241,"Yes"))</f>
        <v>0</v>
      </c>
      <c r="AB71">
        <f>IF(AB55="","",COUNTIFS(Summary!$E$5:$E$241,AB55,Summary!$D$5:$D$241,"&gt;="&amp;$A71,Summary!$D$5:$D$241,"&lt;"&amp;$A71+7,Summary!$G$5:$G$241,"Yes"))</f>
        <v>0</v>
      </c>
      <c r="AC71">
        <f>IF(AC55="","",COUNTIFS(Summary!$E$5:$E$241,AC55,Summary!$D$5:$D$241,"&gt;="&amp;$A71,Summary!$D$5:$D$241,"&lt;"&amp;$A71+7,Summary!$G$5:$G$241,"Yes"))</f>
        <v>0</v>
      </c>
      <c r="AD71">
        <f>IF(AD55="","",COUNTIFS(Summary!$E$5:$E$241,AD55,Summary!$D$5:$D$241,"&gt;="&amp;$A71,Summary!$D$5:$D$241,"&lt;"&amp;$A71+7,Summary!$G$5:$G$241,"Yes"))</f>
        <v>0</v>
      </c>
      <c r="AE71">
        <f>IF(AE55="","",COUNTIFS(Summary!$E$5:$E$241,AE55,Summary!$D$5:$D$241,"&gt;="&amp;$A71,Summary!$D$5:$D$241,"&lt;"&amp;$A71+7,Summary!$G$5:$G$241,"Yes"))</f>
        <v>0</v>
      </c>
      <c r="AF71">
        <f>IF(AF55="","",COUNTIFS(Summary!$E$5:$E$241,AF55,Summary!$D$5:$D$241,"&gt;="&amp;$A71,Summary!$D$5:$D$241,"&lt;"&amp;$A71+7,Summary!$G$5:$G$241,"Yes"))</f>
        <v>0</v>
      </c>
      <c r="AG71">
        <f>IF(AG55="","",COUNTIFS(Summary!$E$5:$E$241,AG55,Summary!$D$5:$D$241,"&gt;="&amp;$A71,Summary!$D$5:$D$241,"&lt;"&amp;$A71+7,Summary!$G$5:$G$241,"Yes"))</f>
        <v>0</v>
      </c>
      <c r="AH71">
        <f>IF(AH55="","",COUNTIFS(Summary!$E$5:$E$241,AH55,Summary!$D$5:$D$241,"&gt;="&amp;$A71,Summary!$D$5:$D$241,"&lt;"&amp;$A71+7,Summary!$G$5:$G$241,"Yes"))</f>
        <v>0</v>
      </c>
      <c r="AI71">
        <f>IF(AI55="","",COUNTIFS(Summary!$E$5:$E$241,AI55,Summary!$D$5:$D$241,"&gt;="&amp;$A71,Summary!$D$5:$D$241,"&lt;"&amp;$A71+7,Summary!$G$5:$G$241,"Yes"))</f>
        <v>0</v>
      </c>
      <c r="AJ71">
        <f>IF(AJ55="","",COUNTIFS(Summary!$E$5:$E$241,AJ55,Summary!$D$5:$D$241,"&gt;="&amp;$A71,Summary!$D$5:$D$241,"&lt;"&amp;$A71+7,Summary!$G$5:$G$241,"Yes"))</f>
        <v>0</v>
      </c>
      <c r="AK71">
        <f>IF(AK55="","",COUNTIFS(Summary!$E$5:$E$241,AK55,Summary!$D$5:$D$241,"&gt;="&amp;$A71,Summary!$D$5:$D$241,"&lt;"&amp;$A71+7,Summary!$G$5:$G$241,"Yes"))</f>
        <v>0</v>
      </c>
      <c r="AL71">
        <f>IF(AL55="","",COUNTIFS(Summary!$E$5:$E$241,AL55,Summary!$D$5:$D$241,"&gt;="&amp;$A71,Summary!$D$5:$D$241,"&lt;"&amp;$A71+7,Summary!$G$5:$G$241,"Yes"))</f>
        <v>0</v>
      </c>
      <c r="AM71">
        <f>IF(AM55="","",COUNTIFS(Summary!$E$5:$E$241,AM55,Summary!$D$5:$D$241,"&gt;="&amp;$A71,Summary!$D$5:$D$241,"&lt;"&amp;$A71+7,Summary!$G$5:$G$241,"Yes"))</f>
        <v>0</v>
      </c>
      <c r="AN71">
        <f>IF(AN55="","",COUNTIFS(Summary!$E$5:$E$241,AN55,Summary!$D$5:$D$241,"&gt;="&amp;$A71,Summary!$D$5:$D$241,"&lt;"&amp;$A71+7,Summary!$G$5:$G$241,"Yes"))</f>
        <v>0</v>
      </c>
      <c r="AO71">
        <f>IF(AO55="","",COUNTIFS(Summary!$E$5:$E$241,AO55,Summary!$D$5:$D$241,"&gt;="&amp;$A71,Summary!$D$5:$D$241,"&lt;"&amp;$A71+7,Summary!$G$5:$G$241,"Yes"))</f>
        <v>0</v>
      </c>
      <c r="AP71">
        <f>IF(AP55="","",COUNTIFS(Summary!$E$5:$E$241,AP55,Summary!$D$5:$D$241,"&gt;="&amp;$A71,Summary!$D$5:$D$241,"&lt;"&amp;$A71+7,Summary!$G$5:$G$241,"Yes"))</f>
        <v>0</v>
      </c>
      <c r="AQ71">
        <f>IF(AQ55="","",COUNTIFS(Summary!$E$5:$E$241,AQ55,Summary!$D$5:$D$241,"&gt;="&amp;$A71,Summary!$D$5:$D$241,"&lt;"&amp;$A71+7,Summary!$G$5:$G$241,"Yes"))</f>
        <v>0</v>
      </c>
      <c r="AR71">
        <f>IF(AR55="","",COUNTIFS(Summary!$E$5:$E$241,AR55,Summary!$D$5:$D$241,"&gt;="&amp;$A71,Summary!$D$5:$D$241,"&lt;"&amp;$A71+7,Summary!$G$5:$G$241,"Yes"))</f>
        <v>0</v>
      </c>
      <c r="AS71">
        <f>IF(AS55="","",COUNTIFS(Summary!$E$5:$E$241,AS55,Summary!$D$5:$D$241,"&gt;="&amp;$A71,Summary!$D$5:$D$241,"&lt;"&amp;$A71+7,Summary!$G$5:$G$241,"Yes"))</f>
        <v>0</v>
      </c>
      <c r="AT71">
        <f>IF(AT55="","",COUNTIFS(Summary!$E$5:$E$241,AT55,Summary!$D$5:$D$241,"&gt;="&amp;$A71,Summary!$D$5:$D$241,"&lt;"&amp;$A71+7,Summary!$G$5:$G$241,"Yes"))</f>
        <v>0</v>
      </c>
      <c r="AU71">
        <f>IF(AU55="","",COUNTIFS(Summary!$E$5:$E$241,AU55,Summary!$D$5:$D$241,"&gt;="&amp;$A71,Summary!$D$5:$D$241,"&lt;"&amp;$A71+7,Summary!$G$5:$G$241,"Yes"))</f>
        <v>0</v>
      </c>
      <c r="AV71">
        <f>IF(AV55="","",COUNTIFS(Summary!$E$5:$E$241,AV55,Summary!$D$5:$D$241,"&gt;="&amp;$A71,Summary!$D$5:$D$241,"&lt;"&amp;$A71+7,Summary!$G$5:$G$241,"Yes"))</f>
        <v>0</v>
      </c>
      <c r="AW71">
        <f>IF(AW55="","",COUNTIFS(Summary!$E$5:$E$241,AW55,Summary!$D$5:$D$241,"&gt;="&amp;$A71,Summary!$D$5:$D$241,"&lt;"&amp;$A71+7,Summary!$G$5:$G$241,"Yes"))</f>
        <v>0</v>
      </c>
      <c r="AX71">
        <f>IF(AX55="","",COUNTIFS(Summary!$E$5:$E$241,AX55,Summary!$D$5:$D$241,"&gt;="&amp;$A71,Summary!$D$5:$D$241,"&lt;"&amp;$A71+7,Summary!$G$5:$G$241,"Yes"))</f>
        <v>0</v>
      </c>
      <c r="AY71">
        <f>IF(AY55="","",COUNTIFS(Summary!$E$5:$E$241,AY55,Summary!$D$5:$D$241,"&gt;="&amp;$A71,Summary!$D$5:$D$241,"&lt;"&amp;$A71+7,Summary!$G$5:$G$241,"Yes"))</f>
        <v>0</v>
      </c>
      <c r="AZ71">
        <f>IF(AZ55="","",COUNTIFS(Summary!$E$5:$E$241,AZ55,Summary!$D$5:$D$241,"&gt;="&amp;$A71,Summary!$D$5:$D$241,"&lt;"&amp;$A71+7,Summary!$G$5:$G$241,"Yes"))</f>
        <v>0</v>
      </c>
      <c r="BA71">
        <f>IF(BA55="","",COUNTIFS(Summary!$E$5:$E$241,BA55,Summary!$D$5:$D$241,"&gt;="&amp;$A71,Summary!$D$5:$D$241,"&lt;"&amp;$A71+7,Summary!$G$5:$G$241,"Yes"))</f>
        <v>0</v>
      </c>
      <c r="BB71">
        <f>IF(BB55="","",COUNTIFS(Summary!$E$5:$E$241,BB55,Summary!$D$5:$D$241,"&gt;="&amp;$A71,Summary!$D$5:$D$241,"&lt;"&amp;$A71+7,Summary!$G$5:$G$241,"Yes"))</f>
        <v>0</v>
      </c>
      <c r="BC71">
        <f>IF(BC55="","",COUNTIFS(Summary!$E$5:$E$241,BC55,Summary!$D$5:$D$241,"&gt;="&amp;$A71,Summary!$D$5:$D$241,"&lt;"&amp;$A71+7,Summary!$G$5:$G$241,"Yes"))</f>
        <v>0</v>
      </c>
      <c r="BD71">
        <f>IF(BD55="","",COUNTIFS(Summary!$E$5:$E$241,BD55,Summary!$D$5:$D$241,"&gt;="&amp;$A71,Summary!$D$5:$D$241,"&lt;"&amp;$A71+7,Summary!$G$5:$G$241,"Yes"))</f>
        <v>0</v>
      </c>
      <c r="BE71">
        <f>IF(BE55="","",COUNTIFS(Summary!$E$5:$E$241,BE55,Summary!$D$5:$D$241,"&gt;="&amp;$A71,Summary!$D$5:$D$241,"&lt;"&amp;$A71+7,Summary!$G$5:$G$241,"Yes"))</f>
        <v>0</v>
      </c>
      <c r="BF71" s="28">
        <f>IF(BF55="","",COUNTIFS(Summary!$E$5:$E$241,BF55,Summary!$D$5:$D$241,"&gt;="&amp;$A71,Summary!$D$5:$D$241,"&lt;"&amp;$A71+7,Summary!$G$5:$G$241,"Yes"))</f>
        <v>0</v>
      </c>
    </row>
    <row r="72" spans="1:58">
      <c r="A72" s="18">
        <f t="shared" si="5"/>
        <v>46195</v>
      </c>
      <c r="B72" s="2" t="str">
        <f t="shared" si="4"/>
        <v>Jun 22</v>
      </c>
      <c r="C72">
        <f>IF(C55="","",COUNTIFS(Summary!$E$5:$E$241,C55,Summary!$D$5:$D$241,"&gt;="&amp;$A72,Summary!$D$5:$D$241,"&lt;"&amp;$A72+7,Summary!$G$5:$G$241,"Yes"))</f>
        <v>0</v>
      </c>
      <c r="D72">
        <f>IF(D55="","",COUNTIFS(Summary!$E$5:$E$241,D55,Summary!$D$5:$D$241,"&gt;="&amp;$A72,Summary!$D$5:$D$241,"&lt;"&amp;$A72+7,Summary!$G$5:$G$241,"Yes"))</f>
        <v>0</v>
      </c>
      <c r="E72">
        <f>IF(E55="","",COUNTIFS(Summary!$E$5:$E$241,E55,Summary!$D$5:$D$241,"&gt;="&amp;$A72,Summary!$D$5:$D$241,"&lt;"&amp;$A72+7,Summary!$G$5:$G$241,"Yes"))</f>
        <v>0</v>
      </c>
      <c r="F72">
        <f>IF(F55="","",COUNTIFS(Summary!$E$5:$E$241,F55,Summary!$D$5:$D$241,"&gt;="&amp;$A72,Summary!$D$5:$D$241,"&lt;"&amp;$A72+7,Summary!$G$5:$G$241,"Yes"))</f>
        <v>0</v>
      </c>
      <c r="G72">
        <f>IF(G55="","",COUNTIFS(Summary!$E$5:$E$241,G55,Summary!$D$5:$D$241,"&gt;="&amp;$A72,Summary!$D$5:$D$241,"&lt;"&amp;$A72+7,Summary!$G$5:$G$241,"Yes"))</f>
        <v>0</v>
      </c>
      <c r="H72">
        <f>IF(H55="","",COUNTIFS(Summary!$E$5:$E$241,H55,Summary!$D$5:$D$241,"&gt;="&amp;$A72,Summary!$D$5:$D$241,"&lt;"&amp;$A72+7,Summary!$G$5:$G$241,"Yes"))</f>
        <v>0</v>
      </c>
      <c r="I72">
        <f>IF(I55="","",COUNTIFS(Summary!$E$5:$E$241,I55,Summary!$D$5:$D$241,"&gt;="&amp;$A72,Summary!$D$5:$D$241,"&lt;"&amp;$A72+7,Summary!$G$5:$G$241,"Yes"))</f>
        <v>0</v>
      </c>
      <c r="J72">
        <f>IF(J55="","",COUNTIFS(Summary!$E$5:$E$241,J55,Summary!$D$5:$D$241,"&gt;="&amp;$A72,Summary!$D$5:$D$241,"&lt;"&amp;$A72+7,Summary!$G$5:$G$241,"Yes"))</f>
        <v>0</v>
      </c>
      <c r="K72">
        <f>IF(K55="","",COUNTIFS(Summary!$E$5:$E$241,K55,Summary!$D$5:$D$241,"&gt;="&amp;$A72,Summary!$D$5:$D$241,"&lt;"&amp;$A72+7,Summary!$G$5:$G$241,"Yes"))</f>
        <v>0</v>
      </c>
      <c r="L72">
        <f>IF(L55="","",COUNTIFS(Summary!$E$5:$E$241,L55,Summary!$D$5:$D$241,"&gt;="&amp;$A72,Summary!$D$5:$D$241,"&lt;"&amp;$A72+7,Summary!$G$5:$G$241,"Yes"))</f>
        <v>0</v>
      </c>
      <c r="M72">
        <f>IF(M55="","",COUNTIFS(Summary!$E$5:$E$241,M55,Summary!$D$5:$D$241,"&gt;="&amp;$A72,Summary!$D$5:$D$241,"&lt;"&amp;$A72+7,Summary!$G$5:$G$241,"Yes"))</f>
        <v>0</v>
      </c>
      <c r="N72">
        <f>IF(N55="","",COUNTIFS(Summary!$E$5:$E$241,N55,Summary!$D$5:$D$241,"&gt;="&amp;$A72,Summary!$D$5:$D$241,"&lt;"&amp;$A72+7,Summary!$G$5:$G$241,"Yes"))</f>
        <v>0</v>
      </c>
      <c r="O72">
        <f>IF(O55="","",COUNTIFS(Summary!$E$5:$E$241,O55,Summary!$D$5:$D$241,"&gt;="&amp;$A72,Summary!$D$5:$D$241,"&lt;"&amp;$A72+7,Summary!$G$5:$G$241,"Yes"))</f>
        <v>0</v>
      </c>
      <c r="P72">
        <f>IF(P55="","",COUNTIFS(Summary!$E$5:$E$241,P55,Summary!$D$5:$D$241,"&gt;="&amp;$A72,Summary!$D$5:$D$241,"&lt;"&amp;$A72+7,Summary!$G$5:$G$241,"Yes"))</f>
        <v>0</v>
      </c>
      <c r="Q72">
        <f>IF(Q55="","",COUNTIFS(Summary!$E$5:$E$241,Q55,Summary!$D$5:$D$241,"&gt;="&amp;$A72,Summary!$D$5:$D$241,"&lt;"&amp;$A72+7,Summary!$G$5:$G$241,"Yes"))</f>
        <v>2</v>
      </c>
      <c r="R72">
        <f>IF(R55="","",COUNTIFS(Summary!$E$5:$E$241,R55,Summary!$D$5:$D$241,"&gt;="&amp;$A72,Summary!$D$5:$D$241,"&lt;"&amp;$A72+7,Summary!$G$5:$G$241,"Yes"))</f>
        <v>0</v>
      </c>
      <c r="S72">
        <f>IF(S55="","",COUNTIFS(Summary!$E$5:$E$241,S55,Summary!$D$5:$D$241,"&gt;="&amp;$A72,Summary!$D$5:$D$241,"&lt;"&amp;$A72+7,Summary!$G$5:$G$241,"Yes"))</f>
        <v>2</v>
      </c>
      <c r="T72">
        <f>IF(T55="","",COUNTIFS(Summary!$E$5:$E$241,T55,Summary!$D$5:$D$241,"&gt;="&amp;$A72,Summary!$D$5:$D$241,"&lt;"&amp;$A72+7,Summary!$G$5:$G$241,"Yes"))</f>
        <v>0</v>
      </c>
      <c r="U72">
        <f>IF(U55="","",COUNTIFS(Summary!$E$5:$E$241,U55,Summary!$D$5:$D$241,"&gt;="&amp;$A72,Summary!$D$5:$D$241,"&lt;"&amp;$A72+7,Summary!$G$5:$G$241,"Yes"))</f>
        <v>0</v>
      </c>
      <c r="V72">
        <f>IF(V55="","",COUNTIFS(Summary!$E$5:$E$241,V55,Summary!$D$5:$D$241,"&gt;="&amp;$A72,Summary!$D$5:$D$241,"&lt;"&amp;$A72+7,Summary!$G$5:$G$241,"Yes"))</f>
        <v>0</v>
      </c>
      <c r="W72">
        <f>IF(W55="","",COUNTIFS(Summary!$E$5:$E$241,W55,Summary!$D$5:$D$241,"&gt;="&amp;$A72,Summary!$D$5:$D$241,"&lt;"&amp;$A72+7,Summary!$G$5:$G$241,"Yes"))</f>
        <v>0</v>
      </c>
      <c r="X72">
        <f>IF(X55="","",COUNTIFS(Summary!$E$5:$E$241,X55,Summary!$D$5:$D$241,"&gt;="&amp;$A72,Summary!$D$5:$D$241,"&lt;"&amp;$A72+7,Summary!$G$5:$G$241,"Yes"))</f>
        <v>0</v>
      </c>
      <c r="Y72">
        <f>IF(Y55="","",COUNTIFS(Summary!$E$5:$E$241,Y55,Summary!$D$5:$D$241,"&gt;="&amp;$A72,Summary!$D$5:$D$241,"&lt;"&amp;$A72+7,Summary!$G$5:$G$241,"Yes"))</f>
        <v>0</v>
      </c>
      <c r="Z72">
        <f>IF(Z55="","",COUNTIFS(Summary!$E$5:$E$241,Z55,Summary!$D$5:$D$241,"&gt;="&amp;$A72,Summary!$D$5:$D$241,"&lt;"&amp;$A72+7,Summary!$G$5:$G$241,"Yes"))</f>
        <v>0</v>
      </c>
      <c r="AA72">
        <f>IF(AA55="","",COUNTIFS(Summary!$E$5:$E$241,AA55,Summary!$D$5:$D$241,"&gt;="&amp;$A72,Summary!$D$5:$D$241,"&lt;"&amp;$A72+7,Summary!$G$5:$G$241,"Yes"))</f>
        <v>0</v>
      </c>
      <c r="AB72">
        <f>IF(AB55="","",COUNTIFS(Summary!$E$5:$E$241,AB55,Summary!$D$5:$D$241,"&gt;="&amp;$A72,Summary!$D$5:$D$241,"&lt;"&amp;$A72+7,Summary!$G$5:$G$241,"Yes"))</f>
        <v>0</v>
      </c>
      <c r="AC72">
        <f>IF(AC55="","",COUNTIFS(Summary!$E$5:$E$241,AC55,Summary!$D$5:$D$241,"&gt;="&amp;$A72,Summary!$D$5:$D$241,"&lt;"&amp;$A72+7,Summary!$G$5:$G$241,"Yes"))</f>
        <v>0</v>
      </c>
      <c r="AD72">
        <f>IF(AD55="","",COUNTIFS(Summary!$E$5:$E$241,AD55,Summary!$D$5:$D$241,"&gt;="&amp;$A72,Summary!$D$5:$D$241,"&lt;"&amp;$A72+7,Summary!$G$5:$G$241,"Yes"))</f>
        <v>0</v>
      </c>
      <c r="AE72">
        <f>IF(AE55="","",COUNTIFS(Summary!$E$5:$E$241,AE55,Summary!$D$5:$D$241,"&gt;="&amp;$A72,Summary!$D$5:$D$241,"&lt;"&amp;$A72+7,Summary!$G$5:$G$241,"Yes"))</f>
        <v>0</v>
      </c>
      <c r="AF72">
        <f>IF(AF55="","",COUNTIFS(Summary!$E$5:$E$241,AF55,Summary!$D$5:$D$241,"&gt;="&amp;$A72,Summary!$D$5:$D$241,"&lt;"&amp;$A72+7,Summary!$G$5:$G$241,"Yes"))</f>
        <v>0</v>
      </c>
      <c r="AG72">
        <f>IF(AG55="","",COUNTIFS(Summary!$E$5:$E$241,AG55,Summary!$D$5:$D$241,"&gt;="&amp;$A72,Summary!$D$5:$D$241,"&lt;"&amp;$A72+7,Summary!$G$5:$G$241,"Yes"))</f>
        <v>0</v>
      </c>
      <c r="AH72">
        <f>IF(AH55="","",COUNTIFS(Summary!$E$5:$E$241,AH55,Summary!$D$5:$D$241,"&gt;="&amp;$A72,Summary!$D$5:$D$241,"&lt;"&amp;$A72+7,Summary!$G$5:$G$241,"Yes"))</f>
        <v>0</v>
      </c>
      <c r="AI72">
        <f>IF(AI55="","",COUNTIFS(Summary!$E$5:$E$241,AI55,Summary!$D$5:$D$241,"&gt;="&amp;$A72,Summary!$D$5:$D$241,"&lt;"&amp;$A72+7,Summary!$G$5:$G$241,"Yes"))</f>
        <v>0</v>
      </c>
      <c r="AJ72">
        <f>IF(AJ55="","",COUNTIFS(Summary!$E$5:$E$241,AJ55,Summary!$D$5:$D$241,"&gt;="&amp;$A72,Summary!$D$5:$D$241,"&lt;"&amp;$A72+7,Summary!$G$5:$G$241,"Yes"))</f>
        <v>0</v>
      </c>
      <c r="AK72">
        <f>IF(AK55="","",COUNTIFS(Summary!$E$5:$E$241,AK55,Summary!$D$5:$D$241,"&gt;="&amp;$A72,Summary!$D$5:$D$241,"&lt;"&amp;$A72+7,Summary!$G$5:$G$241,"Yes"))</f>
        <v>0</v>
      </c>
      <c r="AL72">
        <f>IF(AL55="","",COUNTIFS(Summary!$E$5:$E$241,AL55,Summary!$D$5:$D$241,"&gt;="&amp;$A72,Summary!$D$5:$D$241,"&lt;"&amp;$A72+7,Summary!$G$5:$G$241,"Yes"))</f>
        <v>0</v>
      </c>
      <c r="AM72">
        <f>IF(AM55="","",COUNTIFS(Summary!$E$5:$E$241,AM55,Summary!$D$5:$D$241,"&gt;="&amp;$A72,Summary!$D$5:$D$241,"&lt;"&amp;$A72+7,Summary!$G$5:$G$241,"Yes"))</f>
        <v>0</v>
      </c>
      <c r="AN72">
        <f>IF(AN55="","",COUNTIFS(Summary!$E$5:$E$241,AN55,Summary!$D$5:$D$241,"&gt;="&amp;$A72,Summary!$D$5:$D$241,"&lt;"&amp;$A72+7,Summary!$G$5:$G$241,"Yes"))</f>
        <v>0</v>
      </c>
      <c r="AO72">
        <f>IF(AO55="","",COUNTIFS(Summary!$E$5:$E$241,AO55,Summary!$D$5:$D$241,"&gt;="&amp;$A72,Summary!$D$5:$D$241,"&lt;"&amp;$A72+7,Summary!$G$5:$G$241,"Yes"))</f>
        <v>0</v>
      </c>
      <c r="AP72">
        <f>IF(AP55="","",COUNTIFS(Summary!$E$5:$E$241,AP55,Summary!$D$5:$D$241,"&gt;="&amp;$A72,Summary!$D$5:$D$241,"&lt;"&amp;$A72+7,Summary!$G$5:$G$241,"Yes"))</f>
        <v>0</v>
      </c>
      <c r="AQ72">
        <f>IF(AQ55="","",COUNTIFS(Summary!$E$5:$E$241,AQ55,Summary!$D$5:$D$241,"&gt;="&amp;$A72,Summary!$D$5:$D$241,"&lt;"&amp;$A72+7,Summary!$G$5:$G$241,"Yes"))</f>
        <v>0</v>
      </c>
      <c r="AR72">
        <f>IF(AR55="","",COUNTIFS(Summary!$E$5:$E$241,AR55,Summary!$D$5:$D$241,"&gt;="&amp;$A72,Summary!$D$5:$D$241,"&lt;"&amp;$A72+7,Summary!$G$5:$G$241,"Yes"))</f>
        <v>0</v>
      </c>
      <c r="AS72">
        <f>IF(AS55="","",COUNTIFS(Summary!$E$5:$E$241,AS55,Summary!$D$5:$D$241,"&gt;="&amp;$A72,Summary!$D$5:$D$241,"&lt;"&amp;$A72+7,Summary!$G$5:$G$241,"Yes"))</f>
        <v>0</v>
      </c>
      <c r="AT72">
        <f>IF(AT55="","",COUNTIFS(Summary!$E$5:$E$241,AT55,Summary!$D$5:$D$241,"&gt;="&amp;$A72,Summary!$D$5:$D$241,"&lt;"&amp;$A72+7,Summary!$G$5:$G$241,"Yes"))</f>
        <v>0</v>
      </c>
      <c r="AU72">
        <f>IF(AU55="","",COUNTIFS(Summary!$E$5:$E$241,AU55,Summary!$D$5:$D$241,"&gt;="&amp;$A72,Summary!$D$5:$D$241,"&lt;"&amp;$A72+7,Summary!$G$5:$G$241,"Yes"))</f>
        <v>0</v>
      </c>
      <c r="AV72">
        <f>IF(AV55="","",COUNTIFS(Summary!$E$5:$E$241,AV55,Summary!$D$5:$D$241,"&gt;="&amp;$A72,Summary!$D$5:$D$241,"&lt;"&amp;$A72+7,Summary!$G$5:$G$241,"Yes"))</f>
        <v>0</v>
      </c>
      <c r="AW72">
        <f>IF(AW55="","",COUNTIFS(Summary!$E$5:$E$241,AW55,Summary!$D$5:$D$241,"&gt;="&amp;$A72,Summary!$D$5:$D$241,"&lt;"&amp;$A72+7,Summary!$G$5:$G$241,"Yes"))</f>
        <v>0</v>
      </c>
      <c r="AX72">
        <f>IF(AX55="","",COUNTIFS(Summary!$E$5:$E$241,AX55,Summary!$D$5:$D$241,"&gt;="&amp;$A72,Summary!$D$5:$D$241,"&lt;"&amp;$A72+7,Summary!$G$5:$G$241,"Yes"))</f>
        <v>0</v>
      </c>
      <c r="AY72">
        <f>IF(AY55="","",COUNTIFS(Summary!$E$5:$E$241,AY55,Summary!$D$5:$D$241,"&gt;="&amp;$A72,Summary!$D$5:$D$241,"&lt;"&amp;$A72+7,Summary!$G$5:$G$241,"Yes"))</f>
        <v>0</v>
      </c>
      <c r="AZ72">
        <f>IF(AZ55="","",COUNTIFS(Summary!$E$5:$E$241,AZ55,Summary!$D$5:$D$241,"&gt;="&amp;$A72,Summary!$D$5:$D$241,"&lt;"&amp;$A72+7,Summary!$G$5:$G$241,"Yes"))</f>
        <v>0</v>
      </c>
      <c r="BA72">
        <f>IF(BA55="","",COUNTIFS(Summary!$E$5:$E$241,BA55,Summary!$D$5:$D$241,"&gt;="&amp;$A72,Summary!$D$5:$D$241,"&lt;"&amp;$A72+7,Summary!$G$5:$G$241,"Yes"))</f>
        <v>0</v>
      </c>
      <c r="BB72">
        <f>IF(BB55="","",COUNTIFS(Summary!$E$5:$E$241,BB55,Summary!$D$5:$D$241,"&gt;="&amp;$A72,Summary!$D$5:$D$241,"&lt;"&amp;$A72+7,Summary!$G$5:$G$241,"Yes"))</f>
        <v>0</v>
      </c>
      <c r="BC72">
        <f>IF(BC55="","",COUNTIFS(Summary!$E$5:$E$241,BC55,Summary!$D$5:$D$241,"&gt;="&amp;$A72,Summary!$D$5:$D$241,"&lt;"&amp;$A72+7,Summary!$G$5:$G$241,"Yes"))</f>
        <v>0</v>
      </c>
      <c r="BD72">
        <f>IF(BD55="","",COUNTIFS(Summary!$E$5:$E$241,BD55,Summary!$D$5:$D$241,"&gt;="&amp;$A72,Summary!$D$5:$D$241,"&lt;"&amp;$A72+7,Summary!$G$5:$G$241,"Yes"))</f>
        <v>0</v>
      </c>
      <c r="BE72">
        <f>IF(BE55="","",COUNTIFS(Summary!$E$5:$E$241,BE55,Summary!$D$5:$D$241,"&gt;="&amp;$A72,Summary!$D$5:$D$241,"&lt;"&amp;$A72+7,Summary!$G$5:$G$241,"Yes"))</f>
        <v>0</v>
      </c>
      <c r="BF72" s="28">
        <f>IF(BF55="","",COUNTIFS(Summary!$E$5:$E$241,BF55,Summary!$D$5:$D$241,"&gt;="&amp;$A72,Summary!$D$5:$D$241,"&lt;"&amp;$A72+7,Summary!$G$5:$G$241,"Yes"))</f>
        <v>0</v>
      </c>
    </row>
    <row r="73" spans="1:58">
      <c r="A73" s="18">
        <f t="shared" si="5"/>
        <v>46202</v>
      </c>
      <c r="B73" s="2" t="str">
        <f t="shared" si="4"/>
        <v>Jun 29</v>
      </c>
      <c r="C73">
        <f>IF(C55="","",COUNTIFS(Summary!$E$5:$E$241,C55,Summary!$D$5:$D$241,"&gt;="&amp;$A73,Summary!$D$5:$D$241,"&lt;"&amp;$A73+7,Summary!$G$5:$G$241,"Yes"))</f>
        <v>0</v>
      </c>
      <c r="D73">
        <f>IF(D55="","",COUNTIFS(Summary!$E$5:$E$241,D55,Summary!$D$5:$D$241,"&gt;="&amp;$A73,Summary!$D$5:$D$241,"&lt;"&amp;$A73+7,Summary!$G$5:$G$241,"Yes"))</f>
        <v>0</v>
      </c>
      <c r="E73">
        <f>IF(E55="","",COUNTIFS(Summary!$E$5:$E$241,E55,Summary!$D$5:$D$241,"&gt;="&amp;$A73,Summary!$D$5:$D$241,"&lt;"&amp;$A73+7,Summary!$G$5:$G$241,"Yes"))</f>
        <v>0</v>
      </c>
      <c r="F73">
        <f>IF(F55="","",COUNTIFS(Summary!$E$5:$E$241,F55,Summary!$D$5:$D$241,"&gt;="&amp;$A73,Summary!$D$5:$D$241,"&lt;"&amp;$A73+7,Summary!$G$5:$G$241,"Yes"))</f>
        <v>0</v>
      </c>
      <c r="G73">
        <f>IF(G55="","",COUNTIFS(Summary!$E$5:$E$241,G55,Summary!$D$5:$D$241,"&gt;="&amp;$A73,Summary!$D$5:$D$241,"&lt;"&amp;$A73+7,Summary!$G$5:$G$241,"Yes"))</f>
        <v>1</v>
      </c>
      <c r="H73">
        <f>IF(H55="","",COUNTIFS(Summary!$E$5:$E$241,H55,Summary!$D$5:$D$241,"&gt;="&amp;$A73,Summary!$D$5:$D$241,"&lt;"&amp;$A73+7,Summary!$G$5:$G$241,"Yes"))</f>
        <v>0</v>
      </c>
      <c r="I73">
        <f>IF(I55="","",COUNTIFS(Summary!$E$5:$E$241,I55,Summary!$D$5:$D$241,"&gt;="&amp;$A73,Summary!$D$5:$D$241,"&lt;"&amp;$A73+7,Summary!$G$5:$G$241,"Yes"))</f>
        <v>0</v>
      </c>
      <c r="J73">
        <f>IF(J55="","",COUNTIFS(Summary!$E$5:$E$241,J55,Summary!$D$5:$D$241,"&gt;="&amp;$A73,Summary!$D$5:$D$241,"&lt;"&amp;$A73+7,Summary!$G$5:$G$241,"Yes"))</f>
        <v>0</v>
      </c>
      <c r="K73">
        <f>IF(K55="","",COUNTIFS(Summary!$E$5:$E$241,K55,Summary!$D$5:$D$241,"&gt;="&amp;$A73,Summary!$D$5:$D$241,"&lt;"&amp;$A73+7,Summary!$G$5:$G$241,"Yes"))</f>
        <v>1</v>
      </c>
      <c r="L73">
        <f>IF(L55="","",COUNTIFS(Summary!$E$5:$E$241,L55,Summary!$D$5:$D$241,"&gt;="&amp;$A73,Summary!$D$5:$D$241,"&lt;"&amp;$A73+7,Summary!$G$5:$G$241,"Yes"))</f>
        <v>1</v>
      </c>
      <c r="M73">
        <f>IF(M55="","",COUNTIFS(Summary!$E$5:$E$241,M55,Summary!$D$5:$D$241,"&gt;="&amp;$A73,Summary!$D$5:$D$241,"&lt;"&amp;$A73+7,Summary!$G$5:$G$241,"Yes"))</f>
        <v>0</v>
      </c>
      <c r="N73">
        <f>IF(N55="","",COUNTIFS(Summary!$E$5:$E$241,N55,Summary!$D$5:$D$241,"&gt;="&amp;$A73,Summary!$D$5:$D$241,"&lt;"&amp;$A73+7,Summary!$G$5:$G$241,"Yes"))</f>
        <v>0</v>
      </c>
      <c r="O73">
        <f>IF(O55="","",COUNTIFS(Summary!$E$5:$E$241,O55,Summary!$D$5:$D$241,"&gt;="&amp;$A73,Summary!$D$5:$D$241,"&lt;"&amp;$A73+7,Summary!$G$5:$G$241,"Yes"))</f>
        <v>0</v>
      </c>
      <c r="P73">
        <f>IF(P55="","",COUNTIFS(Summary!$E$5:$E$241,P55,Summary!$D$5:$D$241,"&gt;="&amp;$A73,Summary!$D$5:$D$241,"&lt;"&amp;$A73+7,Summary!$G$5:$G$241,"Yes"))</f>
        <v>0</v>
      </c>
      <c r="Q73">
        <f>IF(Q55="","",COUNTIFS(Summary!$E$5:$E$241,Q55,Summary!$D$5:$D$241,"&gt;="&amp;$A73,Summary!$D$5:$D$241,"&lt;"&amp;$A73+7,Summary!$G$5:$G$241,"Yes"))</f>
        <v>0</v>
      </c>
      <c r="R73">
        <f>IF(R55="","",COUNTIFS(Summary!$E$5:$E$241,R55,Summary!$D$5:$D$241,"&gt;="&amp;$A73,Summary!$D$5:$D$241,"&lt;"&amp;$A73+7,Summary!$G$5:$G$241,"Yes"))</f>
        <v>0</v>
      </c>
      <c r="S73">
        <f>IF(S55="","",COUNTIFS(Summary!$E$5:$E$241,S55,Summary!$D$5:$D$241,"&gt;="&amp;$A73,Summary!$D$5:$D$241,"&lt;"&amp;$A73+7,Summary!$G$5:$G$241,"Yes"))</f>
        <v>0</v>
      </c>
      <c r="T73">
        <f>IF(T55="","",COUNTIFS(Summary!$E$5:$E$241,T55,Summary!$D$5:$D$241,"&gt;="&amp;$A73,Summary!$D$5:$D$241,"&lt;"&amp;$A73+7,Summary!$G$5:$G$241,"Yes"))</f>
        <v>0</v>
      </c>
      <c r="U73">
        <f>IF(U55="","",COUNTIFS(Summary!$E$5:$E$241,U55,Summary!$D$5:$D$241,"&gt;="&amp;$A73,Summary!$D$5:$D$241,"&lt;"&amp;$A73+7,Summary!$G$5:$G$241,"Yes"))</f>
        <v>0</v>
      </c>
      <c r="V73">
        <f>IF(V55="","",COUNTIFS(Summary!$E$5:$E$241,V55,Summary!$D$5:$D$241,"&gt;="&amp;$A73,Summary!$D$5:$D$241,"&lt;"&amp;$A73+7,Summary!$G$5:$G$241,"Yes"))</f>
        <v>0</v>
      </c>
      <c r="W73">
        <f>IF(W55="","",COUNTIFS(Summary!$E$5:$E$241,W55,Summary!$D$5:$D$241,"&gt;="&amp;$A73,Summary!$D$5:$D$241,"&lt;"&amp;$A73+7,Summary!$G$5:$G$241,"Yes"))</f>
        <v>0</v>
      </c>
      <c r="X73">
        <f>IF(X55="","",COUNTIFS(Summary!$E$5:$E$241,X55,Summary!$D$5:$D$241,"&gt;="&amp;$A73,Summary!$D$5:$D$241,"&lt;"&amp;$A73+7,Summary!$G$5:$G$241,"Yes"))</f>
        <v>0</v>
      </c>
      <c r="Y73">
        <f>IF(Y55="","",COUNTIFS(Summary!$E$5:$E$241,Y55,Summary!$D$5:$D$241,"&gt;="&amp;$A73,Summary!$D$5:$D$241,"&lt;"&amp;$A73+7,Summary!$G$5:$G$241,"Yes"))</f>
        <v>0</v>
      </c>
      <c r="Z73">
        <f>IF(Z55="","",COUNTIFS(Summary!$E$5:$E$241,Z55,Summary!$D$5:$D$241,"&gt;="&amp;$A73,Summary!$D$5:$D$241,"&lt;"&amp;$A73+7,Summary!$G$5:$G$241,"Yes"))</f>
        <v>0</v>
      </c>
      <c r="AA73">
        <f>IF(AA55="","",COUNTIFS(Summary!$E$5:$E$241,AA55,Summary!$D$5:$D$241,"&gt;="&amp;$A73,Summary!$D$5:$D$241,"&lt;"&amp;$A73+7,Summary!$G$5:$G$241,"Yes"))</f>
        <v>0</v>
      </c>
      <c r="AB73">
        <f>IF(AB55="","",COUNTIFS(Summary!$E$5:$E$241,AB55,Summary!$D$5:$D$241,"&gt;="&amp;$A73,Summary!$D$5:$D$241,"&lt;"&amp;$A73+7,Summary!$G$5:$G$241,"Yes"))</f>
        <v>0</v>
      </c>
      <c r="AC73">
        <f>IF(AC55="","",COUNTIFS(Summary!$E$5:$E$241,AC55,Summary!$D$5:$D$241,"&gt;="&amp;$A73,Summary!$D$5:$D$241,"&lt;"&amp;$A73+7,Summary!$G$5:$G$241,"Yes"))</f>
        <v>0</v>
      </c>
      <c r="AD73">
        <f>IF(AD55="","",COUNTIFS(Summary!$E$5:$E$241,AD55,Summary!$D$5:$D$241,"&gt;="&amp;$A73,Summary!$D$5:$D$241,"&lt;"&amp;$A73+7,Summary!$G$5:$G$241,"Yes"))</f>
        <v>0</v>
      </c>
      <c r="AE73">
        <f>IF(AE55="","",COUNTIFS(Summary!$E$5:$E$241,AE55,Summary!$D$5:$D$241,"&gt;="&amp;$A73,Summary!$D$5:$D$241,"&lt;"&amp;$A73+7,Summary!$G$5:$G$241,"Yes"))</f>
        <v>0</v>
      </c>
      <c r="AF73">
        <f>IF(AF55="","",COUNTIFS(Summary!$E$5:$E$241,AF55,Summary!$D$5:$D$241,"&gt;="&amp;$A73,Summary!$D$5:$D$241,"&lt;"&amp;$A73+7,Summary!$G$5:$G$241,"Yes"))</f>
        <v>0</v>
      </c>
      <c r="AG73">
        <f>IF(AG55="","",COUNTIFS(Summary!$E$5:$E$241,AG55,Summary!$D$5:$D$241,"&gt;="&amp;$A73,Summary!$D$5:$D$241,"&lt;"&amp;$A73+7,Summary!$G$5:$G$241,"Yes"))</f>
        <v>0</v>
      </c>
      <c r="AH73">
        <f>IF(AH55="","",COUNTIFS(Summary!$E$5:$E$241,AH55,Summary!$D$5:$D$241,"&gt;="&amp;$A73,Summary!$D$5:$D$241,"&lt;"&amp;$A73+7,Summary!$G$5:$G$241,"Yes"))</f>
        <v>0</v>
      </c>
      <c r="AI73">
        <f>IF(AI55="","",COUNTIFS(Summary!$E$5:$E$241,AI55,Summary!$D$5:$D$241,"&gt;="&amp;$A73,Summary!$D$5:$D$241,"&lt;"&amp;$A73+7,Summary!$G$5:$G$241,"Yes"))</f>
        <v>0</v>
      </c>
      <c r="AJ73">
        <f>IF(AJ55="","",COUNTIFS(Summary!$E$5:$E$241,AJ55,Summary!$D$5:$D$241,"&gt;="&amp;$A73,Summary!$D$5:$D$241,"&lt;"&amp;$A73+7,Summary!$G$5:$G$241,"Yes"))</f>
        <v>0</v>
      </c>
      <c r="AK73">
        <f>IF(AK55="","",COUNTIFS(Summary!$E$5:$E$241,AK55,Summary!$D$5:$D$241,"&gt;="&amp;$A73,Summary!$D$5:$D$241,"&lt;"&amp;$A73+7,Summary!$G$5:$G$241,"Yes"))</f>
        <v>0</v>
      </c>
      <c r="AL73">
        <f>IF(AL55="","",COUNTIFS(Summary!$E$5:$E$241,AL55,Summary!$D$5:$D$241,"&gt;="&amp;$A73,Summary!$D$5:$D$241,"&lt;"&amp;$A73+7,Summary!$G$5:$G$241,"Yes"))</f>
        <v>0</v>
      </c>
      <c r="AM73">
        <f>IF(AM55="","",COUNTIFS(Summary!$E$5:$E$241,AM55,Summary!$D$5:$D$241,"&gt;="&amp;$A73,Summary!$D$5:$D$241,"&lt;"&amp;$A73+7,Summary!$G$5:$G$241,"Yes"))</f>
        <v>0</v>
      </c>
      <c r="AN73">
        <f>IF(AN55="","",COUNTIFS(Summary!$E$5:$E$241,AN55,Summary!$D$5:$D$241,"&gt;="&amp;$A73,Summary!$D$5:$D$241,"&lt;"&amp;$A73+7,Summary!$G$5:$G$241,"Yes"))</f>
        <v>0</v>
      </c>
      <c r="AO73">
        <f>IF(AO55="","",COUNTIFS(Summary!$E$5:$E$241,AO55,Summary!$D$5:$D$241,"&gt;="&amp;$A73,Summary!$D$5:$D$241,"&lt;"&amp;$A73+7,Summary!$G$5:$G$241,"Yes"))</f>
        <v>0</v>
      </c>
      <c r="AP73">
        <f>IF(AP55="","",COUNTIFS(Summary!$E$5:$E$241,AP55,Summary!$D$5:$D$241,"&gt;="&amp;$A73,Summary!$D$5:$D$241,"&lt;"&amp;$A73+7,Summary!$G$5:$G$241,"Yes"))</f>
        <v>0</v>
      </c>
      <c r="AQ73">
        <f>IF(AQ55="","",COUNTIFS(Summary!$E$5:$E$241,AQ55,Summary!$D$5:$D$241,"&gt;="&amp;$A73,Summary!$D$5:$D$241,"&lt;"&amp;$A73+7,Summary!$G$5:$G$241,"Yes"))</f>
        <v>0</v>
      </c>
      <c r="AR73">
        <f>IF(AR55="","",COUNTIFS(Summary!$E$5:$E$241,AR55,Summary!$D$5:$D$241,"&gt;="&amp;$A73,Summary!$D$5:$D$241,"&lt;"&amp;$A73+7,Summary!$G$5:$G$241,"Yes"))</f>
        <v>0</v>
      </c>
      <c r="AS73">
        <f>IF(AS55="","",COUNTIFS(Summary!$E$5:$E$241,AS55,Summary!$D$5:$D$241,"&gt;="&amp;$A73,Summary!$D$5:$D$241,"&lt;"&amp;$A73+7,Summary!$G$5:$G$241,"Yes"))</f>
        <v>0</v>
      </c>
      <c r="AT73">
        <f>IF(AT55="","",COUNTIFS(Summary!$E$5:$E$241,AT55,Summary!$D$5:$D$241,"&gt;="&amp;$A73,Summary!$D$5:$D$241,"&lt;"&amp;$A73+7,Summary!$G$5:$G$241,"Yes"))</f>
        <v>0</v>
      </c>
      <c r="AU73">
        <f>IF(AU55="","",COUNTIFS(Summary!$E$5:$E$241,AU55,Summary!$D$5:$D$241,"&gt;="&amp;$A73,Summary!$D$5:$D$241,"&lt;"&amp;$A73+7,Summary!$G$5:$G$241,"Yes"))</f>
        <v>0</v>
      </c>
      <c r="AV73">
        <f>IF(AV55="","",COUNTIFS(Summary!$E$5:$E$241,AV55,Summary!$D$5:$D$241,"&gt;="&amp;$A73,Summary!$D$5:$D$241,"&lt;"&amp;$A73+7,Summary!$G$5:$G$241,"Yes"))</f>
        <v>0</v>
      </c>
      <c r="AW73">
        <f>IF(AW55="","",COUNTIFS(Summary!$E$5:$E$241,AW55,Summary!$D$5:$D$241,"&gt;="&amp;$A73,Summary!$D$5:$D$241,"&lt;"&amp;$A73+7,Summary!$G$5:$G$241,"Yes"))</f>
        <v>0</v>
      </c>
      <c r="AX73">
        <f>IF(AX55="","",COUNTIFS(Summary!$E$5:$E$241,AX55,Summary!$D$5:$D$241,"&gt;="&amp;$A73,Summary!$D$5:$D$241,"&lt;"&amp;$A73+7,Summary!$G$5:$G$241,"Yes"))</f>
        <v>0</v>
      </c>
      <c r="AY73">
        <f>IF(AY55="","",COUNTIFS(Summary!$E$5:$E$241,AY55,Summary!$D$5:$D$241,"&gt;="&amp;$A73,Summary!$D$5:$D$241,"&lt;"&amp;$A73+7,Summary!$G$5:$G$241,"Yes"))</f>
        <v>0</v>
      </c>
      <c r="AZ73">
        <f>IF(AZ55="","",COUNTIFS(Summary!$E$5:$E$241,AZ55,Summary!$D$5:$D$241,"&gt;="&amp;$A73,Summary!$D$5:$D$241,"&lt;"&amp;$A73+7,Summary!$G$5:$G$241,"Yes"))</f>
        <v>0</v>
      </c>
      <c r="BA73">
        <f>IF(BA55="","",COUNTIFS(Summary!$E$5:$E$241,BA55,Summary!$D$5:$D$241,"&gt;="&amp;$A73,Summary!$D$5:$D$241,"&lt;"&amp;$A73+7,Summary!$G$5:$G$241,"Yes"))</f>
        <v>0</v>
      </c>
      <c r="BB73">
        <f>IF(BB55="","",COUNTIFS(Summary!$E$5:$E$241,BB55,Summary!$D$5:$D$241,"&gt;="&amp;$A73,Summary!$D$5:$D$241,"&lt;"&amp;$A73+7,Summary!$G$5:$G$241,"Yes"))</f>
        <v>0</v>
      </c>
      <c r="BC73">
        <f>IF(BC55="","",COUNTIFS(Summary!$E$5:$E$241,BC55,Summary!$D$5:$D$241,"&gt;="&amp;$A73,Summary!$D$5:$D$241,"&lt;"&amp;$A73+7,Summary!$G$5:$G$241,"Yes"))</f>
        <v>0</v>
      </c>
      <c r="BD73">
        <f>IF(BD55="","",COUNTIFS(Summary!$E$5:$E$241,BD55,Summary!$D$5:$D$241,"&gt;="&amp;$A73,Summary!$D$5:$D$241,"&lt;"&amp;$A73+7,Summary!$G$5:$G$241,"Yes"))</f>
        <v>0</v>
      </c>
      <c r="BE73">
        <f>IF(BE55="","",COUNTIFS(Summary!$E$5:$E$241,BE55,Summary!$D$5:$D$241,"&gt;="&amp;$A73,Summary!$D$5:$D$241,"&lt;"&amp;$A73+7,Summary!$G$5:$G$241,"Yes"))</f>
        <v>0</v>
      </c>
      <c r="BF73" s="28">
        <f>IF(BF55="","",COUNTIFS(Summary!$E$5:$E$241,BF55,Summary!$D$5:$D$241,"&gt;="&amp;$A73,Summary!$D$5:$D$241,"&lt;"&amp;$A73+7,Summary!$G$5:$G$241,"Yes"))</f>
        <v>0</v>
      </c>
    </row>
    <row r="74" spans="1:58">
      <c r="A74" s="18">
        <f t="shared" si="5"/>
        <v>46209</v>
      </c>
      <c r="B74" s="2" t="str">
        <f t="shared" si="4"/>
        <v>Jul 6</v>
      </c>
      <c r="C74">
        <f>IF(C55="","",COUNTIFS(Summary!$E$5:$E$241,C55,Summary!$D$5:$D$241,"&gt;="&amp;$A74,Summary!$D$5:$D$241,"&lt;"&amp;$A74+7,Summary!$G$5:$G$241,"Yes"))</f>
        <v>0</v>
      </c>
      <c r="D74">
        <f>IF(D55="","",COUNTIFS(Summary!$E$5:$E$241,D55,Summary!$D$5:$D$241,"&gt;="&amp;$A74,Summary!$D$5:$D$241,"&lt;"&amp;$A74+7,Summary!$G$5:$G$241,"Yes"))</f>
        <v>0</v>
      </c>
      <c r="E74">
        <f>IF(E55="","",COUNTIFS(Summary!$E$5:$E$241,E55,Summary!$D$5:$D$241,"&gt;="&amp;$A74,Summary!$D$5:$D$241,"&lt;"&amp;$A74+7,Summary!$G$5:$G$241,"Yes"))</f>
        <v>0</v>
      </c>
      <c r="F74">
        <f>IF(F55="","",COUNTIFS(Summary!$E$5:$E$241,F55,Summary!$D$5:$D$241,"&gt;="&amp;$A74,Summary!$D$5:$D$241,"&lt;"&amp;$A74+7,Summary!$G$5:$G$241,"Yes"))</f>
        <v>0</v>
      </c>
      <c r="G74">
        <f>IF(G55="","",COUNTIFS(Summary!$E$5:$E$241,G55,Summary!$D$5:$D$241,"&gt;="&amp;$A74,Summary!$D$5:$D$241,"&lt;"&amp;$A74+7,Summary!$G$5:$G$241,"Yes"))</f>
        <v>0</v>
      </c>
      <c r="H74">
        <f>IF(H55="","",COUNTIFS(Summary!$E$5:$E$241,H55,Summary!$D$5:$D$241,"&gt;="&amp;$A74,Summary!$D$5:$D$241,"&lt;"&amp;$A74+7,Summary!$G$5:$G$241,"Yes"))</f>
        <v>1</v>
      </c>
      <c r="I74">
        <f>IF(I55="","",COUNTIFS(Summary!$E$5:$E$241,I55,Summary!$D$5:$D$241,"&gt;="&amp;$A74,Summary!$D$5:$D$241,"&lt;"&amp;$A74+7,Summary!$G$5:$G$241,"Yes"))</f>
        <v>0</v>
      </c>
      <c r="J74">
        <f>IF(J55="","",COUNTIFS(Summary!$E$5:$E$241,J55,Summary!$D$5:$D$241,"&gt;="&amp;$A74,Summary!$D$5:$D$241,"&lt;"&amp;$A74+7,Summary!$G$5:$G$241,"Yes"))</f>
        <v>0</v>
      </c>
      <c r="K74">
        <f>IF(K55="","",COUNTIFS(Summary!$E$5:$E$241,K55,Summary!$D$5:$D$241,"&gt;="&amp;$A74,Summary!$D$5:$D$241,"&lt;"&amp;$A74+7,Summary!$G$5:$G$241,"Yes"))</f>
        <v>0</v>
      </c>
      <c r="L74">
        <f>IF(L55="","",COUNTIFS(Summary!$E$5:$E$241,L55,Summary!$D$5:$D$241,"&gt;="&amp;$A74,Summary!$D$5:$D$241,"&lt;"&amp;$A74+7,Summary!$G$5:$G$241,"Yes"))</f>
        <v>0</v>
      </c>
      <c r="M74">
        <f>IF(M55="","",COUNTIFS(Summary!$E$5:$E$241,M55,Summary!$D$5:$D$241,"&gt;="&amp;$A74,Summary!$D$5:$D$241,"&lt;"&amp;$A74+7,Summary!$G$5:$G$241,"Yes"))</f>
        <v>2</v>
      </c>
      <c r="N74">
        <f>IF(N55="","",COUNTIFS(Summary!$E$5:$E$241,N55,Summary!$D$5:$D$241,"&gt;="&amp;$A74,Summary!$D$5:$D$241,"&lt;"&amp;$A74+7,Summary!$G$5:$G$241,"Yes"))</f>
        <v>0</v>
      </c>
      <c r="O74">
        <f>IF(O55="","",COUNTIFS(Summary!$E$5:$E$241,O55,Summary!$D$5:$D$241,"&gt;="&amp;$A74,Summary!$D$5:$D$241,"&lt;"&amp;$A74+7,Summary!$G$5:$G$241,"Yes"))</f>
        <v>0</v>
      </c>
      <c r="P74">
        <f>IF(P55="","",COUNTIFS(Summary!$E$5:$E$241,P55,Summary!$D$5:$D$241,"&gt;="&amp;$A74,Summary!$D$5:$D$241,"&lt;"&amp;$A74+7,Summary!$G$5:$G$241,"Yes"))</f>
        <v>0</v>
      </c>
      <c r="Q74">
        <f>IF(Q55="","",COUNTIFS(Summary!$E$5:$E$241,Q55,Summary!$D$5:$D$241,"&gt;="&amp;$A74,Summary!$D$5:$D$241,"&lt;"&amp;$A74+7,Summary!$G$5:$G$241,"Yes"))</f>
        <v>0</v>
      </c>
      <c r="R74">
        <f>IF(R55="","",COUNTIFS(Summary!$E$5:$E$241,R55,Summary!$D$5:$D$241,"&gt;="&amp;$A74,Summary!$D$5:$D$241,"&lt;"&amp;$A74+7,Summary!$G$5:$G$241,"Yes"))</f>
        <v>0</v>
      </c>
      <c r="S74">
        <f>IF(S55="","",COUNTIFS(Summary!$E$5:$E$241,S55,Summary!$D$5:$D$241,"&gt;="&amp;$A74,Summary!$D$5:$D$241,"&lt;"&amp;$A74+7,Summary!$G$5:$G$241,"Yes"))</f>
        <v>0</v>
      </c>
      <c r="T74">
        <f>IF(T55="","",COUNTIFS(Summary!$E$5:$E$241,T55,Summary!$D$5:$D$241,"&gt;="&amp;$A74,Summary!$D$5:$D$241,"&lt;"&amp;$A74+7,Summary!$G$5:$G$241,"Yes"))</f>
        <v>0</v>
      </c>
      <c r="U74">
        <f>IF(U55="","",COUNTIFS(Summary!$E$5:$E$241,U55,Summary!$D$5:$D$241,"&gt;="&amp;$A74,Summary!$D$5:$D$241,"&lt;"&amp;$A74+7,Summary!$G$5:$G$241,"Yes"))</f>
        <v>0</v>
      </c>
      <c r="V74">
        <f>IF(V55="","",COUNTIFS(Summary!$E$5:$E$241,V55,Summary!$D$5:$D$241,"&gt;="&amp;$A74,Summary!$D$5:$D$241,"&lt;"&amp;$A74+7,Summary!$G$5:$G$241,"Yes"))</f>
        <v>0</v>
      </c>
      <c r="W74">
        <f>IF(W55="","",COUNTIFS(Summary!$E$5:$E$241,W55,Summary!$D$5:$D$241,"&gt;="&amp;$A74,Summary!$D$5:$D$241,"&lt;"&amp;$A74+7,Summary!$G$5:$G$241,"Yes"))</f>
        <v>0</v>
      </c>
      <c r="X74">
        <f>IF(X55="","",COUNTIFS(Summary!$E$5:$E$241,X55,Summary!$D$5:$D$241,"&gt;="&amp;$A74,Summary!$D$5:$D$241,"&lt;"&amp;$A74+7,Summary!$G$5:$G$241,"Yes"))</f>
        <v>0</v>
      </c>
      <c r="Y74">
        <f>IF(Y55="","",COUNTIFS(Summary!$E$5:$E$241,Y55,Summary!$D$5:$D$241,"&gt;="&amp;$A74,Summary!$D$5:$D$241,"&lt;"&amp;$A74+7,Summary!$G$5:$G$241,"Yes"))</f>
        <v>1</v>
      </c>
      <c r="Z74">
        <f>IF(Z55="","",COUNTIFS(Summary!$E$5:$E$241,Z55,Summary!$D$5:$D$241,"&gt;="&amp;$A74,Summary!$D$5:$D$241,"&lt;"&amp;$A74+7,Summary!$G$5:$G$241,"Yes"))</f>
        <v>0</v>
      </c>
      <c r="AA74">
        <f>IF(AA55="","",COUNTIFS(Summary!$E$5:$E$241,AA55,Summary!$D$5:$D$241,"&gt;="&amp;$A74,Summary!$D$5:$D$241,"&lt;"&amp;$A74+7,Summary!$G$5:$G$241,"Yes"))</f>
        <v>0</v>
      </c>
      <c r="AB74">
        <f>IF(AB55="","",COUNTIFS(Summary!$E$5:$E$241,AB55,Summary!$D$5:$D$241,"&gt;="&amp;$A74,Summary!$D$5:$D$241,"&lt;"&amp;$A74+7,Summary!$G$5:$G$241,"Yes"))</f>
        <v>0</v>
      </c>
      <c r="AC74">
        <f>IF(AC55="","",COUNTIFS(Summary!$E$5:$E$241,AC55,Summary!$D$5:$D$241,"&gt;="&amp;$A74,Summary!$D$5:$D$241,"&lt;"&amp;$A74+7,Summary!$G$5:$G$241,"Yes"))</f>
        <v>0</v>
      </c>
      <c r="AD74">
        <f>IF(AD55="","",COUNTIFS(Summary!$E$5:$E$241,AD55,Summary!$D$5:$D$241,"&gt;="&amp;$A74,Summary!$D$5:$D$241,"&lt;"&amp;$A74+7,Summary!$G$5:$G$241,"Yes"))</f>
        <v>0</v>
      </c>
      <c r="AE74">
        <f>IF(AE55="","",COUNTIFS(Summary!$E$5:$E$241,AE55,Summary!$D$5:$D$241,"&gt;="&amp;$A74,Summary!$D$5:$D$241,"&lt;"&amp;$A74+7,Summary!$G$5:$G$241,"Yes"))</f>
        <v>0</v>
      </c>
      <c r="AF74">
        <f>IF(AF55="","",COUNTIFS(Summary!$E$5:$E$241,AF55,Summary!$D$5:$D$241,"&gt;="&amp;$A74,Summary!$D$5:$D$241,"&lt;"&amp;$A74+7,Summary!$G$5:$G$241,"Yes"))</f>
        <v>0</v>
      </c>
      <c r="AG74">
        <f>IF(AG55="","",COUNTIFS(Summary!$E$5:$E$241,AG55,Summary!$D$5:$D$241,"&gt;="&amp;$A74,Summary!$D$5:$D$241,"&lt;"&amp;$A74+7,Summary!$G$5:$G$241,"Yes"))</f>
        <v>0</v>
      </c>
      <c r="AH74">
        <f>IF(AH55="","",COUNTIFS(Summary!$E$5:$E$241,AH55,Summary!$D$5:$D$241,"&gt;="&amp;$A74,Summary!$D$5:$D$241,"&lt;"&amp;$A74+7,Summary!$G$5:$G$241,"Yes"))</f>
        <v>0</v>
      </c>
      <c r="AI74">
        <f>IF(AI55="","",COUNTIFS(Summary!$E$5:$E$241,AI55,Summary!$D$5:$D$241,"&gt;="&amp;$A74,Summary!$D$5:$D$241,"&lt;"&amp;$A74+7,Summary!$G$5:$G$241,"Yes"))</f>
        <v>0</v>
      </c>
      <c r="AJ74">
        <f>IF(AJ55="","",COUNTIFS(Summary!$E$5:$E$241,AJ55,Summary!$D$5:$D$241,"&gt;="&amp;$A74,Summary!$D$5:$D$241,"&lt;"&amp;$A74+7,Summary!$G$5:$G$241,"Yes"))</f>
        <v>0</v>
      </c>
      <c r="AK74">
        <f>IF(AK55="","",COUNTIFS(Summary!$E$5:$E$241,AK55,Summary!$D$5:$D$241,"&gt;="&amp;$A74,Summary!$D$5:$D$241,"&lt;"&amp;$A74+7,Summary!$G$5:$G$241,"Yes"))</f>
        <v>0</v>
      </c>
      <c r="AL74">
        <f>IF(AL55="","",COUNTIFS(Summary!$E$5:$E$241,AL55,Summary!$D$5:$D$241,"&gt;="&amp;$A74,Summary!$D$5:$D$241,"&lt;"&amp;$A74+7,Summary!$G$5:$G$241,"Yes"))</f>
        <v>0</v>
      </c>
      <c r="AM74">
        <f>IF(AM55="","",COUNTIFS(Summary!$E$5:$E$241,AM55,Summary!$D$5:$D$241,"&gt;="&amp;$A74,Summary!$D$5:$D$241,"&lt;"&amp;$A74+7,Summary!$G$5:$G$241,"Yes"))</f>
        <v>0</v>
      </c>
      <c r="AN74">
        <f>IF(AN55="","",COUNTIFS(Summary!$E$5:$E$241,AN55,Summary!$D$5:$D$241,"&gt;="&amp;$A74,Summary!$D$5:$D$241,"&lt;"&amp;$A74+7,Summary!$G$5:$G$241,"Yes"))</f>
        <v>0</v>
      </c>
      <c r="AO74">
        <f>IF(AO55="","",COUNTIFS(Summary!$E$5:$E$241,AO55,Summary!$D$5:$D$241,"&gt;="&amp;$A74,Summary!$D$5:$D$241,"&lt;"&amp;$A74+7,Summary!$G$5:$G$241,"Yes"))</f>
        <v>0</v>
      </c>
      <c r="AP74">
        <f>IF(AP55="","",COUNTIFS(Summary!$E$5:$E$241,AP55,Summary!$D$5:$D$241,"&gt;="&amp;$A74,Summary!$D$5:$D$241,"&lt;"&amp;$A74+7,Summary!$G$5:$G$241,"Yes"))</f>
        <v>0</v>
      </c>
      <c r="AQ74">
        <f>IF(AQ55="","",COUNTIFS(Summary!$E$5:$E$241,AQ55,Summary!$D$5:$D$241,"&gt;="&amp;$A74,Summary!$D$5:$D$241,"&lt;"&amp;$A74+7,Summary!$G$5:$G$241,"Yes"))</f>
        <v>0</v>
      </c>
      <c r="AR74">
        <f>IF(AR55="","",COUNTIFS(Summary!$E$5:$E$241,AR55,Summary!$D$5:$D$241,"&gt;="&amp;$A74,Summary!$D$5:$D$241,"&lt;"&amp;$A74+7,Summary!$G$5:$G$241,"Yes"))</f>
        <v>0</v>
      </c>
      <c r="AS74">
        <f>IF(AS55="","",COUNTIFS(Summary!$E$5:$E$241,AS55,Summary!$D$5:$D$241,"&gt;="&amp;$A74,Summary!$D$5:$D$241,"&lt;"&amp;$A74+7,Summary!$G$5:$G$241,"Yes"))</f>
        <v>0</v>
      </c>
      <c r="AT74">
        <f>IF(AT55="","",COUNTIFS(Summary!$E$5:$E$241,AT55,Summary!$D$5:$D$241,"&gt;="&amp;$A74,Summary!$D$5:$D$241,"&lt;"&amp;$A74+7,Summary!$G$5:$G$241,"Yes"))</f>
        <v>0</v>
      </c>
      <c r="AU74">
        <f>IF(AU55="","",COUNTIFS(Summary!$E$5:$E$241,AU55,Summary!$D$5:$D$241,"&gt;="&amp;$A74,Summary!$D$5:$D$241,"&lt;"&amp;$A74+7,Summary!$G$5:$G$241,"Yes"))</f>
        <v>0</v>
      </c>
      <c r="AV74">
        <f>IF(AV55="","",COUNTIFS(Summary!$E$5:$E$241,AV55,Summary!$D$5:$D$241,"&gt;="&amp;$A74,Summary!$D$5:$D$241,"&lt;"&amp;$A74+7,Summary!$G$5:$G$241,"Yes"))</f>
        <v>0</v>
      </c>
      <c r="AW74">
        <f>IF(AW55="","",COUNTIFS(Summary!$E$5:$E$241,AW55,Summary!$D$5:$D$241,"&gt;="&amp;$A74,Summary!$D$5:$D$241,"&lt;"&amp;$A74+7,Summary!$G$5:$G$241,"Yes"))</f>
        <v>0</v>
      </c>
      <c r="AX74">
        <f>IF(AX55="","",COUNTIFS(Summary!$E$5:$E$241,AX55,Summary!$D$5:$D$241,"&gt;="&amp;$A74,Summary!$D$5:$D$241,"&lt;"&amp;$A74+7,Summary!$G$5:$G$241,"Yes"))</f>
        <v>0</v>
      </c>
      <c r="AY74">
        <f>IF(AY55="","",COUNTIFS(Summary!$E$5:$E$241,AY55,Summary!$D$5:$D$241,"&gt;="&amp;$A74,Summary!$D$5:$D$241,"&lt;"&amp;$A74+7,Summary!$G$5:$G$241,"Yes"))</f>
        <v>0</v>
      </c>
      <c r="AZ74">
        <f>IF(AZ55="","",COUNTIFS(Summary!$E$5:$E$241,AZ55,Summary!$D$5:$D$241,"&gt;="&amp;$A74,Summary!$D$5:$D$241,"&lt;"&amp;$A74+7,Summary!$G$5:$G$241,"Yes"))</f>
        <v>0</v>
      </c>
      <c r="BA74">
        <f>IF(BA55="","",COUNTIFS(Summary!$E$5:$E$241,BA55,Summary!$D$5:$D$241,"&gt;="&amp;$A74,Summary!$D$5:$D$241,"&lt;"&amp;$A74+7,Summary!$G$5:$G$241,"Yes"))</f>
        <v>0</v>
      </c>
      <c r="BB74">
        <f>IF(BB55="","",COUNTIFS(Summary!$E$5:$E$241,BB55,Summary!$D$5:$D$241,"&gt;="&amp;$A74,Summary!$D$5:$D$241,"&lt;"&amp;$A74+7,Summary!$G$5:$G$241,"Yes"))</f>
        <v>0</v>
      </c>
      <c r="BC74">
        <f>IF(BC55="","",COUNTIFS(Summary!$E$5:$E$241,BC55,Summary!$D$5:$D$241,"&gt;="&amp;$A74,Summary!$D$5:$D$241,"&lt;"&amp;$A74+7,Summary!$G$5:$G$241,"Yes"))</f>
        <v>0</v>
      </c>
      <c r="BD74">
        <f>IF(BD55="","",COUNTIFS(Summary!$E$5:$E$241,BD55,Summary!$D$5:$D$241,"&gt;="&amp;$A74,Summary!$D$5:$D$241,"&lt;"&amp;$A74+7,Summary!$G$5:$G$241,"Yes"))</f>
        <v>0</v>
      </c>
      <c r="BE74">
        <f>IF(BE55="","",COUNTIFS(Summary!$E$5:$E$241,BE55,Summary!$D$5:$D$241,"&gt;="&amp;$A74,Summary!$D$5:$D$241,"&lt;"&amp;$A74+7,Summary!$G$5:$G$241,"Yes"))</f>
        <v>0</v>
      </c>
      <c r="BF74" s="28">
        <f>IF(BF55="","",COUNTIFS(Summary!$E$5:$E$241,BF55,Summary!$D$5:$D$241,"&gt;="&amp;$A74,Summary!$D$5:$D$241,"&lt;"&amp;$A74+7,Summary!$G$5:$G$241,"Yes"))</f>
        <v>0</v>
      </c>
    </row>
    <row r="75" spans="1:58">
      <c r="A75" s="18">
        <f t="shared" si="5"/>
        <v>46216</v>
      </c>
      <c r="B75" s="2" t="str">
        <f t="shared" si="4"/>
        <v>Jul 13</v>
      </c>
      <c r="C75">
        <f>IF(C55="","",COUNTIFS(Summary!$E$5:$E$241,C55,Summary!$D$5:$D$241,"&gt;="&amp;$A75,Summary!$D$5:$D$241,"&lt;"&amp;$A75+7,Summary!$G$5:$G$241,"Yes"))</f>
        <v>0</v>
      </c>
      <c r="D75">
        <f>IF(D55="","",COUNTIFS(Summary!$E$5:$E$241,D55,Summary!$D$5:$D$241,"&gt;="&amp;$A75,Summary!$D$5:$D$241,"&lt;"&amp;$A75+7,Summary!$G$5:$G$241,"Yes"))</f>
        <v>0</v>
      </c>
      <c r="E75">
        <f>IF(E55="","",COUNTIFS(Summary!$E$5:$E$241,E55,Summary!$D$5:$D$241,"&gt;="&amp;$A75,Summary!$D$5:$D$241,"&lt;"&amp;$A75+7,Summary!$G$5:$G$241,"Yes"))</f>
        <v>0</v>
      </c>
      <c r="F75">
        <f>IF(F55="","",COUNTIFS(Summary!$E$5:$E$241,F55,Summary!$D$5:$D$241,"&gt;="&amp;$A75,Summary!$D$5:$D$241,"&lt;"&amp;$A75+7,Summary!$G$5:$G$241,"Yes"))</f>
        <v>0</v>
      </c>
      <c r="G75">
        <f>IF(G55="","",COUNTIFS(Summary!$E$5:$E$241,G55,Summary!$D$5:$D$241,"&gt;="&amp;$A75,Summary!$D$5:$D$241,"&lt;"&amp;$A75+7,Summary!$G$5:$G$241,"Yes"))</f>
        <v>0</v>
      </c>
      <c r="H75">
        <f>IF(H55="","",COUNTIFS(Summary!$E$5:$E$241,H55,Summary!$D$5:$D$241,"&gt;="&amp;$A75,Summary!$D$5:$D$241,"&lt;"&amp;$A75+7,Summary!$G$5:$G$241,"Yes"))</f>
        <v>0</v>
      </c>
      <c r="I75">
        <f>IF(I55="","",COUNTIFS(Summary!$E$5:$E$241,I55,Summary!$D$5:$D$241,"&gt;="&amp;$A75,Summary!$D$5:$D$241,"&lt;"&amp;$A75+7,Summary!$G$5:$G$241,"Yes"))</f>
        <v>0</v>
      </c>
      <c r="J75">
        <f>IF(J55="","",COUNTIFS(Summary!$E$5:$E$241,J55,Summary!$D$5:$D$241,"&gt;="&amp;$A75,Summary!$D$5:$D$241,"&lt;"&amp;$A75+7,Summary!$G$5:$G$241,"Yes"))</f>
        <v>0</v>
      </c>
      <c r="K75">
        <f>IF(K55="","",COUNTIFS(Summary!$E$5:$E$241,K55,Summary!$D$5:$D$241,"&gt;="&amp;$A75,Summary!$D$5:$D$241,"&lt;"&amp;$A75+7,Summary!$G$5:$G$241,"Yes"))</f>
        <v>0</v>
      </c>
      <c r="L75">
        <f>IF(L55="","",COUNTIFS(Summary!$E$5:$E$241,L55,Summary!$D$5:$D$241,"&gt;="&amp;$A75,Summary!$D$5:$D$241,"&lt;"&amp;$A75+7,Summary!$G$5:$G$241,"Yes"))</f>
        <v>0</v>
      </c>
      <c r="M75">
        <f>IF(M55="","",COUNTIFS(Summary!$E$5:$E$241,M55,Summary!$D$5:$D$241,"&gt;="&amp;$A75,Summary!$D$5:$D$241,"&lt;"&amp;$A75+7,Summary!$G$5:$G$241,"Yes"))</f>
        <v>0</v>
      </c>
      <c r="N75">
        <f>IF(N55="","",COUNTIFS(Summary!$E$5:$E$241,N55,Summary!$D$5:$D$241,"&gt;="&amp;$A75,Summary!$D$5:$D$241,"&lt;"&amp;$A75+7,Summary!$G$5:$G$241,"Yes"))</f>
        <v>0</v>
      </c>
      <c r="O75">
        <f>IF(O55="","",COUNTIFS(Summary!$E$5:$E$241,O55,Summary!$D$5:$D$241,"&gt;="&amp;$A75,Summary!$D$5:$D$241,"&lt;"&amp;$A75+7,Summary!$G$5:$G$241,"Yes"))</f>
        <v>0</v>
      </c>
      <c r="P75">
        <f>IF(P55="","",COUNTIFS(Summary!$E$5:$E$241,P55,Summary!$D$5:$D$241,"&gt;="&amp;$A75,Summary!$D$5:$D$241,"&lt;"&amp;$A75+7,Summary!$G$5:$G$241,"Yes"))</f>
        <v>0</v>
      </c>
      <c r="Q75">
        <f>IF(Q55="","",COUNTIFS(Summary!$E$5:$E$241,Q55,Summary!$D$5:$D$241,"&gt;="&amp;$A75,Summary!$D$5:$D$241,"&lt;"&amp;$A75+7,Summary!$G$5:$G$241,"Yes"))</f>
        <v>0</v>
      </c>
      <c r="R75">
        <f>IF(R55="","",COUNTIFS(Summary!$E$5:$E$241,R55,Summary!$D$5:$D$241,"&gt;="&amp;$A75,Summary!$D$5:$D$241,"&lt;"&amp;$A75+7,Summary!$G$5:$G$241,"Yes"))</f>
        <v>0</v>
      </c>
      <c r="S75">
        <f>IF(S55="","",COUNTIFS(Summary!$E$5:$E$241,S55,Summary!$D$5:$D$241,"&gt;="&amp;$A75,Summary!$D$5:$D$241,"&lt;"&amp;$A75+7,Summary!$G$5:$G$241,"Yes"))</f>
        <v>0</v>
      </c>
      <c r="T75">
        <f>IF(T55="","",COUNTIFS(Summary!$E$5:$E$241,T55,Summary!$D$5:$D$241,"&gt;="&amp;$A75,Summary!$D$5:$D$241,"&lt;"&amp;$A75+7,Summary!$G$5:$G$241,"Yes"))</f>
        <v>0</v>
      </c>
      <c r="U75">
        <f>IF(U55="","",COUNTIFS(Summary!$E$5:$E$241,U55,Summary!$D$5:$D$241,"&gt;="&amp;$A75,Summary!$D$5:$D$241,"&lt;"&amp;$A75+7,Summary!$G$5:$G$241,"Yes"))</f>
        <v>0</v>
      </c>
      <c r="V75">
        <f>IF(V55="","",COUNTIFS(Summary!$E$5:$E$241,V55,Summary!$D$5:$D$241,"&gt;="&amp;$A75,Summary!$D$5:$D$241,"&lt;"&amp;$A75+7,Summary!$G$5:$G$241,"Yes"))</f>
        <v>0</v>
      </c>
      <c r="W75">
        <f>IF(W55="","",COUNTIFS(Summary!$E$5:$E$241,W55,Summary!$D$5:$D$241,"&gt;="&amp;$A75,Summary!$D$5:$D$241,"&lt;"&amp;$A75+7,Summary!$G$5:$G$241,"Yes"))</f>
        <v>0</v>
      </c>
      <c r="X75">
        <f>IF(X55="","",COUNTIFS(Summary!$E$5:$E$241,X55,Summary!$D$5:$D$241,"&gt;="&amp;$A75,Summary!$D$5:$D$241,"&lt;"&amp;$A75+7,Summary!$G$5:$G$241,"Yes"))</f>
        <v>0</v>
      </c>
      <c r="Y75">
        <f>IF(Y55="","",COUNTIFS(Summary!$E$5:$E$241,Y55,Summary!$D$5:$D$241,"&gt;="&amp;$A75,Summary!$D$5:$D$241,"&lt;"&amp;$A75+7,Summary!$G$5:$G$241,"Yes"))</f>
        <v>0</v>
      </c>
      <c r="Z75">
        <f>IF(Z55="","",COUNTIFS(Summary!$E$5:$E$241,Z55,Summary!$D$5:$D$241,"&gt;="&amp;$A75,Summary!$D$5:$D$241,"&lt;"&amp;$A75+7,Summary!$G$5:$G$241,"Yes"))</f>
        <v>0</v>
      </c>
      <c r="AA75">
        <f>IF(AA55="","",COUNTIFS(Summary!$E$5:$E$241,AA55,Summary!$D$5:$D$241,"&gt;="&amp;$A75,Summary!$D$5:$D$241,"&lt;"&amp;$A75+7,Summary!$G$5:$G$241,"Yes"))</f>
        <v>0</v>
      </c>
      <c r="AB75">
        <f>IF(AB55="","",COUNTIFS(Summary!$E$5:$E$241,AB55,Summary!$D$5:$D$241,"&gt;="&amp;$A75,Summary!$D$5:$D$241,"&lt;"&amp;$A75+7,Summary!$G$5:$G$241,"Yes"))</f>
        <v>0</v>
      </c>
      <c r="AC75">
        <f>IF(AC55="","",COUNTIFS(Summary!$E$5:$E$241,AC55,Summary!$D$5:$D$241,"&gt;="&amp;$A75,Summary!$D$5:$D$241,"&lt;"&amp;$A75+7,Summary!$G$5:$G$241,"Yes"))</f>
        <v>0</v>
      </c>
      <c r="AD75">
        <f>IF(AD55="","",COUNTIFS(Summary!$E$5:$E$241,AD55,Summary!$D$5:$D$241,"&gt;="&amp;$A75,Summary!$D$5:$D$241,"&lt;"&amp;$A75+7,Summary!$G$5:$G$241,"Yes"))</f>
        <v>0</v>
      </c>
      <c r="AE75">
        <f>IF(AE55="","",COUNTIFS(Summary!$E$5:$E$241,AE55,Summary!$D$5:$D$241,"&gt;="&amp;$A75,Summary!$D$5:$D$241,"&lt;"&amp;$A75+7,Summary!$G$5:$G$241,"Yes"))</f>
        <v>0</v>
      </c>
      <c r="AF75">
        <f>IF(AF55="","",COUNTIFS(Summary!$E$5:$E$241,AF55,Summary!$D$5:$D$241,"&gt;="&amp;$A75,Summary!$D$5:$D$241,"&lt;"&amp;$A75+7,Summary!$G$5:$G$241,"Yes"))</f>
        <v>0</v>
      </c>
      <c r="AG75">
        <f>IF(AG55="","",COUNTIFS(Summary!$E$5:$E$241,AG55,Summary!$D$5:$D$241,"&gt;="&amp;$A75,Summary!$D$5:$D$241,"&lt;"&amp;$A75+7,Summary!$G$5:$G$241,"Yes"))</f>
        <v>0</v>
      </c>
      <c r="AH75">
        <f>IF(AH55="","",COUNTIFS(Summary!$E$5:$E$241,AH55,Summary!$D$5:$D$241,"&gt;="&amp;$A75,Summary!$D$5:$D$241,"&lt;"&amp;$A75+7,Summary!$G$5:$G$241,"Yes"))</f>
        <v>0</v>
      </c>
      <c r="AI75">
        <f>IF(AI55="","",COUNTIFS(Summary!$E$5:$E$241,AI55,Summary!$D$5:$D$241,"&gt;="&amp;$A75,Summary!$D$5:$D$241,"&lt;"&amp;$A75+7,Summary!$G$5:$G$241,"Yes"))</f>
        <v>0</v>
      </c>
      <c r="AJ75">
        <f>IF(AJ55="","",COUNTIFS(Summary!$E$5:$E$241,AJ55,Summary!$D$5:$D$241,"&gt;="&amp;$A75,Summary!$D$5:$D$241,"&lt;"&amp;$A75+7,Summary!$G$5:$G$241,"Yes"))</f>
        <v>0</v>
      </c>
      <c r="AK75">
        <f>IF(AK55="","",COUNTIFS(Summary!$E$5:$E$241,AK55,Summary!$D$5:$D$241,"&gt;="&amp;$A75,Summary!$D$5:$D$241,"&lt;"&amp;$A75+7,Summary!$G$5:$G$241,"Yes"))</f>
        <v>0</v>
      </c>
      <c r="AL75">
        <f>IF(AL55="","",COUNTIFS(Summary!$E$5:$E$241,AL55,Summary!$D$5:$D$241,"&gt;="&amp;$A75,Summary!$D$5:$D$241,"&lt;"&amp;$A75+7,Summary!$G$5:$G$241,"Yes"))</f>
        <v>0</v>
      </c>
      <c r="AM75">
        <f>IF(AM55="","",COUNTIFS(Summary!$E$5:$E$241,AM55,Summary!$D$5:$D$241,"&gt;="&amp;$A75,Summary!$D$5:$D$241,"&lt;"&amp;$A75+7,Summary!$G$5:$G$241,"Yes"))</f>
        <v>0</v>
      </c>
      <c r="AN75">
        <f>IF(AN55="","",COUNTIFS(Summary!$E$5:$E$241,AN55,Summary!$D$5:$D$241,"&gt;="&amp;$A75,Summary!$D$5:$D$241,"&lt;"&amp;$A75+7,Summary!$G$5:$G$241,"Yes"))</f>
        <v>0</v>
      </c>
      <c r="AO75">
        <f>IF(AO55="","",COUNTIFS(Summary!$E$5:$E$241,AO55,Summary!$D$5:$D$241,"&gt;="&amp;$A75,Summary!$D$5:$D$241,"&lt;"&amp;$A75+7,Summary!$G$5:$G$241,"Yes"))</f>
        <v>0</v>
      </c>
      <c r="AP75">
        <f>IF(AP55="","",COUNTIFS(Summary!$E$5:$E$241,AP55,Summary!$D$5:$D$241,"&gt;="&amp;$A75,Summary!$D$5:$D$241,"&lt;"&amp;$A75+7,Summary!$G$5:$G$241,"Yes"))</f>
        <v>0</v>
      </c>
      <c r="AQ75">
        <f>IF(AQ55="","",COUNTIFS(Summary!$E$5:$E$241,AQ55,Summary!$D$5:$D$241,"&gt;="&amp;$A75,Summary!$D$5:$D$241,"&lt;"&amp;$A75+7,Summary!$G$5:$G$241,"Yes"))</f>
        <v>0</v>
      </c>
      <c r="AR75">
        <f>IF(AR55="","",COUNTIFS(Summary!$E$5:$E$241,AR55,Summary!$D$5:$D$241,"&gt;="&amp;$A75,Summary!$D$5:$D$241,"&lt;"&amp;$A75+7,Summary!$G$5:$G$241,"Yes"))</f>
        <v>0</v>
      </c>
      <c r="AS75">
        <f>IF(AS55="","",COUNTIFS(Summary!$E$5:$E$241,AS55,Summary!$D$5:$D$241,"&gt;="&amp;$A75,Summary!$D$5:$D$241,"&lt;"&amp;$A75+7,Summary!$G$5:$G$241,"Yes"))</f>
        <v>0</v>
      </c>
      <c r="AT75">
        <f>IF(AT55="","",COUNTIFS(Summary!$E$5:$E$241,AT55,Summary!$D$5:$D$241,"&gt;="&amp;$A75,Summary!$D$5:$D$241,"&lt;"&amp;$A75+7,Summary!$G$5:$G$241,"Yes"))</f>
        <v>0</v>
      </c>
      <c r="AU75">
        <f>IF(AU55="","",COUNTIFS(Summary!$E$5:$E$241,AU55,Summary!$D$5:$D$241,"&gt;="&amp;$A75,Summary!$D$5:$D$241,"&lt;"&amp;$A75+7,Summary!$G$5:$G$241,"Yes"))</f>
        <v>0</v>
      </c>
      <c r="AV75">
        <f>IF(AV55="","",COUNTIFS(Summary!$E$5:$E$241,AV55,Summary!$D$5:$D$241,"&gt;="&amp;$A75,Summary!$D$5:$D$241,"&lt;"&amp;$A75+7,Summary!$G$5:$G$241,"Yes"))</f>
        <v>0</v>
      </c>
      <c r="AW75">
        <f>IF(AW55="","",COUNTIFS(Summary!$E$5:$E$241,AW55,Summary!$D$5:$D$241,"&gt;="&amp;$A75,Summary!$D$5:$D$241,"&lt;"&amp;$A75+7,Summary!$G$5:$G$241,"Yes"))</f>
        <v>0</v>
      </c>
      <c r="AX75">
        <f>IF(AX55="","",COUNTIFS(Summary!$E$5:$E$241,AX55,Summary!$D$5:$D$241,"&gt;="&amp;$A75,Summary!$D$5:$D$241,"&lt;"&amp;$A75+7,Summary!$G$5:$G$241,"Yes"))</f>
        <v>0</v>
      </c>
      <c r="AY75">
        <f>IF(AY55="","",COUNTIFS(Summary!$E$5:$E$241,AY55,Summary!$D$5:$D$241,"&gt;="&amp;$A75,Summary!$D$5:$D$241,"&lt;"&amp;$A75+7,Summary!$G$5:$G$241,"Yes"))</f>
        <v>0</v>
      </c>
      <c r="AZ75">
        <f>IF(AZ55="","",COUNTIFS(Summary!$E$5:$E$241,AZ55,Summary!$D$5:$D$241,"&gt;="&amp;$A75,Summary!$D$5:$D$241,"&lt;"&amp;$A75+7,Summary!$G$5:$G$241,"Yes"))</f>
        <v>0</v>
      </c>
      <c r="BA75">
        <f>IF(BA55="","",COUNTIFS(Summary!$E$5:$E$241,BA55,Summary!$D$5:$D$241,"&gt;="&amp;$A75,Summary!$D$5:$D$241,"&lt;"&amp;$A75+7,Summary!$G$5:$G$241,"Yes"))</f>
        <v>0</v>
      </c>
      <c r="BB75">
        <f>IF(BB55="","",COUNTIFS(Summary!$E$5:$E$241,BB55,Summary!$D$5:$D$241,"&gt;="&amp;$A75,Summary!$D$5:$D$241,"&lt;"&amp;$A75+7,Summary!$G$5:$G$241,"Yes"))</f>
        <v>0</v>
      </c>
      <c r="BC75">
        <f>IF(BC55="","",COUNTIFS(Summary!$E$5:$E$241,BC55,Summary!$D$5:$D$241,"&gt;="&amp;$A75,Summary!$D$5:$D$241,"&lt;"&amp;$A75+7,Summary!$G$5:$G$241,"Yes"))</f>
        <v>0</v>
      </c>
      <c r="BD75">
        <f>IF(BD55="","",COUNTIFS(Summary!$E$5:$E$241,BD55,Summary!$D$5:$D$241,"&gt;="&amp;$A75,Summary!$D$5:$D$241,"&lt;"&amp;$A75+7,Summary!$G$5:$G$241,"Yes"))</f>
        <v>0</v>
      </c>
      <c r="BE75">
        <f>IF(BE55="","",COUNTIFS(Summary!$E$5:$E$241,BE55,Summary!$D$5:$D$241,"&gt;="&amp;$A75,Summary!$D$5:$D$241,"&lt;"&amp;$A75+7,Summary!$G$5:$G$241,"Yes"))</f>
        <v>0</v>
      </c>
      <c r="BF75" s="28">
        <f>IF(BF55="","",COUNTIFS(Summary!$E$5:$E$241,BF55,Summary!$D$5:$D$241,"&gt;="&amp;$A75,Summary!$D$5:$D$241,"&lt;"&amp;$A75+7,Summary!$G$5:$G$241,"Yes"))</f>
        <v>0</v>
      </c>
    </row>
    <row r="76" spans="1:58">
      <c r="A76" s="18">
        <f t="shared" si="5"/>
        <v>46223</v>
      </c>
      <c r="B76" s="2" t="str">
        <f t="shared" si="4"/>
        <v>Jul 20</v>
      </c>
      <c r="C76">
        <f>IF(C55="","",COUNTIFS(Summary!$E$5:$E$241,C55,Summary!$D$5:$D$241,"&gt;="&amp;$A76,Summary!$D$5:$D$241,"&lt;"&amp;$A76+7,Summary!$G$5:$G$241,"Yes"))</f>
        <v>0</v>
      </c>
      <c r="D76">
        <f>IF(D55="","",COUNTIFS(Summary!$E$5:$E$241,D55,Summary!$D$5:$D$241,"&gt;="&amp;$A76,Summary!$D$5:$D$241,"&lt;"&amp;$A76+7,Summary!$G$5:$G$241,"Yes"))</f>
        <v>0</v>
      </c>
      <c r="E76">
        <f>IF(E55="","",COUNTIFS(Summary!$E$5:$E$241,E55,Summary!$D$5:$D$241,"&gt;="&amp;$A76,Summary!$D$5:$D$241,"&lt;"&amp;$A76+7,Summary!$G$5:$G$241,"Yes"))</f>
        <v>0</v>
      </c>
      <c r="F76">
        <f>IF(F55="","",COUNTIFS(Summary!$E$5:$E$241,F55,Summary!$D$5:$D$241,"&gt;="&amp;$A76,Summary!$D$5:$D$241,"&lt;"&amp;$A76+7,Summary!$G$5:$G$241,"Yes"))</f>
        <v>0</v>
      </c>
      <c r="G76">
        <f>IF(G55="","",COUNTIFS(Summary!$E$5:$E$241,G55,Summary!$D$5:$D$241,"&gt;="&amp;$A76,Summary!$D$5:$D$241,"&lt;"&amp;$A76+7,Summary!$G$5:$G$241,"Yes"))</f>
        <v>0</v>
      </c>
      <c r="H76">
        <f>IF(H55="","",COUNTIFS(Summary!$E$5:$E$241,H55,Summary!$D$5:$D$241,"&gt;="&amp;$A76,Summary!$D$5:$D$241,"&lt;"&amp;$A76+7,Summary!$G$5:$G$241,"Yes"))</f>
        <v>0</v>
      </c>
      <c r="I76">
        <f>IF(I55="","",COUNTIFS(Summary!$E$5:$E$241,I55,Summary!$D$5:$D$241,"&gt;="&amp;$A76,Summary!$D$5:$D$241,"&lt;"&amp;$A76+7,Summary!$G$5:$G$241,"Yes"))</f>
        <v>0</v>
      </c>
      <c r="J76">
        <f>IF(J55="","",COUNTIFS(Summary!$E$5:$E$241,J55,Summary!$D$5:$D$241,"&gt;="&amp;$A76,Summary!$D$5:$D$241,"&lt;"&amp;$A76+7,Summary!$G$5:$G$241,"Yes"))</f>
        <v>0</v>
      </c>
      <c r="K76">
        <f>IF(K55="","",COUNTIFS(Summary!$E$5:$E$241,K55,Summary!$D$5:$D$241,"&gt;="&amp;$A76,Summary!$D$5:$D$241,"&lt;"&amp;$A76+7,Summary!$G$5:$G$241,"Yes"))</f>
        <v>0</v>
      </c>
      <c r="L76">
        <f>IF(L55="","",COUNTIFS(Summary!$E$5:$E$241,L55,Summary!$D$5:$D$241,"&gt;="&amp;$A76,Summary!$D$5:$D$241,"&lt;"&amp;$A76+7,Summary!$G$5:$G$241,"Yes"))</f>
        <v>0</v>
      </c>
      <c r="M76">
        <f>IF(M55="","",COUNTIFS(Summary!$E$5:$E$241,M55,Summary!$D$5:$D$241,"&gt;="&amp;$A76,Summary!$D$5:$D$241,"&lt;"&amp;$A76+7,Summary!$G$5:$G$241,"Yes"))</f>
        <v>0</v>
      </c>
      <c r="N76">
        <f>IF(N55="","",COUNTIFS(Summary!$E$5:$E$241,N55,Summary!$D$5:$D$241,"&gt;="&amp;$A76,Summary!$D$5:$D$241,"&lt;"&amp;$A76+7,Summary!$G$5:$G$241,"Yes"))</f>
        <v>0</v>
      </c>
      <c r="O76">
        <f>IF(O55="","",COUNTIFS(Summary!$E$5:$E$241,O55,Summary!$D$5:$D$241,"&gt;="&amp;$A76,Summary!$D$5:$D$241,"&lt;"&amp;$A76+7,Summary!$G$5:$G$241,"Yes"))</f>
        <v>0</v>
      </c>
      <c r="P76">
        <f>IF(P55="","",COUNTIFS(Summary!$E$5:$E$241,P55,Summary!$D$5:$D$241,"&gt;="&amp;$A76,Summary!$D$5:$D$241,"&lt;"&amp;$A76+7,Summary!$G$5:$G$241,"Yes"))</f>
        <v>0</v>
      </c>
      <c r="Q76">
        <f>IF(Q55="","",COUNTIFS(Summary!$E$5:$E$241,Q55,Summary!$D$5:$D$241,"&gt;="&amp;$A76,Summary!$D$5:$D$241,"&lt;"&amp;$A76+7,Summary!$G$5:$G$241,"Yes"))</f>
        <v>0</v>
      </c>
      <c r="R76">
        <f>IF(R55="","",COUNTIFS(Summary!$E$5:$E$241,R55,Summary!$D$5:$D$241,"&gt;="&amp;$A76,Summary!$D$5:$D$241,"&lt;"&amp;$A76+7,Summary!$G$5:$G$241,"Yes"))</f>
        <v>0</v>
      </c>
      <c r="S76">
        <f>IF(S55="","",COUNTIFS(Summary!$E$5:$E$241,S55,Summary!$D$5:$D$241,"&gt;="&amp;$A76,Summary!$D$5:$D$241,"&lt;"&amp;$A76+7,Summary!$G$5:$G$241,"Yes"))</f>
        <v>0</v>
      </c>
      <c r="T76">
        <f>IF(T55="","",COUNTIFS(Summary!$E$5:$E$241,T55,Summary!$D$5:$D$241,"&gt;="&amp;$A76,Summary!$D$5:$D$241,"&lt;"&amp;$A76+7,Summary!$G$5:$G$241,"Yes"))</f>
        <v>0</v>
      </c>
      <c r="U76">
        <f>IF(U55="","",COUNTIFS(Summary!$E$5:$E$241,U55,Summary!$D$5:$D$241,"&gt;="&amp;$A76,Summary!$D$5:$D$241,"&lt;"&amp;$A76+7,Summary!$G$5:$G$241,"Yes"))</f>
        <v>0</v>
      </c>
      <c r="V76">
        <f>IF(V55="","",COUNTIFS(Summary!$E$5:$E$241,V55,Summary!$D$5:$D$241,"&gt;="&amp;$A76,Summary!$D$5:$D$241,"&lt;"&amp;$A76+7,Summary!$G$5:$G$241,"Yes"))</f>
        <v>0</v>
      </c>
      <c r="W76">
        <f>IF(W55="","",COUNTIFS(Summary!$E$5:$E$241,W55,Summary!$D$5:$D$241,"&gt;="&amp;$A76,Summary!$D$5:$D$241,"&lt;"&amp;$A76+7,Summary!$G$5:$G$241,"Yes"))</f>
        <v>0</v>
      </c>
      <c r="X76">
        <f>IF(X55="","",COUNTIFS(Summary!$E$5:$E$241,X55,Summary!$D$5:$D$241,"&gt;="&amp;$A76,Summary!$D$5:$D$241,"&lt;"&amp;$A76+7,Summary!$G$5:$G$241,"Yes"))</f>
        <v>0</v>
      </c>
      <c r="Y76">
        <f>IF(Y55="","",COUNTIFS(Summary!$E$5:$E$241,Y55,Summary!$D$5:$D$241,"&gt;="&amp;$A76,Summary!$D$5:$D$241,"&lt;"&amp;$A76+7,Summary!$G$5:$G$241,"Yes"))</f>
        <v>0</v>
      </c>
      <c r="Z76">
        <f>IF(Z55="","",COUNTIFS(Summary!$E$5:$E$241,Z55,Summary!$D$5:$D$241,"&gt;="&amp;$A76,Summary!$D$5:$D$241,"&lt;"&amp;$A76+7,Summary!$G$5:$G$241,"Yes"))</f>
        <v>0</v>
      </c>
      <c r="AA76">
        <f>IF(AA55="","",COUNTIFS(Summary!$E$5:$E$241,AA55,Summary!$D$5:$D$241,"&gt;="&amp;$A76,Summary!$D$5:$D$241,"&lt;"&amp;$A76+7,Summary!$G$5:$G$241,"Yes"))</f>
        <v>0</v>
      </c>
      <c r="AB76">
        <f>IF(AB55="","",COUNTIFS(Summary!$E$5:$E$241,AB55,Summary!$D$5:$D$241,"&gt;="&amp;$A76,Summary!$D$5:$D$241,"&lt;"&amp;$A76+7,Summary!$G$5:$G$241,"Yes"))</f>
        <v>0</v>
      </c>
      <c r="AC76">
        <f>IF(AC55="","",COUNTIFS(Summary!$E$5:$E$241,AC55,Summary!$D$5:$D$241,"&gt;="&amp;$A76,Summary!$D$5:$D$241,"&lt;"&amp;$A76+7,Summary!$G$5:$G$241,"Yes"))</f>
        <v>0</v>
      </c>
      <c r="AD76">
        <f>IF(AD55="","",COUNTIFS(Summary!$E$5:$E$241,AD55,Summary!$D$5:$D$241,"&gt;="&amp;$A76,Summary!$D$5:$D$241,"&lt;"&amp;$A76+7,Summary!$G$5:$G$241,"Yes"))</f>
        <v>0</v>
      </c>
      <c r="AE76">
        <f>IF(AE55="","",COUNTIFS(Summary!$E$5:$E$241,AE55,Summary!$D$5:$D$241,"&gt;="&amp;$A76,Summary!$D$5:$D$241,"&lt;"&amp;$A76+7,Summary!$G$5:$G$241,"Yes"))</f>
        <v>0</v>
      </c>
      <c r="AF76">
        <f>IF(AF55="","",COUNTIFS(Summary!$E$5:$E$241,AF55,Summary!$D$5:$D$241,"&gt;="&amp;$A76,Summary!$D$5:$D$241,"&lt;"&amp;$A76+7,Summary!$G$5:$G$241,"Yes"))</f>
        <v>0</v>
      </c>
      <c r="AG76">
        <f>IF(AG55="","",COUNTIFS(Summary!$E$5:$E$241,AG55,Summary!$D$5:$D$241,"&gt;="&amp;$A76,Summary!$D$5:$D$241,"&lt;"&amp;$A76+7,Summary!$G$5:$G$241,"Yes"))</f>
        <v>0</v>
      </c>
      <c r="AH76">
        <f>IF(AH55="","",COUNTIFS(Summary!$E$5:$E$241,AH55,Summary!$D$5:$D$241,"&gt;="&amp;$A76,Summary!$D$5:$D$241,"&lt;"&amp;$A76+7,Summary!$G$5:$G$241,"Yes"))</f>
        <v>0</v>
      </c>
      <c r="AI76">
        <f>IF(AI55="","",COUNTIFS(Summary!$E$5:$E$241,AI55,Summary!$D$5:$D$241,"&gt;="&amp;$A76,Summary!$D$5:$D$241,"&lt;"&amp;$A76+7,Summary!$G$5:$G$241,"Yes"))</f>
        <v>0</v>
      </c>
      <c r="AJ76">
        <f>IF(AJ55="","",COUNTIFS(Summary!$E$5:$E$241,AJ55,Summary!$D$5:$D$241,"&gt;="&amp;$A76,Summary!$D$5:$D$241,"&lt;"&amp;$A76+7,Summary!$G$5:$G$241,"Yes"))</f>
        <v>0</v>
      </c>
      <c r="AK76">
        <f>IF(AK55="","",COUNTIFS(Summary!$E$5:$E$241,AK55,Summary!$D$5:$D$241,"&gt;="&amp;$A76,Summary!$D$5:$D$241,"&lt;"&amp;$A76+7,Summary!$G$5:$G$241,"Yes"))</f>
        <v>0</v>
      </c>
      <c r="AL76">
        <f>IF(AL55="","",COUNTIFS(Summary!$E$5:$E$241,AL55,Summary!$D$5:$D$241,"&gt;="&amp;$A76,Summary!$D$5:$D$241,"&lt;"&amp;$A76+7,Summary!$G$5:$G$241,"Yes"))</f>
        <v>0</v>
      </c>
      <c r="AM76">
        <f>IF(AM55="","",COUNTIFS(Summary!$E$5:$E$241,AM55,Summary!$D$5:$D$241,"&gt;="&amp;$A76,Summary!$D$5:$D$241,"&lt;"&amp;$A76+7,Summary!$G$5:$G$241,"Yes"))</f>
        <v>0</v>
      </c>
      <c r="AN76">
        <f>IF(AN55="","",COUNTIFS(Summary!$E$5:$E$241,AN55,Summary!$D$5:$D$241,"&gt;="&amp;$A76,Summary!$D$5:$D$241,"&lt;"&amp;$A76+7,Summary!$G$5:$G$241,"Yes"))</f>
        <v>0</v>
      </c>
      <c r="AO76">
        <f>IF(AO55="","",COUNTIFS(Summary!$E$5:$E$241,AO55,Summary!$D$5:$D$241,"&gt;="&amp;$A76,Summary!$D$5:$D$241,"&lt;"&amp;$A76+7,Summary!$G$5:$G$241,"Yes"))</f>
        <v>0</v>
      </c>
      <c r="AP76">
        <f>IF(AP55="","",COUNTIFS(Summary!$E$5:$E$241,AP55,Summary!$D$5:$D$241,"&gt;="&amp;$A76,Summary!$D$5:$D$241,"&lt;"&amp;$A76+7,Summary!$G$5:$G$241,"Yes"))</f>
        <v>0</v>
      </c>
      <c r="AQ76">
        <f>IF(AQ55="","",COUNTIFS(Summary!$E$5:$E$241,AQ55,Summary!$D$5:$D$241,"&gt;="&amp;$A76,Summary!$D$5:$D$241,"&lt;"&amp;$A76+7,Summary!$G$5:$G$241,"Yes"))</f>
        <v>0</v>
      </c>
      <c r="AR76">
        <f>IF(AR55="","",COUNTIFS(Summary!$E$5:$E$241,AR55,Summary!$D$5:$D$241,"&gt;="&amp;$A76,Summary!$D$5:$D$241,"&lt;"&amp;$A76+7,Summary!$G$5:$G$241,"Yes"))</f>
        <v>0</v>
      </c>
      <c r="AS76">
        <f>IF(AS55="","",COUNTIFS(Summary!$E$5:$E$241,AS55,Summary!$D$5:$D$241,"&gt;="&amp;$A76,Summary!$D$5:$D$241,"&lt;"&amp;$A76+7,Summary!$G$5:$G$241,"Yes"))</f>
        <v>0</v>
      </c>
      <c r="AT76">
        <f>IF(AT55="","",COUNTIFS(Summary!$E$5:$E$241,AT55,Summary!$D$5:$D$241,"&gt;="&amp;$A76,Summary!$D$5:$D$241,"&lt;"&amp;$A76+7,Summary!$G$5:$G$241,"Yes"))</f>
        <v>0</v>
      </c>
      <c r="AU76">
        <f>IF(AU55="","",COUNTIFS(Summary!$E$5:$E$241,AU55,Summary!$D$5:$D$241,"&gt;="&amp;$A76,Summary!$D$5:$D$241,"&lt;"&amp;$A76+7,Summary!$G$5:$G$241,"Yes"))</f>
        <v>0</v>
      </c>
      <c r="AV76">
        <f>IF(AV55="","",COUNTIFS(Summary!$E$5:$E$241,AV55,Summary!$D$5:$D$241,"&gt;="&amp;$A76,Summary!$D$5:$D$241,"&lt;"&amp;$A76+7,Summary!$G$5:$G$241,"Yes"))</f>
        <v>0</v>
      </c>
      <c r="AW76">
        <f>IF(AW55="","",COUNTIFS(Summary!$E$5:$E$241,AW55,Summary!$D$5:$D$241,"&gt;="&amp;$A76,Summary!$D$5:$D$241,"&lt;"&amp;$A76+7,Summary!$G$5:$G$241,"Yes"))</f>
        <v>0</v>
      </c>
      <c r="AX76">
        <f>IF(AX55="","",COUNTIFS(Summary!$E$5:$E$241,AX55,Summary!$D$5:$D$241,"&gt;="&amp;$A76,Summary!$D$5:$D$241,"&lt;"&amp;$A76+7,Summary!$G$5:$G$241,"Yes"))</f>
        <v>0</v>
      </c>
      <c r="AY76">
        <f>IF(AY55="","",COUNTIFS(Summary!$E$5:$E$241,AY55,Summary!$D$5:$D$241,"&gt;="&amp;$A76,Summary!$D$5:$D$241,"&lt;"&amp;$A76+7,Summary!$G$5:$G$241,"Yes"))</f>
        <v>0</v>
      </c>
      <c r="AZ76">
        <f>IF(AZ55="","",COUNTIFS(Summary!$E$5:$E$241,AZ55,Summary!$D$5:$D$241,"&gt;="&amp;$A76,Summary!$D$5:$D$241,"&lt;"&amp;$A76+7,Summary!$G$5:$G$241,"Yes"))</f>
        <v>0</v>
      </c>
      <c r="BA76">
        <f>IF(BA55="","",COUNTIFS(Summary!$E$5:$E$241,BA55,Summary!$D$5:$D$241,"&gt;="&amp;$A76,Summary!$D$5:$D$241,"&lt;"&amp;$A76+7,Summary!$G$5:$G$241,"Yes"))</f>
        <v>0</v>
      </c>
      <c r="BB76">
        <f>IF(BB55="","",COUNTIFS(Summary!$E$5:$E$241,BB55,Summary!$D$5:$D$241,"&gt;="&amp;$A76,Summary!$D$5:$D$241,"&lt;"&amp;$A76+7,Summary!$G$5:$G$241,"Yes"))</f>
        <v>0</v>
      </c>
      <c r="BC76">
        <f>IF(BC55="","",COUNTIFS(Summary!$E$5:$E$241,BC55,Summary!$D$5:$D$241,"&gt;="&amp;$A76,Summary!$D$5:$D$241,"&lt;"&amp;$A76+7,Summary!$G$5:$G$241,"Yes"))</f>
        <v>0</v>
      </c>
      <c r="BD76">
        <f>IF(BD55="","",COUNTIFS(Summary!$E$5:$E$241,BD55,Summary!$D$5:$D$241,"&gt;="&amp;$A76,Summary!$D$5:$D$241,"&lt;"&amp;$A76+7,Summary!$G$5:$G$241,"Yes"))</f>
        <v>0</v>
      </c>
      <c r="BE76">
        <f>IF(BE55="","",COUNTIFS(Summary!$E$5:$E$241,BE55,Summary!$D$5:$D$241,"&gt;="&amp;$A76,Summary!$D$5:$D$241,"&lt;"&amp;$A76+7,Summary!$G$5:$G$241,"Yes"))</f>
        <v>0</v>
      </c>
      <c r="BF76" s="28">
        <f>IF(BF55="","",COUNTIFS(Summary!$E$5:$E$241,BF55,Summary!$D$5:$D$241,"&gt;="&amp;$A76,Summary!$D$5:$D$241,"&lt;"&amp;$A76+7,Summary!$G$5:$G$241,"Yes"))</f>
        <v>0</v>
      </c>
    </row>
    <row r="77" spans="1:58">
      <c r="A77" s="18">
        <f t="shared" si="5"/>
        <v>46230</v>
      </c>
      <c r="B77" s="2" t="str">
        <f t="shared" si="4"/>
        <v>Jul 27</v>
      </c>
      <c r="C77">
        <f>IF(C55="","",COUNTIFS(Summary!$E$5:$E$241,C55,Summary!$D$5:$D$241,"&gt;="&amp;$A77,Summary!$D$5:$D$241,"&lt;"&amp;$A77+7,Summary!$G$5:$G$241,"Yes"))</f>
        <v>0</v>
      </c>
      <c r="D77">
        <f>IF(D55="","",COUNTIFS(Summary!$E$5:$E$241,D55,Summary!$D$5:$D$241,"&gt;="&amp;$A77,Summary!$D$5:$D$241,"&lt;"&amp;$A77+7,Summary!$G$5:$G$241,"Yes"))</f>
        <v>0</v>
      </c>
      <c r="E77">
        <f>IF(E55="","",COUNTIFS(Summary!$E$5:$E$241,E55,Summary!$D$5:$D$241,"&gt;="&amp;$A77,Summary!$D$5:$D$241,"&lt;"&amp;$A77+7,Summary!$G$5:$G$241,"Yes"))</f>
        <v>0</v>
      </c>
      <c r="F77">
        <f>IF(F55="","",COUNTIFS(Summary!$E$5:$E$241,F55,Summary!$D$5:$D$241,"&gt;="&amp;$A77,Summary!$D$5:$D$241,"&lt;"&amp;$A77+7,Summary!$G$5:$G$241,"Yes"))</f>
        <v>0</v>
      </c>
      <c r="G77">
        <f>IF(G55="","",COUNTIFS(Summary!$E$5:$E$241,G55,Summary!$D$5:$D$241,"&gt;="&amp;$A77,Summary!$D$5:$D$241,"&lt;"&amp;$A77+7,Summary!$G$5:$G$241,"Yes"))</f>
        <v>0</v>
      </c>
      <c r="H77">
        <f>IF(H55="","",COUNTIFS(Summary!$E$5:$E$241,H55,Summary!$D$5:$D$241,"&gt;="&amp;$A77,Summary!$D$5:$D$241,"&lt;"&amp;$A77+7,Summary!$G$5:$G$241,"Yes"))</f>
        <v>0</v>
      </c>
      <c r="I77">
        <f>IF(I55="","",COUNTIFS(Summary!$E$5:$E$241,I55,Summary!$D$5:$D$241,"&gt;="&amp;$A77,Summary!$D$5:$D$241,"&lt;"&amp;$A77+7,Summary!$G$5:$G$241,"Yes"))</f>
        <v>0</v>
      </c>
      <c r="J77">
        <f>IF(J55="","",COUNTIFS(Summary!$E$5:$E$241,J55,Summary!$D$5:$D$241,"&gt;="&amp;$A77,Summary!$D$5:$D$241,"&lt;"&amp;$A77+7,Summary!$G$5:$G$241,"Yes"))</f>
        <v>0</v>
      </c>
      <c r="K77">
        <f>IF(K55="","",COUNTIFS(Summary!$E$5:$E$241,K55,Summary!$D$5:$D$241,"&gt;="&amp;$A77,Summary!$D$5:$D$241,"&lt;"&amp;$A77+7,Summary!$G$5:$G$241,"Yes"))</f>
        <v>0</v>
      </c>
      <c r="L77">
        <f>IF(L55="","",COUNTIFS(Summary!$E$5:$E$241,L55,Summary!$D$5:$D$241,"&gt;="&amp;$A77,Summary!$D$5:$D$241,"&lt;"&amp;$A77+7,Summary!$G$5:$G$241,"Yes"))</f>
        <v>0</v>
      </c>
      <c r="M77">
        <f>IF(M55="","",COUNTIFS(Summary!$E$5:$E$241,M55,Summary!$D$5:$D$241,"&gt;="&amp;$A77,Summary!$D$5:$D$241,"&lt;"&amp;$A77+7,Summary!$G$5:$G$241,"Yes"))</f>
        <v>0</v>
      </c>
      <c r="N77">
        <f>IF(N55="","",COUNTIFS(Summary!$E$5:$E$241,N55,Summary!$D$5:$D$241,"&gt;="&amp;$A77,Summary!$D$5:$D$241,"&lt;"&amp;$A77+7,Summary!$G$5:$G$241,"Yes"))</f>
        <v>0</v>
      </c>
      <c r="O77">
        <f>IF(O55="","",COUNTIFS(Summary!$E$5:$E$241,O55,Summary!$D$5:$D$241,"&gt;="&amp;$A77,Summary!$D$5:$D$241,"&lt;"&amp;$A77+7,Summary!$G$5:$G$241,"Yes"))</f>
        <v>0</v>
      </c>
      <c r="P77">
        <f>IF(P55="","",COUNTIFS(Summary!$E$5:$E$241,P55,Summary!$D$5:$D$241,"&gt;="&amp;$A77,Summary!$D$5:$D$241,"&lt;"&amp;$A77+7,Summary!$G$5:$G$241,"Yes"))</f>
        <v>0</v>
      </c>
      <c r="Q77">
        <f>IF(Q55="","",COUNTIFS(Summary!$E$5:$E$241,Q55,Summary!$D$5:$D$241,"&gt;="&amp;$A77,Summary!$D$5:$D$241,"&lt;"&amp;$A77+7,Summary!$G$5:$G$241,"Yes"))</f>
        <v>0</v>
      </c>
      <c r="R77">
        <f>IF(R55="","",COUNTIFS(Summary!$E$5:$E$241,R55,Summary!$D$5:$D$241,"&gt;="&amp;$A77,Summary!$D$5:$D$241,"&lt;"&amp;$A77+7,Summary!$G$5:$G$241,"Yes"))</f>
        <v>0</v>
      </c>
      <c r="S77">
        <f>IF(S55="","",COUNTIFS(Summary!$E$5:$E$241,S55,Summary!$D$5:$D$241,"&gt;="&amp;$A77,Summary!$D$5:$D$241,"&lt;"&amp;$A77+7,Summary!$G$5:$G$241,"Yes"))</f>
        <v>0</v>
      </c>
      <c r="T77">
        <f>IF(T55="","",COUNTIFS(Summary!$E$5:$E$241,T55,Summary!$D$5:$D$241,"&gt;="&amp;$A77,Summary!$D$5:$D$241,"&lt;"&amp;$A77+7,Summary!$G$5:$G$241,"Yes"))</f>
        <v>0</v>
      </c>
      <c r="U77">
        <f>IF(U55="","",COUNTIFS(Summary!$E$5:$E$241,U55,Summary!$D$5:$D$241,"&gt;="&amp;$A77,Summary!$D$5:$D$241,"&lt;"&amp;$A77+7,Summary!$G$5:$G$241,"Yes"))</f>
        <v>0</v>
      </c>
      <c r="V77">
        <f>IF(V55="","",COUNTIFS(Summary!$E$5:$E$241,V55,Summary!$D$5:$D$241,"&gt;="&amp;$A77,Summary!$D$5:$D$241,"&lt;"&amp;$A77+7,Summary!$G$5:$G$241,"Yes"))</f>
        <v>0</v>
      </c>
      <c r="W77">
        <f>IF(W55="","",COUNTIFS(Summary!$E$5:$E$241,W55,Summary!$D$5:$D$241,"&gt;="&amp;$A77,Summary!$D$5:$D$241,"&lt;"&amp;$A77+7,Summary!$G$5:$G$241,"Yes"))</f>
        <v>0</v>
      </c>
      <c r="X77">
        <f>IF(X55="","",COUNTIFS(Summary!$E$5:$E$241,X55,Summary!$D$5:$D$241,"&gt;="&amp;$A77,Summary!$D$5:$D$241,"&lt;"&amp;$A77+7,Summary!$G$5:$G$241,"Yes"))</f>
        <v>0</v>
      </c>
      <c r="Y77">
        <f>IF(Y55="","",COUNTIFS(Summary!$E$5:$E$241,Y55,Summary!$D$5:$D$241,"&gt;="&amp;$A77,Summary!$D$5:$D$241,"&lt;"&amp;$A77+7,Summary!$G$5:$G$241,"Yes"))</f>
        <v>0</v>
      </c>
      <c r="Z77">
        <f>IF(Z55="","",COUNTIFS(Summary!$E$5:$E$241,Z55,Summary!$D$5:$D$241,"&gt;="&amp;$A77,Summary!$D$5:$D$241,"&lt;"&amp;$A77+7,Summary!$G$5:$G$241,"Yes"))</f>
        <v>0</v>
      </c>
      <c r="AA77">
        <f>IF(AA55="","",COUNTIFS(Summary!$E$5:$E$241,AA55,Summary!$D$5:$D$241,"&gt;="&amp;$A77,Summary!$D$5:$D$241,"&lt;"&amp;$A77+7,Summary!$G$5:$G$241,"Yes"))</f>
        <v>0</v>
      </c>
      <c r="AB77">
        <f>IF(AB55="","",COUNTIFS(Summary!$E$5:$E$241,AB55,Summary!$D$5:$D$241,"&gt;="&amp;$A77,Summary!$D$5:$D$241,"&lt;"&amp;$A77+7,Summary!$G$5:$G$241,"Yes"))</f>
        <v>0</v>
      </c>
      <c r="AC77">
        <f>IF(AC55="","",COUNTIFS(Summary!$E$5:$E$241,AC55,Summary!$D$5:$D$241,"&gt;="&amp;$A77,Summary!$D$5:$D$241,"&lt;"&amp;$A77+7,Summary!$G$5:$G$241,"Yes"))</f>
        <v>0</v>
      </c>
      <c r="AD77">
        <f>IF(AD55="","",COUNTIFS(Summary!$E$5:$E$241,AD55,Summary!$D$5:$D$241,"&gt;="&amp;$A77,Summary!$D$5:$D$241,"&lt;"&amp;$A77+7,Summary!$G$5:$G$241,"Yes"))</f>
        <v>0</v>
      </c>
      <c r="AE77">
        <f>IF(AE55="","",COUNTIFS(Summary!$E$5:$E$241,AE55,Summary!$D$5:$D$241,"&gt;="&amp;$A77,Summary!$D$5:$D$241,"&lt;"&amp;$A77+7,Summary!$G$5:$G$241,"Yes"))</f>
        <v>0</v>
      </c>
      <c r="AF77">
        <f>IF(AF55="","",COUNTIFS(Summary!$E$5:$E$241,AF55,Summary!$D$5:$D$241,"&gt;="&amp;$A77,Summary!$D$5:$D$241,"&lt;"&amp;$A77+7,Summary!$G$5:$G$241,"Yes"))</f>
        <v>0</v>
      </c>
      <c r="AG77">
        <f>IF(AG55="","",COUNTIFS(Summary!$E$5:$E$241,AG55,Summary!$D$5:$D$241,"&gt;="&amp;$A77,Summary!$D$5:$D$241,"&lt;"&amp;$A77+7,Summary!$G$5:$G$241,"Yes"))</f>
        <v>0</v>
      </c>
      <c r="AH77">
        <f>IF(AH55="","",COUNTIFS(Summary!$E$5:$E$241,AH55,Summary!$D$5:$D$241,"&gt;="&amp;$A77,Summary!$D$5:$D$241,"&lt;"&amp;$A77+7,Summary!$G$5:$G$241,"Yes"))</f>
        <v>0</v>
      </c>
      <c r="AI77">
        <f>IF(AI55="","",COUNTIFS(Summary!$E$5:$E$241,AI55,Summary!$D$5:$D$241,"&gt;="&amp;$A77,Summary!$D$5:$D$241,"&lt;"&amp;$A77+7,Summary!$G$5:$G$241,"Yes"))</f>
        <v>0</v>
      </c>
      <c r="AJ77">
        <f>IF(AJ55="","",COUNTIFS(Summary!$E$5:$E$241,AJ55,Summary!$D$5:$D$241,"&gt;="&amp;$A77,Summary!$D$5:$D$241,"&lt;"&amp;$A77+7,Summary!$G$5:$G$241,"Yes"))</f>
        <v>0</v>
      </c>
      <c r="AK77">
        <f>IF(AK55="","",COUNTIFS(Summary!$E$5:$E$241,AK55,Summary!$D$5:$D$241,"&gt;="&amp;$A77,Summary!$D$5:$D$241,"&lt;"&amp;$A77+7,Summary!$G$5:$G$241,"Yes"))</f>
        <v>0</v>
      </c>
      <c r="AL77">
        <f>IF(AL55="","",COUNTIFS(Summary!$E$5:$E$241,AL55,Summary!$D$5:$D$241,"&gt;="&amp;$A77,Summary!$D$5:$D$241,"&lt;"&amp;$A77+7,Summary!$G$5:$G$241,"Yes"))</f>
        <v>0</v>
      </c>
      <c r="AM77">
        <f>IF(AM55="","",COUNTIFS(Summary!$E$5:$E$241,AM55,Summary!$D$5:$D$241,"&gt;="&amp;$A77,Summary!$D$5:$D$241,"&lt;"&amp;$A77+7,Summary!$G$5:$G$241,"Yes"))</f>
        <v>0</v>
      </c>
      <c r="AN77">
        <f>IF(AN55="","",COUNTIFS(Summary!$E$5:$E$241,AN55,Summary!$D$5:$D$241,"&gt;="&amp;$A77,Summary!$D$5:$D$241,"&lt;"&amp;$A77+7,Summary!$G$5:$G$241,"Yes"))</f>
        <v>0</v>
      </c>
      <c r="AO77">
        <f>IF(AO55="","",COUNTIFS(Summary!$E$5:$E$241,AO55,Summary!$D$5:$D$241,"&gt;="&amp;$A77,Summary!$D$5:$D$241,"&lt;"&amp;$A77+7,Summary!$G$5:$G$241,"Yes"))</f>
        <v>0</v>
      </c>
      <c r="AP77">
        <f>IF(AP55="","",COUNTIFS(Summary!$E$5:$E$241,AP55,Summary!$D$5:$D$241,"&gt;="&amp;$A77,Summary!$D$5:$D$241,"&lt;"&amp;$A77+7,Summary!$G$5:$G$241,"Yes"))</f>
        <v>0</v>
      </c>
      <c r="AQ77">
        <f>IF(AQ55="","",COUNTIFS(Summary!$E$5:$E$241,AQ55,Summary!$D$5:$D$241,"&gt;="&amp;$A77,Summary!$D$5:$D$241,"&lt;"&amp;$A77+7,Summary!$G$5:$G$241,"Yes"))</f>
        <v>0</v>
      </c>
      <c r="AR77">
        <f>IF(AR55="","",COUNTIFS(Summary!$E$5:$E$241,AR55,Summary!$D$5:$D$241,"&gt;="&amp;$A77,Summary!$D$5:$D$241,"&lt;"&amp;$A77+7,Summary!$G$5:$G$241,"Yes"))</f>
        <v>0</v>
      </c>
      <c r="AS77">
        <f>IF(AS55="","",COUNTIFS(Summary!$E$5:$E$241,AS55,Summary!$D$5:$D$241,"&gt;="&amp;$A77,Summary!$D$5:$D$241,"&lt;"&amp;$A77+7,Summary!$G$5:$G$241,"Yes"))</f>
        <v>0</v>
      </c>
      <c r="AT77">
        <f>IF(AT55="","",COUNTIFS(Summary!$E$5:$E$241,AT55,Summary!$D$5:$D$241,"&gt;="&amp;$A77,Summary!$D$5:$D$241,"&lt;"&amp;$A77+7,Summary!$G$5:$G$241,"Yes"))</f>
        <v>0</v>
      </c>
      <c r="AU77">
        <f>IF(AU55="","",COUNTIFS(Summary!$E$5:$E$241,AU55,Summary!$D$5:$D$241,"&gt;="&amp;$A77,Summary!$D$5:$D$241,"&lt;"&amp;$A77+7,Summary!$G$5:$G$241,"Yes"))</f>
        <v>0</v>
      </c>
      <c r="AV77">
        <f>IF(AV55="","",COUNTIFS(Summary!$E$5:$E$241,AV55,Summary!$D$5:$D$241,"&gt;="&amp;$A77,Summary!$D$5:$D$241,"&lt;"&amp;$A77+7,Summary!$G$5:$G$241,"Yes"))</f>
        <v>0</v>
      </c>
      <c r="AW77">
        <f>IF(AW55="","",COUNTIFS(Summary!$E$5:$E$241,AW55,Summary!$D$5:$D$241,"&gt;="&amp;$A77,Summary!$D$5:$D$241,"&lt;"&amp;$A77+7,Summary!$G$5:$G$241,"Yes"))</f>
        <v>0</v>
      </c>
      <c r="AX77">
        <f>IF(AX55="","",COUNTIFS(Summary!$E$5:$E$241,AX55,Summary!$D$5:$D$241,"&gt;="&amp;$A77,Summary!$D$5:$D$241,"&lt;"&amp;$A77+7,Summary!$G$5:$G$241,"Yes"))</f>
        <v>0</v>
      </c>
      <c r="AY77">
        <f>IF(AY55="","",COUNTIFS(Summary!$E$5:$E$241,AY55,Summary!$D$5:$D$241,"&gt;="&amp;$A77,Summary!$D$5:$D$241,"&lt;"&amp;$A77+7,Summary!$G$5:$G$241,"Yes"))</f>
        <v>0</v>
      </c>
      <c r="AZ77">
        <f>IF(AZ55="","",COUNTIFS(Summary!$E$5:$E$241,AZ55,Summary!$D$5:$D$241,"&gt;="&amp;$A77,Summary!$D$5:$D$241,"&lt;"&amp;$A77+7,Summary!$G$5:$G$241,"Yes"))</f>
        <v>0</v>
      </c>
      <c r="BA77">
        <f>IF(BA55="","",COUNTIFS(Summary!$E$5:$E$241,BA55,Summary!$D$5:$D$241,"&gt;="&amp;$A77,Summary!$D$5:$D$241,"&lt;"&amp;$A77+7,Summary!$G$5:$G$241,"Yes"))</f>
        <v>0</v>
      </c>
      <c r="BB77">
        <f>IF(BB55="","",COUNTIFS(Summary!$E$5:$E$241,BB55,Summary!$D$5:$D$241,"&gt;="&amp;$A77,Summary!$D$5:$D$241,"&lt;"&amp;$A77+7,Summary!$G$5:$G$241,"Yes"))</f>
        <v>0</v>
      </c>
      <c r="BC77">
        <f>IF(BC55="","",COUNTIFS(Summary!$E$5:$E$241,BC55,Summary!$D$5:$D$241,"&gt;="&amp;$A77,Summary!$D$5:$D$241,"&lt;"&amp;$A77+7,Summary!$G$5:$G$241,"Yes"))</f>
        <v>0</v>
      </c>
      <c r="BD77">
        <f>IF(BD55="","",COUNTIFS(Summary!$E$5:$E$241,BD55,Summary!$D$5:$D$241,"&gt;="&amp;$A77,Summary!$D$5:$D$241,"&lt;"&amp;$A77+7,Summary!$G$5:$G$241,"Yes"))</f>
        <v>0</v>
      </c>
      <c r="BE77">
        <f>IF(BE55="","",COUNTIFS(Summary!$E$5:$E$241,BE55,Summary!$D$5:$D$241,"&gt;="&amp;$A77,Summary!$D$5:$D$241,"&lt;"&amp;$A77+7,Summary!$G$5:$G$241,"Yes"))</f>
        <v>0</v>
      </c>
      <c r="BF77" s="28">
        <f>IF(BF55="","",COUNTIFS(Summary!$E$5:$E$241,BF55,Summary!$D$5:$D$241,"&gt;="&amp;$A77,Summary!$D$5:$D$241,"&lt;"&amp;$A77+7,Summary!$G$5:$G$241,"Yes"))</f>
        <v>0</v>
      </c>
    </row>
    <row r="78" spans="1:58">
      <c r="A78" s="18">
        <f t="shared" si="5"/>
        <v>46237</v>
      </c>
      <c r="B78" s="2" t="str">
        <f t="shared" si="4"/>
        <v>Aug 3</v>
      </c>
      <c r="C78">
        <f>IF(C55="","",COUNTIFS(Summary!$E$5:$E$241,C55,Summary!$D$5:$D$241,"&gt;="&amp;$A78,Summary!$D$5:$D$241,"&lt;"&amp;$A78+7,Summary!$G$5:$G$241,"Yes"))</f>
        <v>0</v>
      </c>
      <c r="D78">
        <f>IF(D55="","",COUNTIFS(Summary!$E$5:$E$241,D55,Summary!$D$5:$D$241,"&gt;="&amp;$A78,Summary!$D$5:$D$241,"&lt;"&amp;$A78+7,Summary!$G$5:$G$241,"Yes"))</f>
        <v>0</v>
      </c>
      <c r="E78">
        <f>IF(E55="","",COUNTIFS(Summary!$E$5:$E$241,E55,Summary!$D$5:$D$241,"&gt;="&amp;$A78,Summary!$D$5:$D$241,"&lt;"&amp;$A78+7,Summary!$G$5:$G$241,"Yes"))</f>
        <v>0</v>
      </c>
      <c r="F78">
        <f>IF(F55="","",COUNTIFS(Summary!$E$5:$E$241,F55,Summary!$D$5:$D$241,"&gt;="&amp;$A78,Summary!$D$5:$D$241,"&lt;"&amp;$A78+7,Summary!$G$5:$G$241,"Yes"))</f>
        <v>0</v>
      </c>
      <c r="G78">
        <f>IF(G55="","",COUNTIFS(Summary!$E$5:$E$241,G55,Summary!$D$5:$D$241,"&gt;="&amp;$A78,Summary!$D$5:$D$241,"&lt;"&amp;$A78+7,Summary!$G$5:$G$241,"Yes"))</f>
        <v>0</v>
      </c>
      <c r="H78">
        <f>IF(H55="","",COUNTIFS(Summary!$E$5:$E$241,H55,Summary!$D$5:$D$241,"&gt;="&amp;$A78,Summary!$D$5:$D$241,"&lt;"&amp;$A78+7,Summary!$G$5:$G$241,"Yes"))</f>
        <v>0</v>
      </c>
      <c r="I78">
        <f>IF(I55="","",COUNTIFS(Summary!$E$5:$E$241,I55,Summary!$D$5:$D$241,"&gt;="&amp;$A78,Summary!$D$5:$D$241,"&lt;"&amp;$A78+7,Summary!$G$5:$G$241,"Yes"))</f>
        <v>0</v>
      </c>
      <c r="J78">
        <f>IF(J55="","",COUNTIFS(Summary!$E$5:$E$241,J55,Summary!$D$5:$D$241,"&gt;="&amp;$A78,Summary!$D$5:$D$241,"&lt;"&amp;$A78+7,Summary!$G$5:$G$241,"Yes"))</f>
        <v>0</v>
      </c>
      <c r="K78">
        <f>IF(K55="","",COUNTIFS(Summary!$E$5:$E$241,K55,Summary!$D$5:$D$241,"&gt;="&amp;$A78,Summary!$D$5:$D$241,"&lt;"&amp;$A78+7,Summary!$G$5:$G$241,"Yes"))</f>
        <v>0</v>
      </c>
      <c r="L78">
        <f>IF(L55="","",COUNTIFS(Summary!$E$5:$E$241,L55,Summary!$D$5:$D$241,"&gt;="&amp;$A78,Summary!$D$5:$D$241,"&lt;"&amp;$A78+7,Summary!$G$5:$G$241,"Yes"))</f>
        <v>0</v>
      </c>
      <c r="M78">
        <f>IF(M55="","",COUNTIFS(Summary!$E$5:$E$241,M55,Summary!$D$5:$D$241,"&gt;="&amp;$A78,Summary!$D$5:$D$241,"&lt;"&amp;$A78+7,Summary!$G$5:$G$241,"Yes"))</f>
        <v>0</v>
      </c>
      <c r="N78">
        <f>IF(N55="","",COUNTIFS(Summary!$E$5:$E$241,N55,Summary!$D$5:$D$241,"&gt;="&amp;$A78,Summary!$D$5:$D$241,"&lt;"&amp;$A78+7,Summary!$G$5:$G$241,"Yes"))</f>
        <v>0</v>
      </c>
      <c r="O78">
        <f>IF(O55="","",COUNTIFS(Summary!$E$5:$E$241,O55,Summary!$D$5:$D$241,"&gt;="&amp;$A78,Summary!$D$5:$D$241,"&lt;"&amp;$A78+7,Summary!$G$5:$G$241,"Yes"))</f>
        <v>0</v>
      </c>
      <c r="P78">
        <f>IF(P55="","",COUNTIFS(Summary!$E$5:$E$241,P55,Summary!$D$5:$D$241,"&gt;="&amp;$A78,Summary!$D$5:$D$241,"&lt;"&amp;$A78+7,Summary!$G$5:$G$241,"Yes"))</f>
        <v>0</v>
      </c>
      <c r="Q78">
        <f>IF(Q55="","",COUNTIFS(Summary!$E$5:$E$241,Q55,Summary!$D$5:$D$241,"&gt;="&amp;$A78,Summary!$D$5:$D$241,"&lt;"&amp;$A78+7,Summary!$G$5:$G$241,"Yes"))</f>
        <v>0</v>
      </c>
      <c r="R78">
        <f>IF(R55="","",COUNTIFS(Summary!$E$5:$E$241,R55,Summary!$D$5:$D$241,"&gt;="&amp;$A78,Summary!$D$5:$D$241,"&lt;"&amp;$A78+7,Summary!$G$5:$G$241,"Yes"))</f>
        <v>0</v>
      </c>
      <c r="S78">
        <f>IF(S55="","",COUNTIFS(Summary!$E$5:$E$241,S55,Summary!$D$5:$D$241,"&gt;="&amp;$A78,Summary!$D$5:$D$241,"&lt;"&amp;$A78+7,Summary!$G$5:$G$241,"Yes"))</f>
        <v>0</v>
      </c>
      <c r="T78">
        <f>IF(T55="","",COUNTIFS(Summary!$E$5:$E$241,T55,Summary!$D$5:$D$241,"&gt;="&amp;$A78,Summary!$D$5:$D$241,"&lt;"&amp;$A78+7,Summary!$G$5:$G$241,"Yes"))</f>
        <v>0</v>
      </c>
      <c r="U78">
        <f>IF(U55="","",COUNTIFS(Summary!$E$5:$E$241,U55,Summary!$D$5:$D$241,"&gt;="&amp;$A78,Summary!$D$5:$D$241,"&lt;"&amp;$A78+7,Summary!$G$5:$G$241,"Yes"))</f>
        <v>0</v>
      </c>
      <c r="V78">
        <f>IF(V55="","",COUNTIFS(Summary!$E$5:$E$241,V55,Summary!$D$5:$D$241,"&gt;="&amp;$A78,Summary!$D$5:$D$241,"&lt;"&amp;$A78+7,Summary!$G$5:$G$241,"Yes"))</f>
        <v>0</v>
      </c>
      <c r="W78">
        <f>IF(W55="","",COUNTIFS(Summary!$E$5:$E$241,W55,Summary!$D$5:$D$241,"&gt;="&amp;$A78,Summary!$D$5:$D$241,"&lt;"&amp;$A78+7,Summary!$G$5:$G$241,"Yes"))</f>
        <v>0</v>
      </c>
      <c r="X78">
        <f>IF(X55="","",COUNTIFS(Summary!$E$5:$E$241,X55,Summary!$D$5:$D$241,"&gt;="&amp;$A78,Summary!$D$5:$D$241,"&lt;"&amp;$A78+7,Summary!$G$5:$G$241,"Yes"))</f>
        <v>0</v>
      </c>
      <c r="Y78">
        <f>IF(Y55="","",COUNTIFS(Summary!$E$5:$E$241,Y55,Summary!$D$5:$D$241,"&gt;="&amp;$A78,Summary!$D$5:$D$241,"&lt;"&amp;$A78+7,Summary!$G$5:$G$241,"Yes"))</f>
        <v>0</v>
      </c>
      <c r="Z78">
        <f>IF(Z55="","",COUNTIFS(Summary!$E$5:$E$241,Z55,Summary!$D$5:$D$241,"&gt;="&amp;$A78,Summary!$D$5:$D$241,"&lt;"&amp;$A78+7,Summary!$G$5:$G$241,"Yes"))</f>
        <v>0</v>
      </c>
      <c r="AA78">
        <f>IF(AA55="","",COUNTIFS(Summary!$E$5:$E$241,AA55,Summary!$D$5:$D$241,"&gt;="&amp;$A78,Summary!$D$5:$D$241,"&lt;"&amp;$A78+7,Summary!$G$5:$G$241,"Yes"))</f>
        <v>0</v>
      </c>
      <c r="AB78">
        <f>IF(AB55="","",COUNTIFS(Summary!$E$5:$E$241,AB55,Summary!$D$5:$D$241,"&gt;="&amp;$A78,Summary!$D$5:$D$241,"&lt;"&amp;$A78+7,Summary!$G$5:$G$241,"Yes"))</f>
        <v>0</v>
      </c>
      <c r="AC78">
        <f>IF(AC55="","",COUNTIFS(Summary!$E$5:$E$241,AC55,Summary!$D$5:$D$241,"&gt;="&amp;$A78,Summary!$D$5:$D$241,"&lt;"&amp;$A78+7,Summary!$G$5:$G$241,"Yes"))</f>
        <v>0</v>
      </c>
      <c r="AD78">
        <f>IF(AD55="","",COUNTIFS(Summary!$E$5:$E$241,AD55,Summary!$D$5:$D$241,"&gt;="&amp;$A78,Summary!$D$5:$D$241,"&lt;"&amp;$A78+7,Summary!$G$5:$G$241,"Yes"))</f>
        <v>0</v>
      </c>
      <c r="AE78">
        <f>IF(AE55="","",COUNTIFS(Summary!$E$5:$E$241,AE55,Summary!$D$5:$D$241,"&gt;="&amp;$A78,Summary!$D$5:$D$241,"&lt;"&amp;$A78+7,Summary!$G$5:$G$241,"Yes"))</f>
        <v>0</v>
      </c>
      <c r="AF78">
        <f>IF(AF55="","",COUNTIFS(Summary!$E$5:$E$241,AF55,Summary!$D$5:$D$241,"&gt;="&amp;$A78,Summary!$D$5:$D$241,"&lt;"&amp;$A78+7,Summary!$G$5:$G$241,"Yes"))</f>
        <v>0</v>
      </c>
      <c r="AG78">
        <f>IF(AG55="","",COUNTIFS(Summary!$E$5:$E$241,AG55,Summary!$D$5:$D$241,"&gt;="&amp;$A78,Summary!$D$5:$D$241,"&lt;"&amp;$A78+7,Summary!$G$5:$G$241,"Yes"))</f>
        <v>0</v>
      </c>
      <c r="AH78">
        <f>IF(AH55="","",COUNTIFS(Summary!$E$5:$E$241,AH55,Summary!$D$5:$D$241,"&gt;="&amp;$A78,Summary!$D$5:$D$241,"&lt;"&amp;$A78+7,Summary!$G$5:$G$241,"Yes"))</f>
        <v>0</v>
      </c>
      <c r="AI78">
        <f>IF(AI55="","",COUNTIFS(Summary!$E$5:$E$241,AI55,Summary!$D$5:$D$241,"&gt;="&amp;$A78,Summary!$D$5:$D$241,"&lt;"&amp;$A78+7,Summary!$G$5:$G$241,"Yes"))</f>
        <v>0</v>
      </c>
      <c r="AJ78">
        <f>IF(AJ55="","",COUNTIFS(Summary!$E$5:$E$241,AJ55,Summary!$D$5:$D$241,"&gt;="&amp;$A78,Summary!$D$5:$D$241,"&lt;"&amp;$A78+7,Summary!$G$5:$G$241,"Yes"))</f>
        <v>0</v>
      </c>
      <c r="AK78">
        <f>IF(AK55="","",COUNTIFS(Summary!$E$5:$E$241,AK55,Summary!$D$5:$D$241,"&gt;="&amp;$A78,Summary!$D$5:$D$241,"&lt;"&amp;$A78+7,Summary!$G$5:$G$241,"Yes"))</f>
        <v>0</v>
      </c>
      <c r="AL78">
        <f>IF(AL55="","",COUNTIFS(Summary!$E$5:$E$241,AL55,Summary!$D$5:$D$241,"&gt;="&amp;$A78,Summary!$D$5:$D$241,"&lt;"&amp;$A78+7,Summary!$G$5:$G$241,"Yes"))</f>
        <v>0</v>
      </c>
      <c r="AM78">
        <f>IF(AM55="","",COUNTIFS(Summary!$E$5:$E$241,AM55,Summary!$D$5:$D$241,"&gt;="&amp;$A78,Summary!$D$5:$D$241,"&lt;"&amp;$A78+7,Summary!$G$5:$G$241,"Yes"))</f>
        <v>0</v>
      </c>
      <c r="AN78">
        <f>IF(AN55="","",COUNTIFS(Summary!$E$5:$E$241,AN55,Summary!$D$5:$D$241,"&gt;="&amp;$A78,Summary!$D$5:$D$241,"&lt;"&amp;$A78+7,Summary!$G$5:$G$241,"Yes"))</f>
        <v>0</v>
      </c>
      <c r="AO78">
        <f>IF(AO55="","",COUNTIFS(Summary!$E$5:$E$241,AO55,Summary!$D$5:$D$241,"&gt;="&amp;$A78,Summary!$D$5:$D$241,"&lt;"&amp;$A78+7,Summary!$G$5:$G$241,"Yes"))</f>
        <v>0</v>
      </c>
      <c r="AP78">
        <f>IF(AP55="","",COUNTIFS(Summary!$E$5:$E$241,AP55,Summary!$D$5:$D$241,"&gt;="&amp;$A78,Summary!$D$5:$D$241,"&lt;"&amp;$A78+7,Summary!$G$5:$G$241,"Yes"))</f>
        <v>0</v>
      </c>
      <c r="AQ78">
        <f>IF(AQ55="","",COUNTIFS(Summary!$E$5:$E$241,AQ55,Summary!$D$5:$D$241,"&gt;="&amp;$A78,Summary!$D$5:$D$241,"&lt;"&amp;$A78+7,Summary!$G$5:$G$241,"Yes"))</f>
        <v>0</v>
      </c>
      <c r="AR78">
        <f>IF(AR55="","",COUNTIFS(Summary!$E$5:$E$241,AR55,Summary!$D$5:$D$241,"&gt;="&amp;$A78,Summary!$D$5:$D$241,"&lt;"&amp;$A78+7,Summary!$G$5:$G$241,"Yes"))</f>
        <v>0</v>
      </c>
      <c r="AS78">
        <f>IF(AS55="","",COUNTIFS(Summary!$E$5:$E$241,AS55,Summary!$D$5:$D$241,"&gt;="&amp;$A78,Summary!$D$5:$D$241,"&lt;"&amp;$A78+7,Summary!$G$5:$G$241,"Yes"))</f>
        <v>0</v>
      </c>
      <c r="AT78">
        <f>IF(AT55="","",COUNTIFS(Summary!$E$5:$E$241,AT55,Summary!$D$5:$D$241,"&gt;="&amp;$A78,Summary!$D$5:$D$241,"&lt;"&amp;$A78+7,Summary!$G$5:$G$241,"Yes"))</f>
        <v>0</v>
      </c>
      <c r="AU78">
        <f>IF(AU55="","",COUNTIFS(Summary!$E$5:$E$241,AU55,Summary!$D$5:$D$241,"&gt;="&amp;$A78,Summary!$D$5:$D$241,"&lt;"&amp;$A78+7,Summary!$G$5:$G$241,"Yes"))</f>
        <v>0</v>
      </c>
      <c r="AV78">
        <f>IF(AV55="","",COUNTIFS(Summary!$E$5:$E$241,AV55,Summary!$D$5:$D$241,"&gt;="&amp;$A78,Summary!$D$5:$D$241,"&lt;"&amp;$A78+7,Summary!$G$5:$G$241,"Yes"))</f>
        <v>0</v>
      </c>
      <c r="AW78">
        <f>IF(AW55="","",COUNTIFS(Summary!$E$5:$E$241,AW55,Summary!$D$5:$D$241,"&gt;="&amp;$A78,Summary!$D$5:$D$241,"&lt;"&amp;$A78+7,Summary!$G$5:$G$241,"Yes"))</f>
        <v>0</v>
      </c>
      <c r="AX78">
        <f>IF(AX55="","",COUNTIFS(Summary!$E$5:$E$241,AX55,Summary!$D$5:$D$241,"&gt;="&amp;$A78,Summary!$D$5:$D$241,"&lt;"&amp;$A78+7,Summary!$G$5:$G$241,"Yes"))</f>
        <v>0</v>
      </c>
      <c r="AY78">
        <f>IF(AY55="","",COUNTIFS(Summary!$E$5:$E$241,AY55,Summary!$D$5:$D$241,"&gt;="&amp;$A78,Summary!$D$5:$D$241,"&lt;"&amp;$A78+7,Summary!$G$5:$G$241,"Yes"))</f>
        <v>0</v>
      </c>
      <c r="AZ78">
        <f>IF(AZ55="","",COUNTIFS(Summary!$E$5:$E$241,AZ55,Summary!$D$5:$D$241,"&gt;="&amp;$A78,Summary!$D$5:$D$241,"&lt;"&amp;$A78+7,Summary!$G$5:$G$241,"Yes"))</f>
        <v>0</v>
      </c>
      <c r="BA78">
        <f>IF(BA55="","",COUNTIFS(Summary!$E$5:$E$241,BA55,Summary!$D$5:$D$241,"&gt;="&amp;$A78,Summary!$D$5:$D$241,"&lt;"&amp;$A78+7,Summary!$G$5:$G$241,"Yes"))</f>
        <v>0</v>
      </c>
      <c r="BB78">
        <f>IF(BB55="","",COUNTIFS(Summary!$E$5:$E$241,BB55,Summary!$D$5:$D$241,"&gt;="&amp;$A78,Summary!$D$5:$D$241,"&lt;"&amp;$A78+7,Summary!$G$5:$G$241,"Yes"))</f>
        <v>0</v>
      </c>
      <c r="BC78">
        <f>IF(BC55="","",COUNTIFS(Summary!$E$5:$E$241,BC55,Summary!$D$5:$D$241,"&gt;="&amp;$A78,Summary!$D$5:$D$241,"&lt;"&amp;$A78+7,Summary!$G$5:$G$241,"Yes"))</f>
        <v>0</v>
      </c>
      <c r="BD78">
        <f>IF(BD55="","",COUNTIFS(Summary!$E$5:$E$241,BD55,Summary!$D$5:$D$241,"&gt;="&amp;$A78,Summary!$D$5:$D$241,"&lt;"&amp;$A78+7,Summary!$G$5:$G$241,"Yes"))</f>
        <v>0</v>
      </c>
      <c r="BE78">
        <f>IF(BE55="","",COUNTIFS(Summary!$E$5:$E$241,BE55,Summary!$D$5:$D$241,"&gt;="&amp;$A78,Summary!$D$5:$D$241,"&lt;"&amp;$A78+7,Summary!$G$5:$G$241,"Yes"))</f>
        <v>0</v>
      </c>
      <c r="BF78" s="28">
        <f>IF(BF55="","",COUNTIFS(Summary!$E$5:$E$241,BF55,Summary!$D$5:$D$241,"&gt;="&amp;$A78,Summary!$D$5:$D$241,"&lt;"&amp;$A78+7,Summary!$G$5:$G$241,"Yes"))</f>
        <v>0</v>
      </c>
    </row>
    <row r="79" spans="1:58">
      <c r="A79" s="18">
        <f t="shared" si="5"/>
        <v>46244</v>
      </c>
      <c r="B79" s="2" t="str">
        <f t="shared" si="4"/>
        <v>Aug 10</v>
      </c>
      <c r="C79">
        <f>IF(C55="","",COUNTIFS(Summary!$E$5:$E$241,C55,Summary!$D$5:$D$241,"&gt;="&amp;$A79,Summary!$D$5:$D$241,"&lt;"&amp;$A79+7,Summary!$G$5:$G$241,"Yes"))</f>
        <v>0</v>
      </c>
      <c r="D79">
        <f>IF(D55="","",COUNTIFS(Summary!$E$5:$E$241,D55,Summary!$D$5:$D$241,"&gt;="&amp;$A79,Summary!$D$5:$D$241,"&lt;"&amp;$A79+7,Summary!$G$5:$G$241,"Yes"))</f>
        <v>0</v>
      </c>
      <c r="E79">
        <f>IF(E55="","",COUNTIFS(Summary!$E$5:$E$241,E55,Summary!$D$5:$D$241,"&gt;="&amp;$A79,Summary!$D$5:$D$241,"&lt;"&amp;$A79+7,Summary!$G$5:$G$241,"Yes"))</f>
        <v>0</v>
      </c>
      <c r="F79">
        <f>IF(F55="","",COUNTIFS(Summary!$E$5:$E$241,F55,Summary!$D$5:$D$241,"&gt;="&amp;$A79,Summary!$D$5:$D$241,"&lt;"&amp;$A79+7,Summary!$G$5:$G$241,"Yes"))</f>
        <v>0</v>
      </c>
      <c r="G79">
        <f>IF(G55="","",COUNTIFS(Summary!$E$5:$E$241,G55,Summary!$D$5:$D$241,"&gt;="&amp;$A79,Summary!$D$5:$D$241,"&lt;"&amp;$A79+7,Summary!$G$5:$G$241,"Yes"))</f>
        <v>0</v>
      </c>
      <c r="H79">
        <f>IF(H55="","",COUNTIFS(Summary!$E$5:$E$241,H55,Summary!$D$5:$D$241,"&gt;="&amp;$A79,Summary!$D$5:$D$241,"&lt;"&amp;$A79+7,Summary!$G$5:$G$241,"Yes"))</f>
        <v>0</v>
      </c>
      <c r="I79">
        <f>IF(I55="","",COUNTIFS(Summary!$E$5:$E$241,I55,Summary!$D$5:$D$241,"&gt;="&amp;$A79,Summary!$D$5:$D$241,"&lt;"&amp;$A79+7,Summary!$G$5:$G$241,"Yes"))</f>
        <v>0</v>
      </c>
      <c r="J79">
        <f>IF(J55="","",COUNTIFS(Summary!$E$5:$E$241,J55,Summary!$D$5:$D$241,"&gt;="&amp;$A79,Summary!$D$5:$D$241,"&lt;"&amp;$A79+7,Summary!$G$5:$G$241,"Yes"))</f>
        <v>0</v>
      </c>
      <c r="K79">
        <f>IF(K55="","",COUNTIFS(Summary!$E$5:$E$241,K55,Summary!$D$5:$D$241,"&gt;="&amp;$A79,Summary!$D$5:$D$241,"&lt;"&amp;$A79+7,Summary!$G$5:$G$241,"Yes"))</f>
        <v>0</v>
      </c>
      <c r="L79">
        <f>IF(L55="","",COUNTIFS(Summary!$E$5:$E$241,L55,Summary!$D$5:$D$241,"&gt;="&amp;$A79,Summary!$D$5:$D$241,"&lt;"&amp;$A79+7,Summary!$G$5:$G$241,"Yes"))</f>
        <v>0</v>
      </c>
      <c r="M79">
        <f>IF(M55="","",COUNTIFS(Summary!$E$5:$E$241,M55,Summary!$D$5:$D$241,"&gt;="&amp;$A79,Summary!$D$5:$D$241,"&lt;"&amp;$A79+7,Summary!$G$5:$G$241,"Yes"))</f>
        <v>0</v>
      </c>
      <c r="N79">
        <f>IF(N55="","",COUNTIFS(Summary!$E$5:$E$241,N55,Summary!$D$5:$D$241,"&gt;="&amp;$A79,Summary!$D$5:$D$241,"&lt;"&amp;$A79+7,Summary!$G$5:$G$241,"Yes"))</f>
        <v>0</v>
      </c>
      <c r="O79">
        <f>IF(O55="","",COUNTIFS(Summary!$E$5:$E$241,O55,Summary!$D$5:$D$241,"&gt;="&amp;$A79,Summary!$D$5:$D$241,"&lt;"&amp;$A79+7,Summary!$G$5:$G$241,"Yes"))</f>
        <v>0</v>
      </c>
      <c r="P79">
        <f>IF(P55="","",COUNTIFS(Summary!$E$5:$E$241,P55,Summary!$D$5:$D$241,"&gt;="&amp;$A79,Summary!$D$5:$D$241,"&lt;"&amp;$A79+7,Summary!$G$5:$G$241,"Yes"))</f>
        <v>0</v>
      </c>
      <c r="Q79">
        <f>IF(Q55="","",COUNTIFS(Summary!$E$5:$E$241,Q55,Summary!$D$5:$D$241,"&gt;="&amp;$A79,Summary!$D$5:$D$241,"&lt;"&amp;$A79+7,Summary!$G$5:$G$241,"Yes"))</f>
        <v>0</v>
      </c>
      <c r="R79">
        <f>IF(R55="","",COUNTIFS(Summary!$E$5:$E$241,R55,Summary!$D$5:$D$241,"&gt;="&amp;$A79,Summary!$D$5:$D$241,"&lt;"&amp;$A79+7,Summary!$G$5:$G$241,"Yes"))</f>
        <v>0</v>
      </c>
      <c r="S79">
        <f>IF(S55="","",COUNTIFS(Summary!$E$5:$E$241,S55,Summary!$D$5:$D$241,"&gt;="&amp;$A79,Summary!$D$5:$D$241,"&lt;"&amp;$A79+7,Summary!$G$5:$G$241,"Yes"))</f>
        <v>0</v>
      </c>
      <c r="T79">
        <f>IF(T55="","",COUNTIFS(Summary!$E$5:$E$241,T55,Summary!$D$5:$D$241,"&gt;="&amp;$A79,Summary!$D$5:$D$241,"&lt;"&amp;$A79+7,Summary!$G$5:$G$241,"Yes"))</f>
        <v>0</v>
      </c>
      <c r="U79">
        <f>IF(U55="","",COUNTIFS(Summary!$E$5:$E$241,U55,Summary!$D$5:$D$241,"&gt;="&amp;$A79,Summary!$D$5:$D$241,"&lt;"&amp;$A79+7,Summary!$G$5:$G$241,"Yes"))</f>
        <v>0</v>
      </c>
      <c r="V79">
        <f>IF(V55="","",COUNTIFS(Summary!$E$5:$E$241,V55,Summary!$D$5:$D$241,"&gt;="&amp;$A79,Summary!$D$5:$D$241,"&lt;"&amp;$A79+7,Summary!$G$5:$G$241,"Yes"))</f>
        <v>0</v>
      </c>
      <c r="W79">
        <f>IF(W55="","",COUNTIFS(Summary!$E$5:$E$241,W55,Summary!$D$5:$D$241,"&gt;="&amp;$A79,Summary!$D$5:$D$241,"&lt;"&amp;$A79+7,Summary!$G$5:$G$241,"Yes"))</f>
        <v>0</v>
      </c>
      <c r="X79">
        <f>IF(X55="","",COUNTIFS(Summary!$E$5:$E$241,X55,Summary!$D$5:$D$241,"&gt;="&amp;$A79,Summary!$D$5:$D$241,"&lt;"&amp;$A79+7,Summary!$G$5:$G$241,"Yes"))</f>
        <v>0</v>
      </c>
      <c r="Y79">
        <f>IF(Y55="","",COUNTIFS(Summary!$E$5:$E$241,Y55,Summary!$D$5:$D$241,"&gt;="&amp;$A79,Summary!$D$5:$D$241,"&lt;"&amp;$A79+7,Summary!$G$5:$G$241,"Yes"))</f>
        <v>0</v>
      </c>
      <c r="Z79">
        <f>IF(Z55="","",COUNTIFS(Summary!$E$5:$E$241,Z55,Summary!$D$5:$D$241,"&gt;="&amp;$A79,Summary!$D$5:$D$241,"&lt;"&amp;$A79+7,Summary!$G$5:$G$241,"Yes"))</f>
        <v>0</v>
      </c>
      <c r="AA79">
        <f>IF(AA55="","",COUNTIFS(Summary!$E$5:$E$241,AA55,Summary!$D$5:$D$241,"&gt;="&amp;$A79,Summary!$D$5:$D$241,"&lt;"&amp;$A79+7,Summary!$G$5:$G$241,"Yes"))</f>
        <v>0</v>
      </c>
      <c r="AB79">
        <f>IF(AB55="","",COUNTIFS(Summary!$E$5:$E$241,AB55,Summary!$D$5:$D$241,"&gt;="&amp;$A79,Summary!$D$5:$D$241,"&lt;"&amp;$A79+7,Summary!$G$5:$G$241,"Yes"))</f>
        <v>0</v>
      </c>
      <c r="AC79">
        <f>IF(AC55="","",COUNTIFS(Summary!$E$5:$E$241,AC55,Summary!$D$5:$D$241,"&gt;="&amp;$A79,Summary!$D$5:$D$241,"&lt;"&amp;$A79+7,Summary!$G$5:$G$241,"Yes"))</f>
        <v>0</v>
      </c>
      <c r="AD79">
        <f>IF(AD55="","",COUNTIFS(Summary!$E$5:$E$241,AD55,Summary!$D$5:$D$241,"&gt;="&amp;$A79,Summary!$D$5:$D$241,"&lt;"&amp;$A79+7,Summary!$G$5:$G$241,"Yes"))</f>
        <v>0</v>
      </c>
      <c r="AE79">
        <f>IF(AE55="","",COUNTIFS(Summary!$E$5:$E$241,AE55,Summary!$D$5:$D$241,"&gt;="&amp;$A79,Summary!$D$5:$D$241,"&lt;"&amp;$A79+7,Summary!$G$5:$G$241,"Yes"))</f>
        <v>0</v>
      </c>
      <c r="AF79">
        <f>IF(AF55="","",COUNTIFS(Summary!$E$5:$E$241,AF55,Summary!$D$5:$D$241,"&gt;="&amp;$A79,Summary!$D$5:$D$241,"&lt;"&amp;$A79+7,Summary!$G$5:$G$241,"Yes"))</f>
        <v>0</v>
      </c>
      <c r="AG79">
        <f>IF(AG55="","",COUNTIFS(Summary!$E$5:$E$241,AG55,Summary!$D$5:$D$241,"&gt;="&amp;$A79,Summary!$D$5:$D$241,"&lt;"&amp;$A79+7,Summary!$G$5:$G$241,"Yes"))</f>
        <v>0</v>
      </c>
      <c r="AH79">
        <f>IF(AH55="","",COUNTIFS(Summary!$E$5:$E$241,AH55,Summary!$D$5:$D$241,"&gt;="&amp;$A79,Summary!$D$5:$D$241,"&lt;"&amp;$A79+7,Summary!$G$5:$G$241,"Yes"))</f>
        <v>0</v>
      </c>
      <c r="AI79">
        <f>IF(AI55="","",COUNTIFS(Summary!$E$5:$E$241,AI55,Summary!$D$5:$D$241,"&gt;="&amp;$A79,Summary!$D$5:$D$241,"&lt;"&amp;$A79+7,Summary!$G$5:$G$241,"Yes"))</f>
        <v>0</v>
      </c>
      <c r="AJ79">
        <f>IF(AJ55="","",COUNTIFS(Summary!$E$5:$E$241,AJ55,Summary!$D$5:$D$241,"&gt;="&amp;$A79,Summary!$D$5:$D$241,"&lt;"&amp;$A79+7,Summary!$G$5:$G$241,"Yes"))</f>
        <v>0</v>
      </c>
      <c r="AK79">
        <f>IF(AK55="","",COUNTIFS(Summary!$E$5:$E$241,AK55,Summary!$D$5:$D$241,"&gt;="&amp;$A79,Summary!$D$5:$D$241,"&lt;"&amp;$A79+7,Summary!$G$5:$G$241,"Yes"))</f>
        <v>0</v>
      </c>
      <c r="AL79">
        <f>IF(AL55="","",COUNTIFS(Summary!$E$5:$E$241,AL55,Summary!$D$5:$D$241,"&gt;="&amp;$A79,Summary!$D$5:$D$241,"&lt;"&amp;$A79+7,Summary!$G$5:$G$241,"Yes"))</f>
        <v>0</v>
      </c>
      <c r="AM79">
        <f>IF(AM55="","",COUNTIFS(Summary!$E$5:$E$241,AM55,Summary!$D$5:$D$241,"&gt;="&amp;$A79,Summary!$D$5:$D$241,"&lt;"&amp;$A79+7,Summary!$G$5:$G$241,"Yes"))</f>
        <v>0</v>
      </c>
      <c r="AN79">
        <f>IF(AN55="","",COUNTIFS(Summary!$E$5:$E$241,AN55,Summary!$D$5:$D$241,"&gt;="&amp;$A79,Summary!$D$5:$D$241,"&lt;"&amp;$A79+7,Summary!$G$5:$G$241,"Yes"))</f>
        <v>0</v>
      </c>
      <c r="AO79">
        <f>IF(AO55="","",COUNTIFS(Summary!$E$5:$E$241,AO55,Summary!$D$5:$D$241,"&gt;="&amp;$A79,Summary!$D$5:$D$241,"&lt;"&amp;$A79+7,Summary!$G$5:$G$241,"Yes"))</f>
        <v>0</v>
      </c>
      <c r="AP79">
        <f>IF(AP55="","",COUNTIFS(Summary!$E$5:$E$241,AP55,Summary!$D$5:$D$241,"&gt;="&amp;$A79,Summary!$D$5:$D$241,"&lt;"&amp;$A79+7,Summary!$G$5:$G$241,"Yes"))</f>
        <v>0</v>
      </c>
      <c r="AQ79">
        <f>IF(AQ55="","",COUNTIFS(Summary!$E$5:$E$241,AQ55,Summary!$D$5:$D$241,"&gt;="&amp;$A79,Summary!$D$5:$D$241,"&lt;"&amp;$A79+7,Summary!$G$5:$G$241,"Yes"))</f>
        <v>0</v>
      </c>
      <c r="AR79">
        <f>IF(AR55="","",COUNTIFS(Summary!$E$5:$E$241,AR55,Summary!$D$5:$D$241,"&gt;="&amp;$A79,Summary!$D$5:$D$241,"&lt;"&amp;$A79+7,Summary!$G$5:$G$241,"Yes"))</f>
        <v>0</v>
      </c>
      <c r="AS79">
        <f>IF(AS55="","",COUNTIFS(Summary!$E$5:$E$241,AS55,Summary!$D$5:$D$241,"&gt;="&amp;$A79,Summary!$D$5:$D$241,"&lt;"&amp;$A79+7,Summary!$G$5:$G$241,"Yes"))</f>
        <v>0</v>
      </c>
      <c r="AT79">
        <f>IF(AT55="","",COUNTIFS(Summary!$E$5:$E$241,AT55,Summary!$D$5:$D$241,"&gt;="&amp;$A79,Summary!$D$5:$D$241,"&lt;"&amp;$A79+7,Summary!$G$5:$G$241,"Yes"))</f>
        <v>0</v>
      </c>
      <c r="AU79">
        <f>IF(AU55="","",COUNTIFS(Summary!$E$5:$E$241,AU55,Summary!$D$5:$D$241,"&gt;="&amp;$A79,Summary!$D$5:$D$241,"&lt;"&amp;$A79+7,Summary!$G$5:$G$241,"Yes"))</f>
        <v>0</v>
      </c>
      <c r="AV79">
        <f>IF(AV55="","",COUNTIFS(Summary!$E$5:$E$241,AV55,Summary!$D$5:$D$241,"&gt;="&amp;$A79,Summary!$D$5:$D$241,"&lt;"&amp;$A79+7,Summary!$G$5:$G$241,"Yes"))</f>
        <v>0</v>
      </c>
      <c r="AW79">
        <f>IF(AW55="","",COUNTIFS(Summary!$E$5:$E$241,AW55,Summary!$D$5:$D$241,"&gt;="&amp;$A79,Summary!$D$5:$D$241,"&lt;"&amp;$A79+7,Summary!$G$5:$G$241,"Yes"))</f>
        <v>0</v>
      </c>
      <c r="AX79">
        <f>IF(AX55="","",COUNTIFS(Summary!$E$5:$E$241,AX55,Summary!$D$5:$D$241,"&gt;="&amp;$A79,Summary!$D$5:$D$241,"&lt;"&amp;$A79+7,Summary!$G$5:$G$241,"Yes"))</f>
        <v>0</v>
      </c>
      <c r="AY79">
        <f>IF(AY55="","",COUNTIFS(Summary!$E$5:$E$241,AY55,Summary!$D$5:$D$241,"&gt;="&amp;$A79,Summary!$D$5:$D$241,"&lt;"&amp;$A79+7,Summary!$G$5:$G$241,"Yes"))</f>
        <v>0</v>
      </c>
      <c r="AZ79">
        <f>IF(AZ55="","",COUNTIFS(Summary!$E$5:$E$241,AZ55,Summary!$D$5:$D$241,"&gt;="&amp;$A79,Summary!$D$5:$D$241,"&lt;"&amp;$A79+7,Summary!$G$5:$G$241,"Yes"))</f>
        <v>0</v>
      </c>
      <c r="BA79">
        <f>IF(BA55="","",COUNTIFS(Summary!$E$5:$E$241,BA55,Summary!$D$5:$D$241,"&gt;="&amp;$A79,Summary!$D$5:$D$241,"&lt;"&amp;$A79+7,Summary!$G$5:$G$241,"Yes"))</f>
        <v>0</v>
      </c>
      <c r="BB79">
        <f>IF(BB55="","",COUNTIFS(Summary!$E$5:$E$241,BB55,Summary!$D$5:$D$241,"&gt;="&amp;$A79,Summary!$D$5:$D$241,"&lt;"&amp;$A79+7,Summary!$G$5:$G$241,"Yes"))</f>
        <v>0</v>
      </c>
      <c r="BC79">
        <f>IF(BC55="","",COUNTIFS(Summary!$E$5:$E$241,BC55,Summary!$D$5:$D$241,"&gt;="&amp;$A79,Summary!$D$5:$D$241,"&lt;"&amp;$A79+7,Summary!$G$5:$G$241,"Yes"))</f>
        <v>0</v>
      </c>
      <c r="BD79">
        <f>IF(BD55="","",COUNTIFS(Summary!$E$5:$E$241,BD55,Summary!$D$5:$D$241,"&gt;="&amp;$A79,Summary!$D$5:$D$241,"&lt;"&amp;$A79+7,Summary!$G$5:$G$241,"Yes"))</f>
        <v>0</v>
      </c>
      <c r="BE79">
        <f>IF(BE55="","",COUNTIFS(Summary!$E$5:$E$241,BE55,Summary!$D$5:$D$241,"&gt;="&amp;$A79,Summary!$D$5:$D$241,"&lt;"&amp;$A79+7,Summary!$G$5:$G$241,"Yes"))</f>
        <v>0</v>
      </c>
      <c r="BF79" s="28">
        <f>IF(BF55="","",COUNTIFS(Summary!$E$5:$E$241,BF55,Summary!$D$5:$D$241,"&gt;="&amp;$A79,Summary!$D$5:$D$241,"&lt;"&amp;$A79+7,Summary!$G$5:$G$241,"Yes"))</f>
        <v>0</v>
      </c>
    </row>
    <row r="80" spans="1:58">
      <c r="A80" s="18">
        <f t="shared" si="5"/>
        <v>46251</v>
      </c>
      <c r="B80" s="2" t="str">
        <f t="shared" si="4"/>
        <v>Aug 17</v>
      </c>
      <c r="C80">
        <f>IF(C55="","",COUNTIFS(Summary!$E$5:$E$241,C55,Summary!$D$5:$D$241,"&gt;="&amp;$A80,Summary!$D$5:$D$241,"&lt;"&amp;$A80+7,Summary!$G$5:$G$241,"Yes"))</f>
        <v>0</v>
      </c>
      <c r="D80">
        <f>IF(D55="","",COUNTIFS(Summary!$E$5:$E$241,D55,Summary!$D$5:$D$241,"&gt;="&amp;$A80,Summary!$D$5:$D$241,"&lt;"&amp;$A80+7,Summary!$G$5:$G$241,"Yes"))</f>
        <v>0</v>
      </c>
      <c r="E80">
        <f>IF(E55="","",COUNTIFS(Summary!$E$5:$E$241,E55,Summary!$D$5:$D$241,"&gt;="&amp;$A80,Summary!$D$5:$D$241,"&lt;"&amp;$A80+7,Summary!$G$5:$G$241,"Yes"))</f>
        <v>0</v>
      </c>
      <c r="F80">
        <f>IF(F55="","",COUNTIFS(Summary!$E$5:$E$241,F55,Summary!$D$5:$D$241,"&gt;="&amp;$A80,Summary!$D$5:$D$241,"&lt;"&amp;$A80+7,Summary!$G$5:$G$241,"Yes"))</f>
        <v>0</v>
      </c>
      <c r="G80">
        <f>IF(G55="","",COUNTIFS(Summary!$E$5:$E$241,G55,Summary!$D$5:$D$241,"&gt;="&amp;$A80,Summary!$D$5:$D$241,"&lt;"&amp;$A80+7,Summary!$G$5:$G$241,"Yes"))</f>
        <v>0</v>
      </c>
      <c r="H80">
        <f>IF(H55="","",COUNTIFS(Summary!$E$5:$E$241,H55,Summary!$D$5:$D$241,"&gt;="&amp;$A80,Summary!$D$5:$D$241,"&lt;"&amp;$A80+7,Summary!$G$5:$G$241,"Yes"))</f>
        <v>0</v>
      </c>
      <c r="I80">
        <f>IF(I55="","",COUNTIFS(Summary!$E$5:$E$241,I55,Summary!$D$5:$D$241,"&gt;="&amp;$A80,Summary!$D$5:$D$241,"&lt;"&amp;$A80+7,Summary!$G$5:$G$241,"Yes"))</f>
        <v>0</v>
      </c>
      <c r="J80">
        <f>IF(J55="","",COUNTIFS(Summary!$E$5:$E$241,J55,Summary!$D$5:$D$241,"&gt;="&amp;$A80,Summary!$D$5:$D$241,"&lt;"&amp;$A80+7,Summary!$G$5:$G$241,"Yes"))</f>
        <v>0</v>
      </c>
      <c r="K80">
        <f>IF(K55="","",COUNTIFS(Summary!$E$5:$E$241,K55,Summary!$D$5:$D$241,"&gt;="&amp;$A80,Summary!$D$5:$D$241,"&lt;"&amp;$A80+7,Summary!$G$5:$G$241,"Yes"))</f>
        <v>0</v>
      </c>
      <c r="L80">
        <f>IF(L55="","",COUNTIFS(Summary!$E$5:$E$241,L55,Summary!$D$5:$D$241,"&gt;="&amp;$A80,Summary!$D$5:$D$241,"&lt;"&amp;$A80+7,Summary!$G$5:$G$241,"Yes"))</f>
        <v>0</v>
      </c>
      <c r="M80">
        <f>IF(M55="","",COUNTIFS(Summary!$E$5:$E$241,M55,Summary!$D$5:$D$241,"&gt;="&amp;$A80,Summary!$D$5:$D$241,"&lt;"&amp;$A80+7,Summary!$G$5:$G$241,"Yes"))</f>
        <v>0</v>
      </c>
      <c r="N80">
        <f>IF(N55="","",COUNTIFS(Summary!$E$5:$E$241,N55,Summary!$D$5:$D$241,"&gt;="&amp;$A80,Summary!$D$5:$D$241,"&lt;"&amp;$A80+7,Summary!$G$5:$G$241,"Yes"))</f>
        <v>0</v>
      </c>
      <c r="O80">
        <f>IF(O55="","",COUNTIFS(Summary!$E$5:$E$241,O55,Summary!$D$5:$D$241,"&gt;="&amp;$A80,Summary!$D$5:$D$241,"&lt;"&amp;$A80+7,Summary!$G$5:$G$241,"Yes"))</f>
        <v>0</v>
      </c>
      <c r="P80">
        <f>IF(P55="","",COUNTIFS(Summary!$E$5:$E$241,P55,Summary!$D$5:$D$241,"&gt;="&amp;$A80,Summary!$D$5:$D$241,"&lt;"&amp;$A80+7,Summary!$G$5:$G$241,"Yes"))</f>
        <v>0</v>
      </c>
      <c r="Q80">
        <f>IF(Q55="","",COUNTIFS(Summary!$E$5:$E$241,Q55,Summary!$D$5:$D$241,"&gt;="&amp;$A80,Summary!$D$5:$D$241,"&lt;"&amp;$A80+7,Summary!$G$5:$G$241,"Yes"))</f>
        <v>0</v>
      </c>
      <c r="R80">
        <f>IF(R55="","",COUNTIFS(Summary!$E$5:$E$241,R55,Summary!$D$5:$D$241,"&gt;="&amp;$A80,Summary!$D$5:$D$241,"&lt;"&amp;$A80+7,Summary!$G$5:$G$241,"Yes"))</f>
        <v>0</v>
      </c>
      <c r="S80">
        <f>IF(S55="","",COUNTIFS(Summary!$E$5:$E$241,S55,Summary!$D$5:$D$241,"&gt;="&amp;$A80,Summary!$D$5:$D$241,"&lt;"&amp;$A80+7,Summary!$G$5:$G$241,"Yes"))</f>
        <v>0</v>
      </c>
      <c r="T80">
        <f>IF(T55="","",COUNTIFS(Summary!$E$5:$E$241,T55,Summary!$D$5:$D$241,"&gt;="&amp;$A80,Summary!$D$5:$D$241,"&lt;"&amp;$A80+7,Summary!$G$5:$G$241,"Yes"))</f>
        <v>0</v>
      </c>
      <c r="U80">
        <f>IF(U55="","",COUNTIFS(Summary!$E$5:$E$241,U55,Summary!$D$5:$D$241,"&gt;="&amp;$A80,Summary!$D$5:$D$241,"&lt;"&amp;$A80+7,Summary!$G$5:$G$241,"Yes"))</f>
        <v>0</v>
      </c>
      <c r="V80">
        <f>IF(V55="","",COUNTIFS(Summary!$E$5:$E$241,V55,Summary!$D$5:$D$241,"&gt;="&amp;$A80,Summary!$D$5:$D$241,"&lt;"&amp;$A80+7,Summary!$G$5:$G$241,"Yes"))</f>
        <v>0</v>
      </c>
      <c r="W80">
        <f>IF(W55="","",COUNTIFS(Summary!$E$5:$E$241,W55,Summary!$D$5:$D$241,"&gt;="&amp;$A80,Summary!$D$5:$D$241,"&lt;"&amp;$A80+7,Summary!$G$5:$G$241,"Yes"))</f>
        <v>0</v>
      </c>
      <c r="X80">
        <f>IF(X55="","",COUNTIFS(Summary!$E$5:$E$241,X55,Summary!$D$5:$D$241,"&gt;="&amp;$A80,Summary!$D$5:$D$241,"&lt;"&amp;$A80+7,Summary!$G$5:$G$241,"Yes"))</f>
        <v>0</v>
      </c>
      <c r="Y80">
        <f>IF(Y55="","",COUNTIFS(Summary!$E$5:$E$241,Y55,Summary!$D$5:$D$241,"&gt;="&amp;$A80,Summary!$D$5:$D$241,"&lt;"&amp;$A80+7,Summary!$G$5:$G$241,"Yes"))</f>
        <v>0</v>
      </c>
      <c r="Z80">
        <f>IF(Z55="","",COUNTIFS(Summary!$E$5:$E$241,Z55,Summary!$D$5:$D$241,"&gt;="&amp;$A80,Summary!$D$5:$D$241,"&lt;"&amp;$A80+7,Summary!$G$5:$G$241,"Yes"))</f>
        <v>0</v>
      </c>
      <c r="AA80">
        <f>IF(AA55="","",COUNTIFS(Summary!$E$5:$E$241,AA55,Summary!$D$5:$D$241,"&gt;="&amp;$A80,Summary!$D$5:$D$241,"&lt;"&amp;$A80+7,Summary!$G$5:$G$241,"Yes"))</f>
        <v>0</v>
      </c>
      <c r="AB80">
        <f>IF(AB55="","",COUNTIFS(Summary!$E$5:$E$241,AB55,Summary!$D$5:$D$241,"&gt;="&amp;$A80,Summary!$D$5:$D$241,"&lt;"&amp;$A80+7,Summary!$G$5:$G$241,"Yes"))</f>
        <v>0</v>
      </c>
      <c r="AC80">
        <f>IF(AC55="","",COUNTIFS(Summary!$E$5:$E$241,AC55,Summary!$D$5:$D$241,"&gt;="&amp;$A80,Summary!$D$5:$D$241,"&lt;"&amp;$A80+7,Summary!$G$5:$G$241,"Yes"))</f>
        <v>0</v>
      </c>
      <c r="AD80">
        <f>IF(AD55="","",COUNTIFS(Summary!$E$5:$E$241,AD55,Summary!$D$5:$D$241,"&gt;="&amp;$A80,Summary!$D$5:$D$241,"&lt;"&amp;$A80+7,Summary!$G$5:$G$241,"Yes"))</f>
        <v>0</v>
      </c>
      <c r="AE80">
        <f>IF(AE55="","",COUNTIFS(Summary!$E$5:$E$241,AE55,Summary!$D$5:$D$241,"&gt;="&amp;$A80,Summary!$D$5:$D$241,"&lt;"&amp;$A80+7,Summary!$G$5:$G$241,"Yes"))</f>
        <v>0</v>
      </c>
      <c r="AF80">
        <f>IF(AF55="","",COUNTIFS(Summary!$E$5:$E$241,AF55,Summary!$D$5:$D$241,"&gt;="&amp;$A80,Summary!$D$5:$D$241,"&lt;"&amp;$A80+7,Summary!$G$5:$G$241,"Yes"))</f>
        <v>0</v>
      </c>
      <c r="AG80">
        <f>IF(AG55="","",COUNTIFS(Summary!$E$5:$E$241,AG55,Summary!$D$5:$D$241,"&gt;="&amp;$A80,Summary!$D$5:$D$241,"&lt;"&amp;$A80+7,Summary!$G$5:$G$241,"Yes"))</f>
        <v>0</v>
      </c>
      <c r="AH80">
        <f>IF(AH55="","",COUNTIFS(Summary!$E$5:$E$241,AH55,Summary!$D$5:$D$241,"&gt;="&amp;$A80,Summary!$D$5:$D$241,"&lt;"&amp;$A80+7,Summary!$G$5:$G$241,"Yes"))</f>
        <v>0</v>
      </c>
      <c r="AI80">
        <f>IF(AI55="","",COUNTIFS(Summary!$E$5:$E$241,AI55,Summary!$D$5:$D$241,"&gt;="&amp;$A80,Summary!$D$5:$D$241,"&lt;"&amp;$A80+7,Summary!$G$5:$G$241,"Yes"))</f>
        <v>0</v>
      </c>
      <c r="AJ80">
        <f>IF(AJ55="","",COUNTIFS(Summary!$E$5:$E$241,AJ55,Summary!$D$5:$D$241,"&gt;="&amp;$A80,Summary!$D$5:$D$241,"&lt;"&amp;$A80+7,Summary!$G$5:$G$241,"Yes"))</f>
        <v>0</v>
      </c>
      <c r="AK80">
        <f>IF(AK55="","",COUNTIFS(Summary!$E$5:$E$241,AK55,Summary!$D$5:$D$241,"&gt;="&amp;$A80,Summary!$D$5:$D$241,"&lt;"&amp;$A80+7,Summary!$G$5:$G$241,"Yes"))</f>
        <v>0</v>
      </c>
      <c r="AL80">
        <f>IF(AL55="","",COUNTIFS(Summary!$E$5:$E$241,AL55,Summary!$D$5:$D$241,"&gt;="&amp;$A80,Summary!$D$5:$D$241,"&lt;"&amp;$A80+7,Summary!$G$5:$G$241,"Yes"))</f>
        <v>0</v>
      </c>
      <c r="AM80">
        <f>IF(AM55="","",COUNTIFS(Summary!$E$5:$E$241,AM55,Summary!$D$5:$D$241,"&gt;="&amp;$A80,Summary!$D$5:$D$241,"&lt;"&amp;$A80+7,Summary!$G$5:$G$241,"Yes"))</f>
        <v>0</v>
      </c>
      <c r="AN80">
        <f>IF(AN55="","",COUNTIFS(Summary!$E$5:$E$241,AN55,Summary!$D$5:$D$241,"&gt;="&amp;$A80,Summary!$D$5:$D$241,"&lt;"&amp;$A80+7,Summary!$G$5:$G$241,"Yes"))</f>
        <v>0</v>
      </c>
      <c r="AO80">
        <f>IF(AO55="","",COUNTIFS(Summary!$E$5:$E$241,AO55,Summary!$D$5:$D$241,"&gt;="&amp;$A80,Summary!$D$5:$D$241,"&lt;"&amp;$A80+7,Summary!$G$5:$G$241,"Yes"))</f>
        <v>0</v>
      </c>
      <c r="AP80">
        <f>IF(AP55="","",COUNTIFS(Summary!$E$5:$E$241,AP55,Summary!$D$5:$D$241,"&gt;="&amp;$A80,Summary!$D$5:$D$241,"&lt;"&amp;$A80+7,Summary!$G$5:$G$241,"Yes"))</f>
        <v>0</v>
      </c>
      <c r="AQ80">
        <f>IF(AQ55="","",COUNTIFS(Summary!$E$5:$E$241,AQ55,Summary!$D$5:$D$241,"&gt;="&amp;$A80,Summary!$D$5:$D$241,"&lt;"&amp;$A80+7,Summary!$G$5:$G$241,"Yes"))</f>
        <v>0</v>
      </c>
      <c r="AR80">
        <f>IF(AR55="","",COUNTIFS(Summary!$E$5:$E$241,AR55,Summary!$D$5:$D$241,"&gt;="&amp;$A80,Summary!$D$5:$D$241,"&lt;"&amp;$A80+7,Summary!$G$5:$G$241,"Yes"))</f>
        <v>0</v>
      </c>
      <c r="AS80">
        <f>IF(AS55="","",COUNTIFS(Summary!$E$5:$E$241,AS55,Summary!$D$5:$D$241,"&gt;="&amp;$A80,Summary!$D$5:$D$241,"&lt;"&amp;$A80+7,Summary!$G$5:$G$241,"Yes"))</f>
        <v>0</v>
      </c>
      <c r="AT80">
        <f>IF(AT55="","",COUNTIFS(Summary!$E$5:$E$241,AT55,Summary!$D$5:$D$241,"&gt;="&amp;$A80,Summary!$D$5:$D$241,"&lt;"&amp;$A80+7,Summary!$G$5:$G$241,"Yes"))</f>
        <v>0</v>
      </c>
      <c r="AU80">
        <f>IF(AU55="","",COUNTIFS(Summary!$E$5:$E$241,AU55,Summary!$D$5:$D$241,"&gt;="&amp;$A80,Summary!$D$5:$D$241,"&lt;"&amp;$A80+7,Summary!$G$5:$G$241,"Yes"))</f>
        <v>0</v>
      </c>
      <c r="AV80">
        <f>IF(AV55="","",COUNTIFS(Summary!$E$5:$E$241,AV55,Summary!$D$5:$D$241,"&gt;="&amp;$A80,Summary!$D$5:$D$241,"&lt;"&amp;$A80+7,Summary!$G$5:$G$241,"Yes"))</f>
        <v>0</v>
      </c>
      <c r="AW80">
        <f>IF(AW55="","",COUNTIFS(Summary!$E$5:$E$241,AW55,Summary!$D$5:$D$241,"&gt;="&amp;$A80,Summary!$D$5:$D$241,"&lt;"&amp;$A80+7,Summary!$G$5:$G$241,"Yes"))</f>
        <v>0</v>
      </c>
      <c r="AX80">
        <f>IF(AX55="","",COUNTIFS(Summary!$E$5:$E$241,AX55,Summary!$D$5:$D$241,"&gt;="&amp;$A80,Summary!$D$5:$D$241,"&lt;"&amp;$A80+7,Summary!$G$5:$G$241,"Yes"))</f>
        <v>0</v>
      </c>
      <c r="AY80">
        <f>IF(AY55="","",COUNTIFS(Summary!$E$5:$E$241,AY55,Summary!$D$5:$D$241,"&gt;="&amp;$A80,Summary!$D$5:$D$241,"&lt;"&amp;$A80+7,Summary!$G$5:$G$241,"Yes"))</f>
        <v>0</v>
      </c>
      <c r="AZ80">
        <f>IF(AZ55="","",COUNTIFS(Summary!$E$5:$E$241,AZ55,Summary!$D$5:$D$241,"&gt;="&amp;$A80,Summary!$D$5:$D$241,"&lt;"&amp;$A80+7,Summary!$G$5:$G$241,"Yes"))</f>
        <v>0</v>
      </c>
      <c r="BA80">
        <f>IF(BA55="","",COUNTIFS(Summary!$E$5:$E$241,BA55,Summary!$D$5:$D$241,"&gt;="&amp;$A80,Summary!$D$5:$D$241,"&lt;"&amp;$A80+7,Summary!$G$5:$G$241,"Yes"))</f>
        <v>0</v>
      </c>
      <c r="BB80">
        <f>IF(BB55="","",COUNTIFS(Summary!$E$5:$E$241,BB55,Summary!$D$5:$D$241,"&gt;="&amp;$A80,Summary!$D$5:$D$241,"&lt;"&amp;$A80+7,Summary!$G$5:$G$241,"Yes"))</f>
        <v>0</v>
      </c>
      <c r="BC80">
        <f>IF(BC55="","",COUNTIFS(Summary!$E$5:$E$241,BC55,Summary!$D$5:$D$241,"&gt;="&amp;$A80,Summary!$D$5:$D$241,"&lt;"&amp;$A80+7,Summary!$G$5:$G$241,"Yes"))</f>
        <v>0</v>
      </c>
      <c r="BD80">
        <f>IF(BD55="","",COUNTIFS(Summary!$E$5:$E$241,BD55,Summary!$D$5:$D$241,"&gt;="&amp;$A80,Summary!$D$5:$D$241,"&lt;"&amp;$A80+7,Summary!$G$5:$G$241,"Yes"))</f>
        <v>0</v>
      </c>
      <c r="BE80">
        <f>IF(BE55="","",COUNTIFS(Summary!$E$5:$E$241,BE55,Summary!$D$5:$D$241,"&gt;="&amp;$A80,Summary!$D$5:$D$241,"&lt;"&amp;$A80+7,Summary!$G$5:$G$241,"Yes"))</f>
        <v>0</v>
      </c>
      <c r="BF80" s="28">
        <f>IF(BF55="","",COUNTIFS(Summary!$E$5:$E$241,BF55,Summary!$D$5:$D$241,"&gt;="&amp;$A80,Summary!$D$5:$D$241,"&lt;"&amp;$A80+7,Summary!$G$5:$G$241,"Yes"))</f>
        <v>0</v>
      </c>
    </row>
    <row r="81" spans="1:58">
      <c r="A81" s="18">
        <f t="shared" si="5"/>
        <v>46258</v>
      </c>
      <c r="B81" s="2" t="str">
        <f t="shared" si="4"/>
        <v>Aug 24</v>
      </c>
      <c r="C81">
        <f>IF(C55="","",COUNTIFS(Summary!$E$5:$E$241,C55,Summary!$D$5:$D$241,"&gt;="&amp;$A81,Summary!$D$5:$D$241,"&lt;"&amp;$A81+7,Summary!$G$5:$G$241,"Yes"))</f>
        <v>0</v>
      </c>
      <c r="D81">
        <f>IF(D55="","",COUNTIFS(Summary!$E$5:$E$241,D55,Summary!$D$5:$D$241,"&gt;="&amp;$A81,Summary!$D$5:$D$241,"&lt;"&amp;$A81+7,Summary!$G$5:$G$241,"Yes"))</f>
        <v>0</v>
      </c>
      <c r="E81">
        <f>IF(E55="","",COUNTIFS(Summary!$E$5:$E$241,E55,Summary!$D$5:$D$241,"&gt;="&amp;$A81,Summary!$D$5:$D$241,"&lt;"&amp;$A81+7,Summary!$G$5:$G$241,"Yes"))</f>
        <v>0</v>
      </c>
      <c r="F81">
        <f>IF(F55="","",COUNTIFS(Summary!$E$5:$E$241,F55,Summary!$D$5:$D$241,"&gt;="&amp;$A81,Summary!$D$5:$D$241,"&lt;"&amp;$A81+7,Summary!$G$5:$G$241,"Yes"))</f>
        <v>0</v>
      </c>
      <c r="G81">
        <f>IF(G55="","",COUNTIFS(Summary!$E$5:$E$241,G55,Summary!$D$5:$D$241,"&gt;="&amp;$A81,Summary!$D$5:$D$241,"&lt;"&amp;$A81+7,Summary!$G$5:$G$241,"Yes"))</f>
        <v>0</v>
      </c>
      <c r="H81">
        <f>IF(H55="","",COUNTIFS(Summary!$E$5:$E$241,H55,Summary!$D$5:$D$241,"&gt;="&amp;$A81,Summary!$D$5:$D$241,"&lt;"&amp;$A81+7,Summary!$G$5:$G$241,"Yes"))</f>
        <v>0</v>
      </c>
      <c r="I81">
        <f>IF(I55="","",COUNTIFS(Summary!$E$5:$E$241,I55,Summary!$D$5:$D$241,"&gt;="&amp;$A81,Summary!$D$5:$D$241,"&lt;"&amp;$A81+7,Summary!$G$5:$G$241,"Yes"))</f>
        <v>0</v>
      </c>
      <c r="J81">
        <f>IF(J55="","",COUNTIFS(Summary!$E$5:$E$241,J55,Summary!$D$5:$D$241,"&gt;="&amp;$A81,Summary!$D$5:$D$241,"&lt;"&amp;$A81+7,Summary!$G$5:$G$241,"Yes"))</f>
        <v>0</v>
      </c>
      <c r="K81">
        <f>IF(K55="","",COUNTIFS(Summary!$E$5:$E$241,K55,Summary!$D$5:$D$241,"&gt;="&amp;$A81,Summary!$D$5:$D$241,"&lt;"&amp;$A81+7,Summary!$G$5:$G$241,"Yes"))</f>
        <v>0</v>
      </c>
      <c r="L81">
        <f>IF(L55="","",COUNTIFS(Summary!$E$5:$E$241,L55,Summary!$D$5:$D$241,"&gt;="&amp;$A81,Summary!$D$5:$D$241,"&lt;"&amp;$A81+7,Summary!$G$5:$G$241,"Yes"))</f>
        <v>0</v>
      </c>
      <c r="M81">
        <f>IF(M55="","",COUNTIFS(Summary!$E$5:$E$241,M55,Summary!$D$5:$D$241,"&gt;="&amp;$A81,Summary!$D$5:$D$241,"&lt;"&amp;$A81+7,Summary!$G$5:$G$241,"Yes"))</f>
        <v>0</v>
      </c>
      <c r="N81">
        <f>IF(N55="","",COUNTIFS(Summary!$E$5:$E$241,N55,Summary!$D$5:$D$241,"&gt;="&amp;$A81,Summary!$D$5:$D$241,"&lt;"&amp;$A81+7,Summary!$G$5:$G$241,"Yes"))</f>
        <v>0</v>
      </c>
      <c r="O81">
        <f>IF(O55="","",COUNTIFS(Summary!$E$5:$E$241,O55,Summary!$D$5:$D$241,"&gt;="&amp;$A81,Summary!$D$5:$D$241,"&lt;"&amp;$A81+7,Summary!$G$5:$G$241,"Yes"))</f>
        <v>0</v>
      </c>
      <c r="P81">
        <f>IF(P55="","",COUNTIFS(Summary!$E$5:$E$241,P55,Summary!$D$5:$D$241,"&gt;="&amp;$A81,Summary!$D$5:$D$241,"&lt;"&amp;$A81+7,Summary!$G$5:$G$241,"Yes"))</f>
        <v>0</v>
      </c>
      <c r="Q81">
        <f>IF(Q55="","",COUNTIFS(Summary!$E$5:$E$241,Q55,Summary!$D$5:$D$241,"&gt;="&amp;$A81,Summary!$D$5:$D$241,"&lt;"&amp;$A81+7,Summary!$G$5:$G$241,"Yes"))</f>
        <v>0</v>
      </c>
      <c r="R81">
        <f>IF(R55="","",COUNTIFS(Summary!$E$5:$E$241,R55,Summary!$D$5:$D$241,"&gt;="&amp;$A81,Summary!$D$5:$D$241,"&lt;"&amp;$A81+7,Summary!$G$5:$G$241,"Yes"))</f>
        <v>0</v>
      </c>
      <c r="S81">
        <f>IF(S55="","",COUNTIFS(Summary!$E$5:$E$241,S55,Summary!$D$5:$D$241,"&gt;="&amp;$A81,Summary!$D$5:$D$241,"&lt;"&amp;$A81+7,Summary!$G$5:$G$241,"Yes"))</f>
        <v>0</v>
      </c>
      <c r="T81">
        <f>IF(T55="","",COUNTIFS(Summary!$E$5:$E$241,T55,Summary!$D$5:$D$241,"&gt;="&amp;$A81,Summary!$D$5:$D$241,"&lt;"&amp;$A81+7,Summary!$G$5:$G$241,"Yes"))</f>
        <v>0</v>
      </c>
      <c r="U81">
        <f>IF(U55="","",COUNTIFS(Summary!$E$5:$E$241,U55,Summary!$D$5:$D$241,"&gt;="&amp;$A81,Summary!$D$5:$D$241,"&lt;"&amp;$A81+7,Summary!$G$5:$G$241,"Yes"))</f>
        <v>0</v>
      </c>
      <c r="V81">
        <f>IF(V55="","",COUNTIFS(Summary!$E$5:$E$241,V55,Summary!$D$5:$D$241,"&gt;="&amp;$A81,Summary!$D$5:$D$241,"&lt;"&amp;$A81+7,Summary!$G$5:$G$241,"Yes"))</f>
        <v>0</v>
      </c>
      <c r="W81">
        <f>IF(W55="","",COUNTIFS(Summary!$E$5:$E$241,W55,Summary!$D$5:$D$241,"&gt;="&amp;$A81,Summary!$D$5:$D$241,"&lt;"&amp;$A81+7,Summary!$G$5:$G$241,"Yes"))</f>
        <v>0</v>
      </c>
      <c r="X81">
        <f>IF(X55="","",COUNTIFS(Summary!$E$5:$E$241,X55,Summary!$D$5:$D$241,"&gt;="&amp;$A81,Summary!$D$5:$D$241,"&lt;"&amp;$A81+7,Summary!$G$5:$G$241,"Yes"))</f>
        <v>0</v>
      </c>
      <c r="Y81">
        <f>IF(Y55="","",COUNTIFS(Summary!$E$5:$E$241,Y55,Summary!$D$5:$D$241,"&gt;="&amp;$A81,Summary!$D$5:$D$241,"&lt;"&amp;$A81+7,Summary!$G$5:$G$241,"Yes"))</f>
        <v>0</v>
      </c>
      <c r="Z81">
        <f>IF(Z55="","",COUNTIFS(Summary!$E$5:$E$241,Z55,Summary!$D$5:$D$241,"&gt;="&amp;$A81,Summary!$D$5:$D$241,"&lt;"&amp;$A81+7,Summary!$G$5:$G$241,"Yes"))</f>
        <v>0</v>
      </c>
      <c r="AA81">
        <f>IF(AA55="","",COUNTIFS(Summary!$E$5:$E$241,AA55,Summary!$D$5:$D$241,"&gt;="&amp;$A81,Summary!$D$5:$D$241,"&lt;"&amp;$A81+7,Summary!$G$5:$G$241,"Yes"))</f>
        <v>0</v>
      </c>
      <c r="AB81">
        <f>IF(AB55="","",COUNTIFS(Summary!$E$5:$E$241,AB55,Summary!$D$5:$D$241,"&gt;="&amp;$A81,Summary!$D$5:$D$241,"&lt;"&amp;$A81+7,Summary!$G$5:$G$241,"Yes"))</f>
        <v>0</v>
      </c>
      <c r="AC81">
        <f>IF(AC55="","",COUNTIFS(Summary!$E$5:$E$241,AC55,Summary!$D$5:$D$241,"&gt;="&amp;$A81,Summary!$D$5:$D$241,"&lt;"&amp;$A81+7,Summary!$G$5:$G$241,"Yes"))</f>
        <v>0</v>
      </c>
      <c r="AD81">
        <f>IF(AD55="","",COUNTIFS(Summary!$E$5:$E$241,AD55,Summary!$D$5:$D$241,"&gt;="&amp;$A81,Summary!$D$5:$D$241,"&lt;"&amp;$A81+7,Summary!$G$5:$G$241,"Yes"))</f>
        <v>0</v>
      </c>
      <c r="AE81">
        <f>IF(AE55="","",COUNTIFS(Summary!$E$5:$E$241,AE55,Summary!$D$5:$D$241,"&gt;="&amp;$A81,Summary!$D$5:$D$241,"&lt;"&amp;$A81+7,Summary!$G$5:$G$241,"Yes"))</f>
        <v>0</v>
      </c>
      <c r="AF81">
        <f>IF(AF55="","",COUNTIFS(Summary!$E$5:$E$241,AF55,Summary!$D$5:$D$241,"&gt;="&amp;$A81,Summary!$D$5:$D$241,"&lt;"&amp;$A81+7,Summary!$G$5:$G$241,"Yes"))</f>
        <v>0</v>
      </c>
      <c r="AG81">
        <f>IF(AG55="","",COUNTIFS(Summary!$E$5:$E$241,AG55,Summary!$D$5:$D$241,"&gt;="&amp;$A81,Summary!$D$5:$D$241,"&lt;"&amp;$A81+7,Summary!$G$5:$G$241,"Yes"))</f>
        <v>0</v>
      </c>
      <c r="AH81">
        <f>IF(AH55="","",COUNTIFS(Summary!$E$5:$E$241,AH55,Summary!$D$5:$D$241,"&gt;="&amp;$A81,Summary!$D$5:$D$241,"&lt;"&amp;$A81+7,Summary!$G$5:$G$241,"Yes"))</f>
        <v>0</v>
      </c>
      <c r="AI81">
        <f>IF(AI55="","",COUNTIFS(Summary!$E$5:$E$241,AI55,Summary!$D$5:$D$241,"&gt;="&amp;$A81,Summary!$D$5:$D$241,"&lt;"&amp;$A81+7,Summary!$G$5:$G$241,"Yes"))</f>
        <v>0</v>
      </c>
      <c r="AJ81">
        <f>IF(AJ55="","",COUNTIFS(Summary!$E$5:$E$241,AJ55,Summary!$D$5:$D$241,"&gt;="&amp;$A81,Summary!$D$5:$D$241,"&lt;"&amp;$A81+7,Summary!$G$5:$G$241,"Yes"))</f>
        <v>0</v>
      </c>
      <c r="AK81">
        <f>IF(AK55="","",COUNTIFS(Summary!$E$5:$E$241,AK55,Summary!$D$5:$D$241,"&gt;="&amp;$A81,Summary!$D$5:$D$241,"&lt;"&amp;$A81+7,Summary!$G$5:$G$241,"Yes"))</f>
        <v>0</v>
      </c>
      <c r="AL81">
        <f>IF(AL55="","",COUNTIFS(Summary!$E$5:$E$241,AL55,Summary!$D$5:$D$241,"&gt;="&amp;$A81,Summary!$D$5:$D$241,"&lt;"&amp;$A81+7,Summary!$G$5:$G$241,"Yes"))</f>
        <v>0</v>
      </c>
      <c r="AM81">
        <f>IF(AM55="","",COUNTIFS(Summary!$E$5:$E$241,AM55,Summary!$D$5:$D$241,"&gt;="&amp;$A81,Summary!$D$5:$D$241,"&lt;"&amp;$A81+7,Summary!$G$5:$G$241,"Yes"))</f>
        <v>0</v>
      </c>
      <c r="AN81">
        <f>IF(AN55="","",COUNTIFS(Summary!$E$5:$E$241,AN55,Summary!$D$5:$D$241,"&gt;="&amp;$A81,Summary!$D$5:$D$241,"&lt;"&amp;$A81+7,Summary!$G$5:$G$241,"Yes"))</f>
        <v>0</v>
      </c>
      <c r="AO81">
        <f>IF(AO55="","",COUNTIFS(Summary!$E$5:$E$241,AO55,Summary!$D$5:$D$241,"&gt;="&amp;$A81,Summary!$D$5:$D$241,"&lt;"&amp;$A81+7,Summary!$G$5:$G$241,"Yes"))</f>
        <v>0</v>
      </c>
      <c r="AP81">
        <f>IF(AP55="","",COUNTIFS(Summary!$E$5:$E$241,AP55,Summary!$D$5:$D$241,"&gt;="&amp;$A81,Summary!$D$5:$D$241,"&lt;"&amp;$A81+7,Summary!$G$5:$G$241,"Yes"))</f>
        <v>0</v>
      </c>
      <c r="AQ81">
        <f>IF(AQ55="","",COUNTIFS(Summary!$E$5:$E$241,AQ55,Summary!$D$5:$D$241,"&gt;="&amp;$A81,Summary!$D$5:$D$241,"&lt;"&amp;$A81+7,Summary!$G$5:$G$241,"Yes"))</f>
        <v>0</v>
      </c>
      <c r="AR81">
        <f>IF(AR55="","",COUNTIFS(Summary!$E$5:$E$241,AR55,Summary!$D$5:$D$241,"&gt;="&amp;$A81,Summary!$D$5:$D$241,"&lt;"&amp;$A81+7,Summary!$G$5:$G$241,"Yes"))</f>
        <v>0</v>
      </c>
      <c r="AS81">
        <f>IF(AS55="","",COUNTIFS(Summary!$E$5:$E$241,AS55,Summary!$D$5:$D$241,"&gt;="&amp;$A81,Summary!$D$5:$D$241,"&lt;"&amp;$A81+7,Summary!$G$5:$G$241,"Yes"))</f>
        <v>0</v>
      </c>
      <c r="AT81">
        <f>IF(AT55="","",COUNTIFS(Summary!$E$5:$E$241,AT55,Summary!$D$5:$D$241,"&gt;="&amp;$A81,Summary!$D$5:$D$241,"&lt;"&amp;$A81+7,Summary!$G$5:$G$241,"Yes"))</f>
        <v>0</v>
      </c>
      <c r="AU81">
        <f>IF(AU55="","",COUNTIFS(Summary!$E$5:$E$241,AU55,Summary!$D$5:$D$241,"&gt;="&amp;$A81,Summary!$D$5:$D$241,"&lt;"&amp;$A81+7,Summary!$G$5:$G$241,"Yes"))</f>
        <v>0</v>
      </c>
      <c r="AV81">
        <f>IF(AV55="","",COUNTIFS(Summary!$E$5:$E$241,AV55,Summary!$D$5:$D$241,"&gt;="&amp;$A81,Summary!$D$5:$D$241,"&lt;"&amp;$A81+7,Summary!$G$5:$G$241,"Yes"))</f>
        <v>0</v>
      </c>
      <c r="AW81">
        <f>IF(AW55="","",COUNTIFS(Summary!$E$5:$E$241,AW55,Summary!$D$5:$D$241,"&gt;="&amp;$A81,Summary!$D$5:$D$241,"&lt;"&amp;$A81+7,Summary!$G$5:$G$241,"Yes"))</f>
        <v>0</v>
      </c>
      <c r="AX81">
        <f>IF(AX55="","",COUNTIFS(Summary!$E$5:$E$241,AX55,Summary!$D$5:$D$241,"&gt;="&amp;$A81,Summary!$D$5:$D$241,"&lt;"&amp;$A81+7,Summary!$G$5:$G$241,"Yes"))</f>
        <v>0</v>
      </c>
      <c r="AY81">
        <f>IF(AY55="","",COUNTIFS(Summary!$E$5:$E$241,AY55,Summary!$D$5:$D$241,"&gt;="&amp;$A81,Summary!$D$5:$D$241,"&lt;"&amp;$A81+7,Summary!$G$5:$G$241,"Yes"))</f>
        <v>0</v>
      </c>
      <c r="AZ81">
        <f>IF(AZ55="","",COUNTIFS(Summary!$E$5:$E$241,AZ55,Summary!$D$5:$D$241,"&gt;="&amp;$A81,Summary!$D$5:$D$241,"&lt;"&amp;$A81+7,Summary!$G$5:$G$241,"Yes"))</f>
        <v>0</v>
      </c>
      <c r="BA81">
        <f>IF(BA55="","",COUNTIFS(Summary!$E$5:$E$241,BA55,Summary!$D$5:$D$241,"&gt;="&amp;$A81,Summary!$D$5:$D$241,"&lt;"&amp;$A81+7,Summary!$G$5:$G$241,"Yes"))</f>
        <v>0</v>
      </c>
      <c r="BB81">
        <f>IF(BB55="","",COUNTIFS(Summary!$E$5:$E$241,BB55,Summary!$D$5:$D$241,"&gt;="&amp;$A81,Summary!$D$5:$D$241,"&lt;"&amp;$A81+7,Summary!$G$5:$G$241,"Yes"))</f>
        <v>0</v>
      </c>
      <c r="BC81">
        <f>IF(BC55="","",COUNTIFS(Summary!$E$5:$E$241,BC55,Summary!$D$5:$D$241,"&gt;="&amp;$A81,Summary!$D$5:$D$241,"&lt;"&amp;$A81+7,Summary!$G$5:$G$241,"Yes"))</f>
        <v>0</v>
      </c>
      <c r="BD81">
        <f>IF(BD55="","",COUNTIFS(Summary!$E$5:$E$241,BD55,Summary!$D$5:$D$241,"&gt;="&amp;$A81,Summary!$D$5:$D$241,"&lt;"&amp;$A81+7,Summary!$G$5:$G$241,"Yes"))</f>
        <v>0</v>
      </c>
      <c r="BE81">
        <f>IF(BE55="","",COUNTIFS(Summary!$E$5:$E$241,BE55,Summary!$D$5:$D$241,"&gt;="&amp;$A81,Summary!$D$5:$D$241,"&lt;"&amp;$A81+7,Summary!$G$5:$G$241,"Yes"))</f>
        <v>0</v>
      </c>
      <c r="BF81" s="28">
        <f>IF(BF55="","",COUNTIFS(Summary!$E$5:$E$241,BF55,Summary!$D$5:$D$241,"&gt;="&amp;$A81,Summary!$D$5:$D$241,"&lt;"&amp;$A81+7,Summary!$G$5:$G$241,"Yes"))</f>
        <v>0</v>
      </c>
    </row>
    <row r="82" spans="1:58">
      <c r="A82" s="18">
        <f t="shared" si="5"/>
        <v>46265</v>
      </c>
      <c r="B82" s="2" t="str">
        <f t="shared" si="4"/>
        <v>Aug 31</v>
      </c>
      <c r="C82">
        <f>IF(C55="","",COUNTIFS(Summary!$E$5:$E$241,C55,Summary!$D$5:$D$241,"&gt;="&amp;$A82,Summary!$D$5:$D$241,"&lt;"&amp;$A82+7,Summary!$G$5:$G$241,"Yes"))</f>
        <v>0</v>
      </c>
      <c r="D82">
        <f>IF(D55="","",COUNTIFS(Summary!$E$5:$E$241,D55,Summary!$D$5:$D$241,"&gt;="&amp;$A82,Summary!$D$5:$D$241,"&lt;"&amp;$A82+7,Summary!$G$5:$G$241,"Yes"))</f>
        <v>0</v>
      </c>
      <c r="E82">
        <f>IF(E55="","",COUNTIFS(Summary!$E$5:$E$241,E55,Summary!$D$5:$D$241,"&gt;="&amp;$A82,Summary!$D$5:$D$241,"&lt;"&amp;$A82+7,Summary!$G$5:$G$241,"Yes"))</f>
        <v>0</v>
      </c>
      <c r="F82">
        <f>IF(F55="","",COUNTIFS(Summary!$E$5:$E$241,F55,Summary!$D$5:$D$241,"&gt;="&amp;$A82,Summary!$D$5:$D$241,"&lt;"&amp;$A82+7,Summary!$G$5:$G$241,"Yes"))</f>
        <v>0</v>
      </c>
      <c r="G82">
        <f>IF(G55="","",COUNTIFS(Summary!$E$5:$E$241,G55,Summary!$D$5:$D$241,"&gt;="&amp;$A82,Summary!$D$5:$D$241,"&lt;"&amp;$A82+7,Summary!$G$5:$G$241,"Yes"))</f>
        <v>0</v>
      </c>
      <c r="H82">
        <f>IF(H55="","",COUNTIFS(Summary!$E$5:$E$241,H55,Summary!$D$5:$D$241,"&gt;="&amp;$A82,Summary!$D$5:$D$241,"&lt;"&amp;$A82+7,Summary!$G$5:$G$241,"Yes"))</f>
        <v>0</v>
      </c>
      <c r="I82">
        <f>IF(I55="","",COUNTIFS(Summary!$E$5:$E$241,I55,Summary!$D$5:$D$241,"&gt;="&amp;$A82,Summary!$D$5:$D$241,"&lt;"&amp;$A82+7,Summary!$G$5:$G$241,"Yes"))</f>
        <v>0</v>
      </c>
      <c r="J82">
        <f>IF(J55="","",COUNTIFS(Summary!$E$5:$E$241,J55,Summary!$D$5:$D$241,"&gt;="&amp;$A82,Summary!$D$5:$D$241,"&lt;"&amp;$A82+7,Summary!$G$5:$G$241,"Yes"))</f>
        <v>0</v>
      </c>
      <c r="K82">
        <f>IF(K55="","",COUNTIFS(Summary!$E$5:$E$241,K55,Summary!$D$5:$D$241,"&gt;="&amp;$A82,Summary!$D$5:$D$241,"&lt;"&amp;$A82+7,Summary!$G$5:$G$241,"Yes"))</f>
        <v>0</v>
      </c>
      <c r="L82">
        <f>IF(L55="","",COUNTIFS(Summary!$E$5:$E$241,L55,Summary!$D$5:$D$241,"&gt;="&amp;$A82,Summary!$D$5:$D$241,"&lt;"&amp;$A82+7,Summary!$G$5:$G$241,"Yes"))</f>
        <v>0</v>
      </c>
      <c r="M82">
        <f>IF(M55="","",COUNTIFS(Summary!$E$5:$E$241,M55,Summary!$D$5:$D$241,"&gt;="&amp;$A82,Summary!$D$5:$D$241,"&lt;"&amp;$A82+7,Summary!$G$5:$G$241,"Yes"))</f>
        <v>0</v>
      </c>
      <c r="N82">
        <f>IF(N55="","",COUNTIFS(Summary!$E$5:$E$241,N55,Summary!$D$5:$D$241,"&gt;="&amp;$A82,Summary!$D$5:$D$241,"&lt;"&amp;$A82+7,Summary!$G$5:$G$241,"Yes"))</f>
        <v>0</v>
      </c>
      <c r="O82">
        <f>IF(O55="","",COUNTIFS(Summary!$E$5:$E$241,O55,Summary!$D$5:$D$241,"&gt;="&amp;$A82,Summary!$D$5:$D$241,"&lt;"&amp;$A82+7,Summary!$G$5:$G$241,"Yes"))</f>
        <v>0</v>
      </c>
      <c r="P82">
        <f>IF(P55="","",COUNTIFS(Summary!$E$5:$E$241,P55,Summary!$D$5:$D$241,"&gt;="&amp;$A82,Summary!$D$5:$D$241,"&lt;"&amp;$A82+7,Summary!$G$5:$G$241,"Yes"))</f>
        <v>0</v>
      </c>
      <c r="Q82">
        <f>IF(Q55="","",COUNTIFS(Summary!$E$5:$E$241,Q55,Summary!$D$5:$D$241,"&gt;="&amp;$A82,Summary!$D$5:$D$241,"&lt;"&amp;$A82+7,Summary!$G$5:$G$241,"Yes"))</f>
        <v>0</v>
      </c>
      <c r="R82">
        <f>IF(R55="","",COUNTIFS(Summary!$E$5:$E$241,R55,Summary!$D$5:$D$241,"&gt;="&amp;$A82,Summary!$D$5:$D$241,"&lt;"&amp;$A82+7,Summary!$G$5:$G$241,"Yes"))</f>
        <v>0</v>
      </c>
      <c r="S82">
        <f>IF(S55="","",COUNTIFS(Summary!$E$5:$E$241,S55,Summary!$D$5:$D$241,"&gt;="&amp;$A82,Summary!$D$5:$D$241,"&lt;"&amp;$A82+7,Summary!$G$5:$G$241,"Yes"))</f>
        <v>0</v>
      </c>
      <c r="T82">
        <f>IF(T55="","",COUNTIFS(Summary!$E$5:$E$241,T55,Summary!$D$5:$D$241,"&gt;="&amp;$A82,Summary!$D$5:$D$241,"&lt;"&amp;$A82+7,Summary!$G$5:$G$241,"Yes"))</f>
        <v>0</v>
      </c>
      <c r="U82">
        <f>IF(U55="","",COUNTIFS(Summary!$E$5:$E$241,U55,Summary!$D$5:$D$241,"&gt;="&amp;$A82,Summary!$D$5:$D$241,"&lt;"&amp;$A82+7,Summary!$G$5:$G$241,"Yes"))</f>
        <v>0</v>
      </c>
      <c r="V82">
        <f>IF(V55="","",COUNTIFS(Summary!$E$5:$E$241,V55,Summary!$D$5:$D$241,"&gt;="&amp;$A82,Summary!$D$5:$D$241,"&lt;"&amp;$A82+7,Summary!$G$5:$G$241,"Yes"))</f>
        <v>0</v>
      </c>
      <c r="W82">
        <f>IF(W55="","",COUNTIFS(Summary!$E$5:$E$241,W55,Summary!$D$5:$D$241,"&gt;="&amp;$A82,Summary!$D$5:$D$241,"&lt;"&amp;$A82+7,Summary!$G$5:$G$241,"Yes"))</f>
        <v>0</v>
      </c>
      <c r="X82">
        <f>IF(X55="","",COUNTIFS(Summary!$E$5:$E$241,X55,Summary!$D$5:$D$241,"&gt;="&amp;$A82,Summary!$D$5:$D$241,"&lt;"&amp;$A82+7,Summary!$G$5:$G$241,"Yes"))</f>
        <v>0</v>
      </c>
      <c r="Y82">
        <f>IF(Y55="","",COUNTIFS(Summary!$E$5:$E$241,Y55,Summary!$D$5:$D$241,"&gt;="&amp;$A82,Summary!$D$5:$D$241,"&lt;"&amp;$A82+7,Summary!$G$5:$G$241,"Yes"))</f>
        <v>0</v>
      </c>
      <c r="Z82">
        <f>IF(Z55="","",COUNTIFS(Summary!$E$5:$E$241,Z55,Summary!$D$5:$D$241,"&gt;="&amp;$A82,Summary!$D$5:$D$241,"&lt;"&amp;$A82+7,Summary!$G$5:$G$241,"Yes"))</f>
        <v>0</v>
      </c>
      <c r="AA82">
        <f>IF(AA55="","",COUNTIFS(Summary!$E$5:$E$241,AA55,Summary!$D$5:$D$241,"&gt;="&amp;$A82,Summary!$D$5:$D$241,"&lt;"&amp;$A82+7,Summary!$G$5:$G$241,"Yes"))</f>
        <v>0</v>
      </c>
      <c r="AB82">
        <f>IF(AB55="","",COUNTIFS(Summary!$E$5:$E$241,AB55,Summary!$D$5:$D$241,"&gt;="&amp;$A82,Summary!$D$5:$D$241,"&lt;"&amp;$A82+7,Summary!$G$5:$G$241,"Yes"))</f>
        <v>0</v>
      </c>
      <c r="AC82">
        <f>IF(AC55="","",COUNTIFS(Summary!$E$5:$E$241,AC55,Summary!$D$5:$D$241,"&gt;="&amp;$A82,Summary!$D$5:$D$241,"&lt;"&amp;$A82+7,Summary!$G$5:$G$241,"Yes"))</f>
        <v>0</v>
      </c>
      <c r="AD82">
        <f>IF(AD55="","",COUNTIFS(Summary!$E$5:$E$241,AD55,Summary!$D$5:$D$241,"&gt;="&amp;$A82,Summary!$D$5:$D$241,"&lt;"&amp;$A82+7,Summary!$G$5:$G$241,"Yes"))</f>
        <v>0</v>
      </c>
      <c r="AE82">
        <f>IF(AE55="","",COUNTIFS(Summary!$E$5:$E$241,AE55,Summary!$D$5:$D$241,"&gt;="&amp;$A82,Summary!$D$5:$D$241,"&lt;"&amp;$A82+7,Summary!$G$5:$G$241,"Yes"))</f>
        <v>0</v>
      </c>
      <c r="AF82">
        <f>IF(AF55="","",COUNTIFS(Summary!$E$5:$E$241,AF55,Summary!$D$5:$D$241,"&gt;="&amp;$A82,Summary!$D$5:$D$241,"&lt;"&amp;$A82+7,Summary!$G$5:$G$241,"Yes"))</f>
        <v>0</v>
      </c>
      <c r="AG82">
        <f>IF(AG55="","",COUNTIFS(Summary!$E$5:$E$241,AG55,Summary!$D$5:$D$241,"&gt;="&amp;$A82,Summary!$D$5:$D$241,"&lt;"&amp;$A82+7,Summary!$G$5:$G$241,"Yes"))</f>
        <v>0</v>
      </c>
      <c r="AH82">
        <f>IF(AH55="","",COUNTIFS(Summary!$E$5:$E$241,AH55,Summary!$D$5:$D$241,"&gt;="&amp;$A82,Summary!$D$5:$D$241,"&lt;"&amp;$A82+7,Summary!$G$5:$G$241,"Yes"))</f>
        <v>0</v>
      </c>
      <c r="AI82">
        <f>IF(AI55="","",COUNTIFS(Summary!$E$5:$E$241,AI55,Summary!$D$5:$D$241,"&gt;="&amp;$A82,Summary!$D$5:$D$241,"&lt;"&amp;$A82+7,Summary!$G$5:$G$241,"Yes"))</f>
        <v>0</v>
      </c>
      <c r="AJ82">
        <f>IF(AJ55="","",COUNTIFS(Summary!$E$5:$E$241,AJ55,Summary!$D$5:$D$241,"&gt;="&amp;$A82,Summary!$D$5:$D$241,"&lt;"&amp;$A82+7,Summary!$G$5:$G$241,"Yes"))</f>
        <v>0</v>
      </c>
      <c r="AK82">
        <f>IF(AK55="","",COUNTIFS(Summary!$E$5:$E$241,AK55,Summary!$D$5:$D$241,"&gt;="&amp;$A82,Summary!$D$5:$D$241,"&lt;"&amp;$A82+7,Summary!$G$5:$G$241,"Yes"))</f>
        <v>0</v>
      </c>
      <c r="AL82">
        <f>IF(AL55="","",COUNTIFS(Summary!$E$5:$E$241,AL55,Summary!$D$5:$D$241,"&gt;="&amp;$A82,Summary!$D$5:$D$241,"&lt;"&amp;$A82+7,Summary!$G$5:$G$241,"Yes"))</f>
        <v>0</v>
      </c>
      <c r="AM82">
        <f>IF(AM55="","",COUNTIFS(Summary!$E$5:$E$241,AM55,Summary!$D$5:$D$241,"&gt;="&amp;$A82,Summary!$D$5:$D$241,"&lt;"&amp;$A82+7,Summary!$G$5:$G$241,"Yes"))</f>
        <v>0</v>
      </c>
      <c r="AN82">
        <f>IF(AN55="","",COUNTIFS(Summary!$E$5:$E$241,AN55,Summary!$D$5:$D$241,"&gt;="&amp;$A82,Summary!$D$5:$D$241,"&lt;"&amp;$A82+7,Summary!$G$5:$G$241,"Yes"))</f>
        <v>0</v>
      </c>
      <c r="AO82">
        <f>IF(AO55="","",COUNTIFS(Summary!$E$5:$E$241,AO55,Summary!$D$5:$D$241,"&gt;="&amp;$A82,Summary!$D$5:$D$241,"&lt;"&amp;$A82+7,Summary!$G$5:$G$241,"Yes"))</f>
        <v>0</v>
      </c>
      <c r="AP82">
        <f>IF(AP55="","",COUNTIFS(Summary!$E$5:$E$241,AP55,Summary!$D$5:$D$241,"&gt;="&amp;$A82,Summary!$D$5:$D$241,"&lt;"&amp;$A82+7,Summary!$G$5:$G$241,"Yes"))</f>
        <v>0</v>
      </c>
      <c r="AQ82">
        <f>IF(AQ55="","",COUNTIFS(Summary!$E$5:$E$241,AQ55,Summary!$D$5:$D$241,"&gt;="&amp;$A82,Summary!$D$5:$D$241,"&lt;"&amp;$A82+7,Summary!$G$5:$G$241,"Yes"))</f>
        <v>0</v>
      </c>
      <c r="AR82">
        <f>IF(AR55="","",COUNTIFS(Summary!$E$5:$E$241,AR55,Summary!$D$5:$D$241,"&gt;="&amp;$A82,Summary!$D$5:$D$241,"&lt;"&amp;$A82+7,Summary!$G$5:$G$241,"Yes"))</f>
        <v>0</v>
      </c>
      <c r="AS82">
        <f>IF(AS55="","",COUNTIFS(Summary!$E$5:$E$241,AS55,Summary!$D$5:$D$241,"&gt;="&amp;$A82,Summary!$D$5:$D$241,"&lt;"&amp;$A82+7,Summary!$G$5:$G$241,"Yes"))</f>
        <v>0</v>
      </c>
      <c r="AT82">
        <f>IF(AT55="","",COUNTIFS(Summary!$E$5:$E$241,AT55,Summary!$D$5:$D$241,"&gt;="&amp;$A82,Summary!$D$5:$D$241,"&lt;"&amp;$A82+7,Summary!$G$5:$G$241,"Yes"))</f>
        <v>0</v>
      </c>
      <c r="AU82">
        <f>IF(AU55="","",COUNTIFS(Summary!$E$5:$E$241,AU55,Summary!$D$5:$D$241,"&gt;="&amp;$A82,Summary!$D$5:$D$241,"&lt;"&amp;$A82+7,Summary!$G$5:$G$241,"Yes"))</f>
        <v>0</v>
      </c>
      <c r="AV82">
        <f>IF(AV55="","",COUNTIFS(Summary!$E$5:$E$241,AV55,Summary!$D$5:$D$241,"&gt;="&amp;$A82,Summary!$D$5:$D$241,"&lt;"&amp;$A82+7,Summary!$G$5:$G$241,"Yes"))</f>
        <v>0</v>
      </c>
      <c r="AW82">
        <f>IF(AW55="","",COUNTIFS(Summary!$E$5:$E$241,AW55,Summary!$D$5:$D$241,"&gt;="&amp;$A82,Summary!$D$5:$D$241,"&lt;"&amp;$A82+7,Summary!$G$5:$G$241,"Yes"))</f>
        <v>0</v>
      </c>
      <c r="AX82">
        <f>IF(AX55="","",COUNTIFS(Summary!$E$5:$E$241,AX55,Summary!$D$5:$D$241,"&gt;="&amp;$A82,Summary!$D$5:$D$241,"&lt;"&amp;$A82+7,Summary!$G$5:$G$241,"Yes"))</f>
        <v>0</v>
      </c>
      <c r="AY82">
        <f>IF(AY55="","",COUNTIFS(Summary!$E$5:$E$241,AY55,Summary!$D$5:$D$241,"&gt;="&amp;$A82,Summary!$D$5:$D$241,"&lt;"&amp;$A82+7,Summary!$G$5:$G$241,"Yes"))</f>
        <v>0</v>
      </c>
      <c r="AZ82">
        <f>IF(AZ55="","",COUNTIFS(Summary!$E$5:$E$241,AZ55,Summary!$D$5:$D$241,"&gt;="&amp;$A82,Summary!$D$5:$D$241,"&lt;"&amp;$A82+7,Summary!$G$5:$G$241,"Yes"))</f>
        <v>0</v>
      </c>
      <c r="BA82">
        <f>IF(BA55="","",COUNTIFS(Summary!$E$5:$E$241,BA55,Summary!$D$5:$D$241,"&gt;="&amp;$A82,Summary!$D$5:$D$241,"&lt;"&amp;$A82+7,Summary!$G$5:$G$241,"Yes"))</f>
        <v>0</v>
      </c>
      <c r="BB82">
        <f>IF(BB55="","",COUNTIFS(Summary!$E$5:$E$241,BB55,Summary!$D$5:$D$241,"&gt;="&amp;$A82,Summary!$D$5:$D$241,"&lt;"&amp;$A82+7,Summary!$G$5:$G$241,"Yes"))</f>
        <v>0</v>
      </c>
      <c r="BC82">
        <f>IF(BC55="","",COUNTIFS(Summary!$E$5:$E$241,BC55,Summary!$D$5:$D$241,"&gt;="&amp;$A82,Summary!$D$5:$D$241,"&lt;"&amp;$A82+7,Summary!$G$5:$G$241,"Yes"))</f>
        <v>0</v>
      </c>
      <c r="BD82">
        <f>IF(BD55="","",COUNTIFS(Summary!$E$5:$E$241,BD55,Summary!$D$5:$D$241,"&gt;="&amp;$A82,Summary!$D$5:$D$241,"&lt;"&amp;$A82+7,Summary!$G$5:$G$241,"Yes"))</f>
        <v>0</v>
      </c>
      <c r="BE82">
        <f>IF(BE55="","",COUNTIFS(Summary!$E$5:$E$241,BE55,Summary!$D$5:$D$241,"&gt;="&amp;$A82,Summary!$D$5:$D$241,"&lt;"&amp;$A82+7,Summary!$G$5:$G$241,"Yes"))</f>
        <v>0</v>
      </c>
      <c r="BF82" s="28">
        <f>IF(BF55="","",COUNTIFS(Summary!$E$5:$E$241,BF55,Summary!$D$5:$D$241,"&gt;="&amp;$A82,Summary!$D$5:$D$241,"&lt;"&amp;$A82+7,Summary!$G$5:$G$241,"Yes"))</f>
        <v>0</v>
      </c>
    </row>
    <row r="83" spans="1:58">
      <c r="A83" s="18">
        <f t="shared" si="5"/>
        <v>46272</v>
      </c>
      <c r="B83" s="2" t="str">
        <f t="shared" si="4"/>
        <v>Sep 7</v>
      </c>
      <c r="C83">
        <f>IF(C55="","",COUNTIFS(Summary!$E$5:$E$241,C55,Summary!$D$5:$D$241,"&gt;="&amp;$A83,Summary!$D$5:$D$241,"&lt;"&amp;$A83+7,Summary!$G$5:$G$241,"Yes"))</f>
        <v>0</v>
      </c>
      <c r="D83">
        <f>IF(D55="","",COUNTIFS(Summary!$E$5:$E$241,D55,Summary!$D$5:$D$241,"&gt;="&amp;$A83,Summary!$D$5:$D$241,"&lt;"&amp;$A83+7,Summary!$G$5:$G$241,"Yes"))</f>
        <v>0</v>
      </c>
      <c r="E83">
        <f>IF(E55="","",COUNTIFS(Summary!$E$5:$E$241,E55,Summary!$D$5:$D$241,"&gt;="&amp;$A83,Summary!$D$5:$D$241,"&lt;"&amp;$A83+7,Summary!$G$5:$G$241,"Yes"))</f>
        <v>0</v>
      </c>
      <c r="F83">
        <f>IF(F55="","",COUNTIFS(Summary!$E$5:$E$241,F55,Summary!$D$5:$D$241,"&gt;="&amp;$A83,Summary!$D$5:$D$241,"&lt;"&amp;$A83+7,Summary!$G$5:$G$241,"Yes"))</f>
        <v>0</v>
      </c>
      <c r="G83">
        <f>IF(G55="","",COUNTIFS(Summary!$E$5:$E$241,G55,Summary!$D$5:$D$241,"&gt;="&amp;$A83,Summary!$D$5:$D$241,"&lt;"&amp;$A83+7,Summary!$G$5:$G$241,"Yes"))</f>
        <v>0</v>
      </c>
      <c r="H83">
        <f>IF(H55="","",COUNTIFS(Summary!$E$5:$E$241,H55,Summary!$D$5:$D$241,"&gt;="&amp;$A83,Summary!$D$5:$D$241,"&lt;"&amp;$A83+7,Summary!$G$5:$G$241,"Yes"))</f>
        <v>0</v>
      </c>
      <c r="I83">
        <f>IF(I55="","",COUNTIFS(Summary!$E$5:$E$241,I55,Summary!$D$5:$D$241,"&gt;="&amp;$A83,Summary!$D$5:$D$241,"&lt;"&amp;$A83+7,Summary!$G$5:$G$241,"Yes"))</f>
        <v>0</v>
      </c>
      <c r="J83">
        <f>IF(J55="","",COUNTIFS(Summary!$E$5:$E$241,J55,Summary!$D$5:$D$241,"&gt;="&amp;$A83,Summary!$D$5:$D$241,"&lt;"&amp;$A83+7,Summary!$G$5:$G$241,"Yes"))</f>
        <v>0</v>
      </c>
      <c r="K83">
        <f>IF(K55="","",COUNTIFS(Summary!$E$5:$E$241,K55,Summary!$D$5:$D$241,"&gt;="&amp;$A83,Summary!$D$5:$D$241,"&lt;"&amp;$A83+7,Summary!$G$5:$G$241,"Yes"))</f>
        <v>0</v>
      </c>
      <c r="L83">
        <f>IF(L55="","",COUNTIFS(Summary!$E$5:$E$241,L55,Summary!$D$5:$D$241,"&gt;="&amp;$A83,Summary!$D$5:$D$241,"&lt;"&amp;$A83+7,Summary!$G$5:$G$241,"Yes"))</f>
        <v>0</v>
      </c>
      <c r="M83">
        <f>IF(M55="","",COUNTIFS(Summary!$E$5:$E$241,M55,Summary!$D$5:$D$241,"&gt;="&amp;$A83,Summary!$D$5:$D$241,"&lt;"&amp;$A83+7,Summary!$G$5:$G$241,"Yes"))</f>
        <v>0</v>
      </c>
      <c r="N83">
        <f>IF(N55="","",COUNTIFS(Summary!$E$5:$E$241,N55,Summary!$D$5:$D$241,"&gt;="&amp;$A83,Summary!$D$5:$D$241,"&lt;"&amp;$A83+7,Summary!$G$5:$G$241,"Yes"))</f>
        <v>0</v>
      </c>
      <c r="O83">
        <f>IF(O55="","",COUNTIFS(Summary!$E$5:$E$241,O55,Summary!$D$5:$D$241,"&gt;="&amp;$A83,Summary!$D$5:$D$241,"&lt;"&amp;$A83+7,Summary!$G$5:$G$241,"Yes"))</f>
        <v>0</v>
      </c>
      <c r="P83">
        <f>IF(P55="","",COUNTIFS(Summary!$E$5:$E$241,P55,Summary!$D$5:$D$241,"&gt;="&amp;$A83,Summary!$D$5:$D$241,"&lt;"&amp;$A83+7,Summary!$G$5:$G$241,"Yes"))</f>
        <v>0</v>
      </c>
      <c r="Q83">
        <f>IF(Q55="","",COUNTIFS(Summary!$E$5:$E$241,Q55,Summary!$D$5:$D$241,"&gt;="&amp;$A83,Summary!$D$5:$D$241,"&lt;"&amp;$A83+7,Summary!$G$5:$G$241,"Yes"))</f>
        <v>0</v>
      </c>
      <c r="R83">
        <f>IF(R55="","",COUNTIFS(Summary!$E$5:$E$241,R55,Summary!$D$5:$D$241,"&gt;="&amp;$A83,Summary!$D$5:$D$241,"&lt;"&amp;$A83+7,Summary!$G$5:$G$241,"Yes"))</f>
        <v>0</v>
      </c>
      <c r="S83">
        <f>IF(S55="","",COUNTIFS(Summary!$E$5:$E$241,S55,Summary!$D$5:$D$241,"&gt;="&amp;$A83,Summary!$D$5:$D$241,"&lt;"&amp;$A83+7,Summary!$G$5:$G$241,"Yes"))</f>
        <v>0</v>
      </c>
      <c r="T83">
        <f>IF(T55="","",COUNTIFS(Summary!$E$5:$E$241,T55,Summary!$D$5:$D$241,"&gt;="&amp;$A83,Summary!$D$5:$D$241,"&lt;"&amp;$A83+7,Summary!$G$5:$G$241,"Yes"))</f>
        <v>0</v>
      </c>
      <c r="U83">
        <f>IF(U55="","",COUNTIFS(Summary!$E$5:$E$241,U55,Summary!$D$5:$D$241,"&gt;="&amp;$A83,Summary!$D$5:$D$241,"&lt;"&amp;$A83+7,Summary!$G$5:$G$241,"Yes"))</f>
        <v>0</v>
      </c>
      <c r="V83">
        <f>IF(V55="","",COUNTIFS(Summary!$E$5:$E$241,V55,Summary!$D$5:$D$241,"&gt;="&amp;$A83,Summary!$D$5:$D$241,"&lt;"&amp;$A83+7,Summary!$G$5:$G$241,"Yes"))</f>
        <v>0</v>
      </c>
      <c r="W83">
        <f>IF(W55="","",COUNTIFS(Summary!$E$5:$E$241,W55,Summary!$D$5:$D$241,"&gt;="&amp;$A83,Summary!$D$5:$D$241,"&lt;"&amp;$A83+7,Summary!$G$5:$G$241,"Yes"))</f>
        <v>0</v>
      </c>
      <c r="X83">
        <f>IF(X55="","",COUNTIFS(Summary!$E$5:$E$241,X55,Summary!$D$5:$D$241,"&gt;="&amp;$A83,Summary!$D$5:$D$241,"&lt;"&amp;$A83+7,Summary!$G$5:$G$241,"Yes"))</f>
        <v>0</v>
      </c>
      <c r="Y83">
        <f>IF(Y55="","",COUNTIFS(Summary!$E$5:$E$241,Y55,Summary!$D$5:$D$241,"&gt;="&amp;$A83,Summary!$D$5:$D$241,"&lt;"&amp;$A83+7,Summary!$G$5:$G$241,"Yes"))</f>
        <v>0</v>
      </c>
      <c r="Z83">
        <f>IF(Z55="","",COUNTIFS(Summary!$E$5:$E$241,Z55,Summary!$D$5:$D$241,"&gt;="&amp;$A83,Summary!$D$5:$D$241,"&lt;"&amp;$A83+7,Summary!$G$5:$G$241,"Yes"))</f>
        <v>0</v>
      </c>
      <c r="AA83">
        <f>IF(AA55="","",COUNTIFS(Summary!$E$5:$E$241,AA55,Summary!$D$5:$D$241,"&gt;="&amp;$A83,Summary!$D$5:$D$241,"&lt;"&amp;$A83+7,Summary!$G$5:$G$241,"Yes"))</f>
        <v>0</v>
      </c>
      <c r="AB83">
        <f>IF(AB55="","",COUNTIFS(Summary!$E$5:$E$241,AB55,Summary!$D$5:$D$241,"&gt;="&amp;$A83,Summary!$D$5:$D$241,"&lt;"&amp;$A83+7,Summary!$G$5:$G$241,"Yes"))</f>
        <v>0</v>
      </c>
      <c r="AC83">
        <f>IF(AC55="","",COUNTIFS(Summary!$E$5:$E$241,AC55,Summary!$D$5:$D$241,"&gt;="&amp;$A83,Summary!$D$5:$D$241,"&lt;"&amp;$A83+7,Summary!$G$5:$G$241,"Yes"))</f>
        <v>0</v>
      </c>
      <c r="AD83">
        <f>IF(AD55="","",COUNTIFS(Summary!$E$5:$E$241,AD55,Summary!$D$5:$D$241,"&gt;="&amp;$A83,Summary!$D$5:$D$241,"&lt;"&amp;$A83+7,Summary!$G$5:$G$241,"Yes"))</f>
        <v>0</v>
      </c>
      <c r="AE83">
        <f>IF(AE55="","",COUNTIFS(Summary!$E$5:$E$241,AE55,Summary!$D$5:$D$241,"&gt;="&amp;$A83,Summary!$D$5:$D$241,"&lt;"&amp;$A83+7,Summary!$G$5:$G$241,"Yes"))</f>
        <v>0</v>
      </c>
      <c r="AF83">
        <f>IF(AF55="","",COUNTIFS(Summary!$E$5:$E$241,AF55,Summary!$D$5:$D$241,"&gt;="&amp;$A83,Summary!$D$5:$D$241,"&lt;"&amp;$A83+7,Summary!$G$5:$G$241,"Yes"))</f>
        <v>0</v>
      </c>
      <c r="AG83">
        <f>IF(AG55="","",COUNTIFS(Summary!$E$5:$E$241,AG55,Summary!$D$5:$D$241,"&gt;="&amp;$A83,Summary!$D$5:$D$241,"&lt;"&amp;$A83+7,Summary!$G$5:$G$241,"Yes"))</f>
        <v>0</v>
      </c>
      <c r="AH83">
        <f>IF(AH55="","",COUNTIFS(Summary!$E$5:$E$241,AH55,Summary!$D$5:$D$241,"&gt;="&amp;$A83,Summary!$D$5:$D$241,"&lt;"&amp;$A83+7,Summary!$G$5:$G$241,"Yes"))</f>
        <v>0</v>
      </c>
      <c r="AI83">
        <f>IF(AI55="","",COUNTIFS(Summary!$E$5:$E$241,AI55,Summary!$D$5:$D$241,"&gt;="&amp;$A83,Summary!$D$5:$D$241,"&lt;"&amp;$A83+7,Summary!$G$5:$G$241,"Yes"))</f>
        <v>0</v>
      </c>
      <c r="AJ83">
        <f>IF(AJ55="","",COUNTIFS(Summary!$E$5:$E$241,AJ55,Summary!$D$5:$D$241,"&gt;="&amp;$A83,Summary!$D$5:$D$241,"&lt;"&amp;$A83+7,Summary!$G$5:$G$241,"Yes"))</f>
        <v>0</v>
      </c>
      <c r="AK83">
        <f>IF(AK55="","",COUNTIFS(Summary!$E$5:$E$241,AK55,Summary!$D$5:$D$241,"&gt;="&amp;$A83,Summary!$D$5:$D$241,"&lt;"&amp;$A83+7,Summary!$G$5:$G$241,"Yes"))</f>
        <v>0</v>
      </c>
      <c r="AL83">
        <f>IF(AL55="","",COUNTIFS(Summary!$E$5:$E$241,AL55,Summary!$D$5:$D$241,"&gt;="&amp;$A83,Summary!$D$5:$D$241,"&lt;"&amp;$A83+7,Summary!$G$5:$G$241,"Yes"))</f>
        <v>0</v>
      </c>
      <c r="AM83">
        <f>IF(AM55="","",COUNTIFS(Summary!$E$5:$E$241,AM55,Summary!$D$5:$D$241,"&gt;="&amp;$A83,Summary!$D$5:$D$241,"&lt;"&amp;$A83+7,Summary!$G$5:$G$241,"Yes"))</f>
        <v>0</v>
      </c>
      <c r="AN83">
        <f>IF(AN55="","",COUNTIFS(Summary!$E$5:$E$241,AN55,Summary!$D$5:$D$241,"&gt;="&amp;$A83,Summary!$D$5:$D$241,"&lt;"&amp;$A83+7,Summary!$G$5:$G$241,"Yes"))</f>
        <v>0</v>
      </c>
      <c r="AO83">
        <f>IF(AO55="","",COUNTIFS(Summary!$E$5:$E$241,AO55,Summary!$D$5:$D$241,"&gt;="&amp;$A83,Summary!$D$5:$D$241,"&lt;"&amp;$A83+7,Summary!$G$5:$G$241,"Yes"))</f>
        <v>0</v>
      </c>
      <c r="AP83">
        <f>IF(AP55="","",COUNTIFS(Summary!$E$5:$E$241,AP55,Summary!$D$5:$D$241,"&gt;="&amp;$A83,Summary!$D$5:$D$241,"&lt;"&amp;$A83+7,Summary!$G$5:$G$241,"Yes"))</f>
        <v>0</v>
      </c>
      <c r="AQ83">
        <f>IF(AQ55="","",COUNTIFS(Summary!$E$5:$E$241,AQ55,Summary!$D$5:$D$241,"&gt;="&amp;$A83,Summary!$D$5:$D$241,"&lt;"&amp;$A83+7,Summary!$G$5:$G$241,"Yes"))</f>
        <v>0</v>
      </c>
      <c r="AR83">
        <f>IF(AR55="","",COUNTIFS(Summary!$E$5:$E$241,AR55,Summary!$D$5:$D$241,"&gt;="&amp;$A83,Summary!$D$5:$D$241,"&lt;"&amp;$A83+7,Summary!$G$5:$G$241,"Yes"))</f>
        <v>0</v>
      </c>
      <c r="AS83">
        <f>IF(AS55="","",COUNTIFS(Summary!$E$5:$E$241,AS55,Summary!$D$5:$D$241,"&gt;="&amp;$A83,Summary!$D$5:$D$241,"&lt;"&amp;$A83+7,Summary!$G$5:$G$241,"Yes"))</f>
        <v>0</v>
      </c>
      <c r="AT83">
        <f>IF(AT55="","",COUNTIFS(Summary!$E$5:$E$241,AT55,Summary!$D$5:$D$241,"&gt;="&amp;$A83,Summary!$D$5:$D$241,"&lt;"&amp;$A83+7,Summary!$G$5:$G$241,"Yes"))</f>
        <v>0</v>
      </c>
      <c r="AU83">
        <f>IF(AU55="","",COUNTIFS(Summary!$E$5:$E$241,AU55,Summary!$D$5:$D$241,"&gt;="&amp;$A83,Summary!$D$5:$D$241,"&lt;"&amp;$A83+7,Summary!$G$5:$G$241,"Yes"))</f>
        <v>0</v>
      </c>
      <c r="AV83">
        <f>IF(AV55="","",COUNTIFS(Summary!$E$5:$E$241,AV55,Summary!$D$5:$D$241,"&gt;="&amp;$A83,Summary!$D$5:$D$241,"&lt;"&amp;$A83+7,Summary!$G$5:$G$241,"Yes"))</f>
        <v>0</v>
      </c>
      <c r="AW83">
        <f>IF(AW55="","",COUNTIFS(Summary!$E$5:$E$241,AW55,Summary!$D$5:$D$241,"&gt;="&amp;$A83,Summary!$D$5:$D$241,"&lt;"&amp;$A83+7,Summary!$G$5:$G$241,"Yes"))</f>
        <v>0</v>
      </c>
      <c r="AX83">
        <f>IF(AX55="","",COUNTIFS(Summary!$E$5:$E$241,AX55,Summary!$D$5:$D$241,"&gt;="&amp;$A83,Summary!$D$5:$D$241,"&lt;"&amp;$A83+7,Summary!$G$5:$G$241,"Yes"))</f>
        <v>0</v>
      </c>
      <c r="AY83">
        <f>IF(AY55="","",COUNTIFS(Summary!$E$5:$E$241,AY55,Summary!$D$5:$D$241,"&gt;="&amp;$A83,Summary!$D$5:$D$241,"&lt;"&amp;$A83+7,Summary!$G$5:$G$241,"Yes"))</f>
        <v>0</v>
      </c>
      <c r="AZ83">
        <f>IF(AZ55="","",COUNTIFS(Summary!$E$5:$E$241,AZ55,Summary!$D$5:$D$241,"&gt;="&amp;$A83,Summary!$D$5:$D$241,"&lt;"&amp;$A83+7,Summary!$G$5:$G$241,"Yes"))</f>
        <v>0</v>
      </c>
      <c r="BA83">
        <f>IF(BA55="","",COUNTIFS(Summary!$E$5:$E$241,BA55,Summary!$D$5:$D$241,"&gt;="&amp;$A83,Summary!$D$5:$D$241,"&lt;"&amp;$A83+7,Summary!$G$5:$G$241,"Yes"))</f>
        <v>0</v>
      </c>
      <c r="BB83">
        <f>IF(BB55="","",COUNTIFS(Summary!$E$5:$E$241,BB55,Summary!$D$5:$D$241,"&gt;="&amp;$A83,Summary!$D$5:$D$241,"&lt;"&amp;$A83+7,Summary!$G$5:$G$241,"Yes"))</f>
        <v>0</v>
      </c>
      <c r="BC83">
        <f>IF(BC55="","",COUNTIFS(Summary!$E$5:$E$241,BC55,Summary!$D$5:$D$241,"&gt;="&amp;$A83,Summary!$D$5:$D$241,"&lt;"&amp;$A83+7,Summary!$G$5:$G$241,"Yes"))</f>
        <v>0</v>
      </c>
      <c r="BD83">
        <f>IF(BD55="","",COUNTIFS(Summary!$E$5:$E$241,BD55,Summary!$D$5:$D$241,"&gt;="&amp;$A83,Summary!$D$5:$D$241,"&lt;"&amp;$A83+7,Summary!$G$5:$G$241,"Yes"))</f>
        <v>0</v>
      </c>
      <c r="BE83">
        <f>IF(BE55="","",COUNTIFS(Summary!$E$5:$E$241,BE55,Summary!$D$5:$D$241,"&gt;="&amp;$A83,Summary!$D$5:$D$241,"&lt;"&amp;$A83+7,Summary!$G$5:$G$241,"Yes"))</f>
        <v>0</v>
      </c>
      <c r="BF83" s="28">
        <f>IF(BF55="","",COUNTIFS(Summary!$E$5:$E$241,BF55,Summary!$D$5:$D$241,"&gt;="&amp;$A83,Summary!$D$5:$D$241,"&lt;"&amp;$A83+7,Summary!$G$5:$G$241,"Yes"))</f>
        <v>0</v>
      </c>
    </row>
    <row r="84" spans="1:58">
      <c r="A84" s="18">
        <f t="shared" si="5"/>
        <v>46279</v>
      </c>
      <c r="B84" s="2" t="str">
        <f t="shared" si="4"/>
        <v>Sep 14</v>
      </c>
      <c r="C84">
        <f>IF(C55="","",COUNTIFS(Summary!$E$5:$E$241,C55,Summary!$D$5:$D$241,"&gt;="&amp;$A84,Summary!$D$5:$D$241,"&lt;"&amp;$A84+7,Summary!$G$5:$G$241,"Yes"))</f>
        <v>0</v>
      </c>
      <c r="D84">
        <f>IF(D55="","",COUNTIFS(Summary!$E$5:$E$241,D55,Summary!$D$5:$D$241,"&gt;="&amp;$A84,Summary!$D$5:$D$241,"&lt;"&amp;$A84+7,Summary!$G$5:$G$241,"Yes"))</f>
        <v>0</v>
      </c>
      <c r="E84">
        <f>IF(E55="","",COUNTIFS(Summary!$E$5:$E$241,E55,Summary!$D$5:$D$241,"&gt;="&amp;$A84,Summary!$D$5:$D$241,"&lt;"&amp;$A84+7,Summary!$G$5:$G$241,"Yes"))</f>
        <v>0</v>
      </c>
      <c r="F84">
        <f>IF(F55="","",COUNTIFS(Summary!$E$5:$E$241,F55,Summary!$D$5:$D$241,"&gt;="&amp;$A84,Summary!$D$5:$D$241,"&lt;"&amp;$A84+7,Summary!$G$5:$G$241,"Yes"))</f>
        <v>0</v>
      </c>
      <c r="G84">
        <f>IF(G55="","",COUNTIFS(Summary!$E$5:$E$241,G55,Summary!$D$5:$D$241,"&gt;="&amp;$A84,Summary!$D$5:$D$241,"&lt;"&amp;$A84+7,Summary!$G$5:$G$241,"Yes"))</f>
        <v>0</v>
      </c>
      <c r="H84">
        <f>IF(H55="","",COUNTIFS(Summary!$E$5:$E$241,H55,Summary!$D$5:$D$241,"&gt;="&amp;$A84,Summary!$D$5:$D$241,"&lt;"&amp;$A84+7,Summary!$G$5:$G$241,"Yes"))</f>
        <v>0</v>
      </c>
      <c r="I84">
        <f>IF(I55="","",COUNTIFS(Summary!$E$5:$E$241,I55,Summary!$D$5:$D$241,"&gt;="&amp;$A84,Summary!$D$5:$D$241,"&lt;"&amp;$A84+7,Summary!$G$5:$G$241,"Yes"))</f>
        <v>0</v>
      </c>
      <c r="J84">
        <f>IF(J55="","",COUNTIFS(Summary!$E$5:$E$241,J55,Summary!$D$5:$D$241,"&gt;="&amp;$A84,Summary!$D$5:$D$241,"&lt;"&amp;$A84+7,Summary!$G$5:$G$241,"Yes"))</f>
        <v>0</v>
      </c>
      <c r="K84">
        <f>IF(K55="","",COUNTIFS(Summary!$E$5:$E$241,K55,Summary!$D$5:$D$241,"&gt;="&amp;$A84,Summary!$D$5:$D$241,"&lt;"&amp;$A84+7,Summary!$G$5:$G$241,"Yes"))</f>
        <v>0</v>
      </c>
      <c r="L84">
        <f>IF(L55="","",COUNTIFS(Summary!$E$5:$E$241,L55,Summary!$D$5:$D$241,"&gt;="&amp;$A84,Summary!$D$5:$D$241,"&lt;"&amp;$A84+7,Summary!$G$5:$G$241,"Yes"))</f>
        <v>0</v>
      </c>
      <c r="M84">
        <f>IF(M55="","",COUNTIFS(Summary!$E$5:$E$241,M55,Summary!$D$5:$D$241,"&gt;="&amp;$A84,Summary!$D$5:$D$241,"&lt;"&amp;$A84+7,Summary!$G$5:$G$241,"Yes"))</f>
        <v>0</v>
      </c>
      <c r="N84">
        <f>IF(N55="","",COUNTIFS(Summary!$E$5:$E$241,N55,Summary!$D$5:$D$241,"&gt;="&amp;$A84,Summary!$D$5:$D$241,"&lt;"&amp;$A84+7,Summary!$G$5:$G$241,"Yes"))</f>
        <v>0</v>
      </c>
      <c r="O84">
        <f>IF(O55="","",COUNTIFS(Summary!$E$5:$E$241,O55,Summary!$D$5:$D$241,"&gt;="&amp;$A84,Summary!$D$5:$D$241,"&lt;"&amp;$A84+7,Summary!$G$5:$G$241,"Yes"))</f>
        <v>0</v>
      </c>
      <c r="P84">
        <f>IF(P55="","",COUNTIFS(Summary!$E$5:$E$241,P55,Summary!$D$5:$D$241,"&gt;="&amp;$A84,Summary!$D$5:$D$241,"&lt;"&amp;$A84+7,Summary!$G$5:$G$241,"Yes"))</f>
        <v>0</v>
      </c>
      <c r="Q84">
        <f>IF(Q55="","",COUNTIFS(Summary!$E$5:$E$241,Q55,Summary!$D$5:$D$241,"&gt;="&amp;$A84,Summary!$D$5:$D$241,"&lt;"&amp;$A84+7,Summary!$G$5:$G$241,"Yes"))</f>
        <v>0</v>
      </c>
      <c r="R84">
        <f>IF(R55="","",COUNTIFS(Summary!$E$5:$E$241,R55,Summary!$D$5:$D$241,"&gt;="&amp;$A84,Summary!$D$5:$D$241,"&lt;"&amp;$A84+7,Summary!$G$5:$G$241,"Yes"))</f>
        <v>0</v>
      </c>
      <c r="S84">
        <f>IF(S55="","",COUNTIFS(Summary!$E$5:$E$241,S55,Summary!$D$5:$D$241,"&gt;="&amp;$A84,Summary!$D$5:$D$241,"&lt;"&amp;$A84+7,Summary!$G$5:$G$241,"Yes"))</f>
        <v>0</v>
      </c>
      <c r="T84">
        <f>IF(T55="","",COUNTIFS(Summary!$E$5:$E$241,T55,Summary!$D$5:$D$241,"&gt;="&amp;$A84,Summary!$D$5:$D$241,"&lt;"&amp;$A84+7,Summary!$G$5:$G$241,"Yes"))</f>
        <v>0</v>
      </c>
      <c r="U84">
        <f>IF(U55="","",COUNTIFS(Summary!$E$5:$E$241,U55,Summary!$D$5:$D$241,"&gt;="&amp;$A84,Summary!$D$5:$D$241,"&lt;"&amp;$A84+7,Summary!$G$5:$G$241,"Yes"))</f>
        <v>0</v>
      </c>
      <c r="V84">
        <f>IF(V55="","",COUNTIFS(Summary!$E$5:$E$241,V55,Summary!$D$5:$D$241,"&gt;="&amp;$A84,Summary!$D$5:$D$241,"&lt;"&amp;$A84+7,Summary!$G$5:$G$241,"Yes"))</f>
        <v>0</v>
      </c>
      <c r="W84">
        <f>IF(W55="","",COUNTIFS(Summary!$E$5:$E$241,W55,Summary!$D$5:$D$241,"&gt;="&amp;$A84,Summary!$D$5:$D$241,"&lt;"&amp;$A84+7,Summary!$G$5:$G$241,"Yes"))</f>
        <v>0</v>
      </c>
      <c r="X84">
        <f>IF(X55="","",COUNTIFS(Summary!$E$5:$E$241,X55,Summary!$D$5:$D$241,"&gt;="&amp;$A84,Summary!$D$5:$D$241,"&lt;"&amp;$A84+7,Summary!$G$5:$G$241,"Yes"))</f>
        <v>0</v>
      </c>
      <c r="Y84">
        <f>IF(Y55="","",COUNTIFS(Summary!$E$5:$E$241,Y55,Summary!$D$5:$D$241,"&gt;="&amp;$A84,Summary!$D$5:$D$241,"&lt;"&amp;$A84+7,Summary!$G$5:$G$241,"Yes"))</f>
        <v>0</v>
      </c>
      <c r="Z84">
        <f>IF(Z55="","",COUNTIFS(Summary!$E$5:$E$241,Z55,Summary!$D$5:$D$241,"&gt;="&amp;$A84,Summary!$D$5:$D$241,"&lt;"&amp;$A84+7,Summary!$G$5:$G$241,"Yes"))</f>
        <v>0</v>
      </c>
      <c r="AA84">
        <f>IF(AA55="","",COUNTIFS(Summary!$E$5:$E$241,AA55,Summary!$D$5:$D$241,"&gt;="&amp;$A84,Summary!$D$5:$D$241,"&lt;"&amp;$A84+7,Summary!$G$5:$G$241,"Yes"))</f>
        <v>0</v>
      </c>
      <c r="AB84">
        <f>IF(AB55="","",COUNTIFS(Summary!$E$5:$E$241,AB55,Summary!$D$5:$D$241,"&gt;="&amp;$A84,Summary!$D$5:$D$241,"&lt;"&amp;$A84+7,Summary!$G$5:$G$241,"Yes"))</f>
        <v>0</v>
      </c>
      <c r="AC84">
        <f>IF(AC55="","",COUNTIFS(Summary!$E$5:$E$241,AC55,Summary!$D$5:$D$241,"&gt;="&amp;$A84,Summary!$D$5:$D$241,"&lt;"&amp;$A84+7,Summary!$G$5:$G$241,"Yes"))</f>
        <v>0</v>
      </c>
      <c r="AD84">
        <f>IF(AD55="","",COUNTIFS(Summary!$E$5:$E$241,AD55,Summary!$D$5:$D$241,"&gt;="&amp;$A84,Summary!$D$5:$D$241,"&lt;"&amp;$A84+7,Summary!$G$5:$G$241,"Yes"))</f>
        <v>0</v>
      </c>
      <c r="AE84">
        <f>IF(AE55="","",COUNTIFS(Summary!$E$5:$E$241,AE55,Summary!$D$5:$D$241,"&gt;="&amp;$A84,Summary!$D$5:$D$241,"&lt;"&amp;$A84+7,Summary!$G$5:$G$241,"Yes"))</f>
        <v>0</v>
      </c>
      <c r="AF84">
        <f>IF(AF55="","",COUNTIFS(Summary!$E$5:$E$241,AF55,Summary!$D$5:$D$241,"&gt;="&amp;$A84,Summary!$D$5:$D$241,"&lt;"&amp;$A84+7,Summary!$G$5:$G$241,"Yes"))</f>
        <v>0</v>
      </c>
      <c r="AG84">
        <f>IF(AG55="","",COUNTIFS(Summary!$E$5:$E$241,AG55,Summary!$D$5:$D$241,"&gt;="&amp;$A84,Summary!$D$5:$D$241,"&lt;"&amp;$A84+7,Summary!$G$5:$G$241,"Yes"))</f>
        <v>0</v>
      </c>
      <c r="AH84">
        <f>IF(AH55="","",COUNTIFS(Summary!$E$5:$E$241,AH55,Summary!$D$5:$D$241,"&gt;="&amp;$A84,Summary!$D$5:$D$241,"&lt;"&amp;$A84+7,Summary!$G$5:$G$241,"Yes"))</f>
        <v>0</v>
      </c>
      <c r="AI84">
        <f>IF(AI55="","",COUNTIFS(Summary!$E$5:$E$241,AI55,Summary!$D$5:$D$241,"&gt;="&amp;$A84,Summary!$D$5:$D$241,"&lt;"&amp;$A84+7,Summary!$G$5:$G$241,"Yes"))</f>
        <v>0</v>
      </c>
      <c r="AJ84">
        <f>IF(AJ55="","",COUNTIFS(Summary!$E$5:$E$241,AJ55,Summary!$D$5:$D$241,"&gt;="&amp;$A84,Summary!$D$5:$D$241,"&lt;"&amp;$A84+7,Summary!$G$5:$G$241,"Yes"))</f>
        <v>0</v>
      </c>
      <c r="AK84">
        <f>IF(AK55="","",COUNTIFS(Summary!$E$5:$E$241,AK55,Summary!$D$5:$D$241,"&gt;="&amp;$A84,Summary!$D$5:$D$241,"&lt;"&amp;$A84+7,Summary!$G$5:$G$241,"Yes"))</f>
        <v>0</v>
      </c>
      <c r="AL84">
        <f>IF(AL55="","",COUNTIFS(Summary!$E$5:$E$241,AL55,Summary!$D$5:$D$241,"&gt;="&amp;$A84,Summary!$D$5:$D$241,"&lt;"&amp;$A84+7,Summary!$G$5:$G$241,"Yes"))</f>
        <v>0</v>
      </c>
      <c r="AM84">
        <f>IF(AM55="","",COUNTIFS(Summary!$E$5:$E$241,AM55,Summary!$D$5:$D$241,"&gt;="&amp;$A84,Summary!$D$5:$D$241,"&lt;"&amp;$A84+7,Summary!$G$5:$G$241,"Yes"))</f>
        <v>0</v>
      </c>
      <c r="AN84">
        <f>IF(AN55="","",COUNTIFS(Summary!$E$5:$E$241,AN55,Summary!$D$5:$D$241,"&gt;="&amp;$A84,Summary!$D$5:$D$241,"&lt;"&amp;$A84+7,Summary!$G$5:$G$241,"Yes"))</f>
        <v>0</v>
      </c>
      <c r="AO84">
        <f>IF(AO55="","",COUNTIFS(Summary!$E$5:$E$241,AO55,Summary!$D$5:$D$241,"&gt;="&amp;$A84,Summary!$D$5:$D$241,"&lt;"&amp;$A84+7,Summary!$G$5:$G$241,"Yes"))</f>
        <v>0</v>
      </c>
      <c r="AP84">
        <f>IF(AP55="","",COUNTIFS(Summary!$E$5:$E$241,AP55,Summary!$D$5:$D$241,"&gt;="&amp;$A84,Summary!$D$5:$D$241,"&lt;"&amp;$A84+7,Summary!$G$5:$G$241,"Yes"))</f>
        <v>0</v>
      </c>
      <c r="AQ84">
        <f>IF(AQ55="","",COUNTIFS(Summary!$E$5:$E$241,AQ55,Summary!$D$5:$D$241,"&gt;="&amp;$A84,Summary!$D$5:$D$241,"&lt;"&amp;$A84+7,Summary!$G$5:$G$241,"Yes"))</f>
        <v>0</v>
      </c>
      <c r="AR84">
        <f>IF(AR55="","",COUNTIFS(Summary!$E$5:$E$241,AR55,Summary!$D$5:$D$241,"&gt;="&amp;$A84,Summary!$D$5:$D$241,"&lt;"&amp;$A84+7,Summary!$G$5:$G$241,"Yes"))</f>
        <v>0</v>
      </c>
      <c r="AS84">
        <f>IF(AS55="","",COUNTIFS(Summary!$E$5:$E$241,AS55,Summary!$D$5:$D$241,"&gt;="&amp;$A84,Summary!$D$5:$D$241,"&lt;"&amp;$A84+7,Summary!$G$5:$G$241,"Yes"))</f>
        <v>0</v>
      </c>
      <c r="AT84">
        <f>IF(AT55="","",COUNTIFS(Summary!$E$5:$E$241,AT55,Summary!$D$5:$D$241,"&gt;="&amp;$A84,Summary!$D$5:$D$241,"&lt;"&amp;$A84+7,Summary!$G$5:$G$241,"Yes"))</f>
        <v>0</v>
      </c>
      <c r="AU84">
        <f>IF(AU55="","",COUNTIFS(Summary!$E$5:$E$241,AU55,Summary!$D$5:$D$241,"&gt;="&amp;$A84,Summary!$D$5:$D$241,"&lt;"&amp;$A84+7,Summary!$G$5:$G$241,"Yes"))</f>
        <v>0</v>
      </c>
      <c r="AV84">
        <f>IF(AV55="","",COUNTIFS(Summary!$E$5:$E$241,AV55,Summary!$D$5:$D$241,"&gt;="&amp;$A84,Summary!$D$5:$D$241,"&lt;"&amp;$A84+7,Summary!$G$5:$G$241,"Yes"))</f>
        <v>0</v>
      </c>
      <c r="AW84">
        <f>IF(AW55="","",COUNTIFS(Summary!$E$5:$E$241,AW55,Summary!$D$5:$D$241,"&gt;="&amp;$A84,Summary!$D$5:$D$241,"&lt;"&amp;$A84+7,Summary!$G$5:$G$241,"Yes"))</f>
        <v>0</v>
      </c>
      <c r="AX84">
        <f>IF(AX55="","",COUNTIFS(Summary!$E$5:$E$241,AX55,Summary!$D$5:$D$241,"&gt;="&amp;$A84,Summary!$D$5:$D$241,"&lt;"&amp;$A84+7,Summary!$G$5:$G$241,"Yes"))</f>
        <v>0</v>
      </c>
      <c r="AY84">
        <f>IF(AY55="","",COUNTIFS(Summary!$E$5:$E$241,AY55,Summary!$D$5:$D$241,"&gt;="&amp;$A84,Summary!$D$5:$D$241,"&lt;"&amp;$A84+7,Summary!$G$5:$G$241,"Yes"))</f>
        <v>0</v>
      </c>
      <c r="AZ84">
        <f>IF(AZ55="","",COUNTIFS(Summary!$E$5:$E$241,AZ55,Summary!$D$5:$D$241,"&gt;="&amp;$A84,Summary!$D$5:$D$241,"&lt;"&amp;$A84+7,Summary!$G$5:$G$241,"Yes"))</f>
        <v>0</v>
      </c>
      <c r="BA84">
        <f>IF(BA55="","",COUNTIFS(Summary!$E$5:$E$241,BA55,Summary!$D$5:$D$241,"&gt;="&amp;$A84,Summary!$D$5:$D$241,"&lt;"&amp;$A84+7,Summary!$G$5:$G$241,"Yes"))</f>
        <v>0</v>
      </c>
      <c r="BB84">
        <f>IF(BB55="","",COUNTIFS(Summary!$E$5:$E$241,BB55,Summary!$D$5:$D$241,"&gt;="&amp;$A84,Summary!$D$5:$D$241,"&lt;"&amp;$A84+7,Summary!$G$5:$G$241,"Yes"))</f>
        <v>0</v>
      </c>
      <c r="BC84">
        <f>IF(BC55="","",COUNTIFS(Summary!$E$5:$E$241,BC55,Summary!$D$5:$D$241,"&gt;="&amp;$A84,Summary!$D$5:$D$241,"&lt;"&amp;$A84+7,Summary!$G$5:$G$241,"Yes"))</f>
        <v>0</v>
      </c>
      <c r="BD84">
        <f>IF(BD55="","",COUNTIFS(Summary!$E$5:$E$241,BD55,Summary!$D$5:$D$241,"&gt;="&amp;$A84,Summary!$D$5:$D$241,"&lt;"&amp;$A84+7,Summary!$G$5:$G$241,"Yes"))</f>
        <v>0</v>
      </c>
      <c r="BE84">
        <f>IF(BE55="","",COUNTIFS(Summary!$E$5:$E$241,BE55,Summary!$D$5:$D$241,"&gt;="&amp;$A84,Summary!$D$5:$D$241,"&lt;"&amp;$A84+7,Summary!$G$5:$G$241,"Yes"))</f>
        <v>0</v>
      </c>
      <c r="BF84" s="28">
        <f>IF(BF55="","",COUNTIFS(Summary!$E$5:$E$241,BF55,Summary!$D$5:$D$241,"&gt;="&amp;$A84,Summary!$D$5:$D$241,"&lt;"&amp;$A84+7,Summary!$G$5:$G$241,"Yes"))</f>
        <v>0</v>
      </c>
    </row>
    <row r="85" spans="1:58">
      <c r="A85" s="18">
        <f t="shared" si="5"/>
        <v>46286</v>
      </c>
      <c r="B85" s="2" t="str">
        <f t="shared" si="4"/>
        <v>Sep 21</v>
      </c>
      <c r="C85">
        <f>IF(C55="","",COUNTIFS(Summary!$E$5:$E$241,C55,Summary!$D$5:$D$241,"&gt;="&amp;$A85,Summary!$D$5:$D$241,"&lt;"&amp;$A85+7,Summary!$G$5:$G$241,"Yes"))</f>
        <v>0</v>
      </c>
      <c r="D85">
        <f>IF(D55="","",COUNTIFS(Summary!$E$5:$E$241,D55,Summary!$D$5:$D$241,"&gt;="&amp;$A85,Summary!$D$5:$D$241,"&lt;"&amp;$A85+7,Summary!$G$5:$G$241,"Yes"))</f>
        <v>0</v>
      </c>
      <c r="E85">
        <f>IF(E55="","",COUNTIFS(Summary!$E$5:$E$241,E55,Summary!$D$5:$D$241,"&gt;="&amp;$A85,Summary!$D$5:$D$241,"&lt;"&amp;$A85+7,Summary!$G$5:$G$241,"Yes"))</f>
        <v>0</v>
      </c>
      <c r="F85">
        <f>IF(F55="","",COUNTIFS(Summary!$E$5:$E$241,F55,Summary!$D$5:$D$241,"&gt;="&amp;$A85,Summary!$D$5:$D$241,"&lt;"&amp;$A85+7,Summary!$G$5:$G$241,"Yes"))</f>
        <v>0</v>
      </c>
      <c r="G85">
        <f>IF(G55="","",COUNTIFS(Summary!$E$5:$E$241,G55,Summary!$D$5:$D$241,"&gt;="&amp;$A85,Summary!$D$5:$D$241,"&lt;"&amp;$A85+7,Summary!$G$5:$G$241,"Yes"))</f>
        <v>0</v>
      </c>
      <c r="H85">
        <f>IF(H55="","",COUNTIFS(Summary!$E$5:$E$241,H55,Summary!$D$5:$D$241,"&gt;="&amp;$A85,Summary!$D$5:$D$241,"&lt;"&amp;$A85+7,Summary!$G$5:$G$241,"Yes"))</f>
        <v>0</v>
      </c>
      <c r="I85">
        <f>IF(I55="","",COUNTIFS(Summary!$E$5:$E$241,I55,Summary!$D$5:$D$241,"&gt;="&amp;$A85,Summary!$D$5:$D$241,"&lt;"&amp;$A85+7,Summary!$G$5:$G$241,"Yes"))</f>
        <v>0</v>
      </c>
      <c r="J85">
        <f>IF(J55="","",COUNTIFS(Summary!$E$5:$E$241,J55,Summary!$D$5:$D$241,"&gt;="&amp;$A85,Summary!$D$5:$D$241,"&lt;"&amp;$A85+7,Summary!$G$5:$G$241,"Yes"))</f>
        <v>0</v>
      </c>
      <c r="K85">
        <f>IF(K55="","",COUNTIFS(Summary!$E$5:$E$241,K55,Summary!$D$5:$D$241,"&gt;="&amp;$A85,Summary!$D$5:$D$241,"&lt;"&amp;$A85+7,Summary!$G$5:$G$241,"Yes"))</f>
        <v>0</v>
      </c>
      <c r="L85">
        <f>IF(L55="","",COUNTIFS(Summary!$E$5:$E$241,L55,Summary!$D$5:$D$241,"&gt;="&amp;$A85,Summary!$D$5:$D$241,"&lt;"&amp;$A85+7,Summary!$G$5:$G$241,"Yes"))</f>
        <v>0</v>
      </c>
      <c r="M85">
        <f>IF(M55="","",COUNTIFS(Summary!$E$5:$E$241,M55,Summary!$D$5:$D$241,"&gt;="&amp;$A85,Summary!$D$5:$D$241,"&lt;"&amp;$A85+7,Summary!$G$5:$G$241,"Yes"))</f>
        <v>0</v>
      </c>
      <c r="N85">
        <f>IF(N55="","",COUNTIFS(Summary!$E$5:$E$241,N55,Summary!$D$5:$D$241,"&gt;="&amp;$A85,Summary!$D$5:$D$241,"&lt;"&amp;$A85+7,Summary!$G$5:$G$241,"Yes"))</f>
        <v>0</v>
      </c>
      <c r="O85">
        <f>IF(O55="","",COUNTIFS(Summary!$E$5:$E$241,O55,Summary!$D$5:$D$241,"&gt;="&amp;$A85,Summary!$D$5:$D$241,"&lt;"&amp;$A85+7,Summary!$G$5:$G$241,"Yes"))</f>
        <v>0</v>
      </c>
      <c r="P85">
        <f>IF(P55="","",COUNTIFS(Summary!$E$5:$E$241,P55,Summary!$D$5:$D$241,"&gt;="&amp;$A85,Summary!$D$5:$D$241,"&lt;"&amp;$A85+7,Summary!$G$5:$G$241,"Yes"))</f>
        <v>0</v>
      </c>
      <c r="Q85">
        <f>IF(Q55="","",COUNTIFS(Summary!$E$5:$E$241,Q55,Summary!$D$5:$D$241,"&gt;="&amp;$A85,Summary!$D$5:$D$241,"&lt;"&amp;$A85+7,Summary!$G$5:$G$241,"Yes"))</f>
        <v>0</v>
      </c>
      <c r="R85">
        <f>IF(R55="","",COUNTIFS(Summary!$E$5:$E$241,R55,Summary!$D$5:$D$241,"&gt;="&amp;$A85,Summary!$D$5:$D$241,"&lt;"&amp;$A85+7,Summary!$G$5:$G$241,"Yes"))</f>
        <v>0</v>
      </c>
      <c r="S85">
        <f>IF(S55="","",COUNTIFS(Summary!$E$5:$E$241,S55,Summary!$D$5:$D$241,"&gt;="&amp;$A85,Summary!$D$5:$D$241,"&lt;"&amp;$A85+7,Summary!$G$5:$G$241,"Yes"))</f>
        <v>0</v>
      </c>
      <c r="T85">
        <f>IF(T55="","",COUNTIFS(Summary!$E$5:$E$241,T55,Summary!$D$5:$D$241,"&gt;="&amp;$A85,Summary!$D$5:$D$241,"&lt;"&amp;$A85+7,Summary!$G$5:$G$241,"Yes"))</f>
        <v>0</v>
      </c>
      <c r="U85">
        <f>IF(U55="","",COUNTIFS(Summary!$E$5:$E$241,U55,Summary!$D$5:$D$241,"&gt;="&amp;$A85,Summary!$D$5:$D$241,"&lt;"&amp;$A85+7,Summary!$G$5:$G$241,"Yes"))</f>
        <v>0</v>
      </c>
      <c r="V85">
        <f>IF(V55="","",COUNTIFS(Summary!$E$5:$E$241,V55,Summary!$D$5:$D$241,"&gt;="&amp;$A85,Summary!$D$5:$D$241,"&lt;"&amp;$A85+7,Summary!$G$5:$G$241,"Yes"))</f>
        <v>0</v>
      </c>
      <c r="W85">
        <f>IF(W55="","",COUNTIFS(Summary!$E$5:$E$241,W55,Summary!$D$5:$D$241,"&gt;="&amp;$A85,Summary!$D$5:$D$241,"&lt;"&amp;$A85+7,Summary!$G$5:$G$241,"Yes"))</f>
        <v>0</v>
      </c>
      <c r="X85">
        <f>IF(X55="","",COUNTIFS(Summary!$E$5:$E$241,X55,Summary!$D$5:$D$241,"&gt;="&amp;$A85,Summary!$D$5:$D$241,"&lt;"&amp;$A85+7,Summary!$G$5:$G$241,"Yes"))</f>
        <v>0</v>
      </c>
      <c r="Y85">
        <f>IF(Y55="","",COUNTIFS(Summary!$E$5:$E$241,Y55,Summary!$D$5:$D$241,"&gt;="&amp;$A85,Summary!$D$5:$D$241,"&lt;"&amp;$A85+7,Summary!$G$5:$G$241,"Yes"))</f>
        <v>0</v>
      </c>
      <c r="Z85">
        <f>IF(Z55="","",COUNTIFS(Summary!$E$5:$E$241,Z55,Summary!$D$5:$D$241,"&gt;="&amp;$A85,Summary!$D$5:$D$241,"&lt;"&amp;$A85+7,Summary!$G$5:$G$241,"Yes"))</f>
        <v>0</v>
      </c>
      <c r="AA85">
        <f>IF(AA55="","",COUNTIFS(Summary!$E$5:$E$241,AA55,Summary!$D$5:$D$241,"&gt;="&amp;$A85,Summary!$D$5:$D$241,"&lt;"&amp;$A85+7,Summary!$G$5:$G$241,"Yes"))</f>
        <v>0</v>
      </c>
      <c r="AB85">
        <f>IF(AB55="","",COUNTIFS(Summary!$E$5:$E$241,AB55,Summary!$D$5:$D$241,"&gt;="&amp;$A85,Summary!$D$5:$D$241,"&lt;"&amp;$A85+7,Summary!$G$5:$G$241,"Yes"))</f>
        <v>0</v>
      </c>
      <c r="AC85">
        <f>IF(AC55="","",COUNTIFS(Summary!$E$5:$E$241,AC55,Summary!$D$5:$D$241,"&gt;="&amp;$A85,Summary!$D$5:$D$241,"&lt;"&amp;$A85+7,Summary!$G$5:$G$241,"Yes"))</f>
        <v>0</v>
      </c>
      <c r="AD85">
        <f>IF(AD55="","",COUNTIFS(Summary!$E$5:$E$241,AD55,Summary!$D$5:$D$241,"&gt;="&amp;$A85,Summary!$D$5:$D$241,"&lt;"&amp;$A85+7,Summary!$G$5:$G$241,"Yes"))</f>
        <v>0</v>
      </c>
      <c r="AE85">
        <f>IF(AE55="","",COUNTIFS(Summary!$E$5:$E$241,AE55,Summary!$D$5:$D$241,"&gt;="&amp;$A85,Summary!$D$5:$D$241,"&lt;"&amp;$A85+7,Summary!$G$5:$G$241,"Yes"))</f>
        <v>0</v>
      </c>
      <c r="AF85">
        <f>IF(AF55="","",COUNTIFS(Summary!$E$5:$E$241,AF55,Summary!$D$5:$D$241,"&gt;="&amp;$A85,Summary!$D$5:$D$241,"&lt;"&amp;$A85+7,Summary!$G$5:$G$241,"Yes"))</f>
        <v>0</v>
      </c>
      <c r="AG85">
        <f>IF(AG55="","",COUNTIFS(Summary!$E$5:$E$241,AG55,Summary!$D$5:$D$241,"&gt;="&amp;$A85,Summary!$D$5:$D$241,"&lt;"&amp;$A85+7,Summary!$G$5:$G$241,"Yes"))</f>
        <v>0</v>
      </c>
      <c r="AH85">
        <f>IF(AH55="","",COUNTIFS(Summary!$E$5:$E$241,AH55,Summary!$D$5:$D$241,"&gt;="&amp;$A85,Summary!$D$5:$D$241,"&lt;"&amp;$A85+7,Summary!$G$5:$G$241,"Yes"))</f>
        <v>0</v>
      </c>
      <c r="AI85">
        <f>IF(AI55="","",COUNTIFS(Summary!$E$5:$E$241,AI55,Summary!$D$5:$D$241,"&gt;="&amp;$A85,Summary!$D$5:$D$241,"&lt;"&amp;$A85+7,Summary!$G$5:$G$241,"Yes"))</f>
        <v>0</v>
      </c>
      <c r="AJ85">
        <f>IF(AJ55="","",COUNTIFS(Summary!$E$5:$E$241,AJ55,Summary!$D$5:$D$241,"&gt;="&amp;$A85,Summary!$D$5:$D$241,"&lt;"&amp;$A85+7,Summary!$G$5:$G$241,"Yes"))</f>
        <v>0</v>
      </c>
      <c r="AK85">
        <f>IF(AK55="","",COUNTIFS(Summary!$E$5:$E$241,AK55,Summary!$D$5:$D$241,"&gt;="&amp;$A85,Summary!$D$5:$D$241,"&lt;"&amp;$A85+7,Summary!$G$5:$G$241,"Yes"))</f>
        <v>0</v>
      </c>
      <c r="AL85">
        <f>IF(AL55="","",COUNTIFS(Summary!$E$5:$E$241,AL55,Summary!$D$5:$D$241,"&gt;="&amp;$A85,Summary!$D$5:$D$241,"&lt;"&amp;$A85+7,Summary!$G$5:$G$241,"Yes"))</f>
        <v>0</v>
      </c>
      <c r="AM85">
        <f>IF(AM55="","",COUNTIFS(Summary!$E$5:$E$241,AM55,Summary!$D$5:$D$241,"&gt;="&amp;$A85,Summary!$D$5:$D$241,"&lt;"&amp;$A85+7,Summary!$G$5:$G$241,"Yes"))</f>
        <v>0</v>
      </c>
      <c r="AN85">
        <f>IF(AN55="","",COUNTIFS(Summary!$E$5:$E$241,AN55,Summary!$D$5:$D$241,"&gt;="&amp;$A85,Summary!$D$5:$D$241,"&lt;"&amp;$A85+7,Summary!$G$5:$G$241,"Yes"))</f>
        <v>0</v>
      </c>
      <c r="AO85">
        <f>IF(AO55="","",COUNTIFS(Summary!$E$5:$E$241,AO55,Summary!$D$5:$D$241,"&gt;="&amp;$A85,Summary!$D$5:$D$241,"&lt;"&amp;$A85+7,Summary!$G$5:$G$241,"Yes"))</f>
        <v>0</v>
      </c>
      <c r="AP85">
        <f>IF(AP55="","",COUNTIFS(Summary!$E$5:$E$241,AP55,Summary!$D$5:$D$241,"&gt;="&amp;$A85,Summary!$D$5:$D$241,"&lt;"&amp;$A85+7,Summary!$G$5:$G$241,"Yes"))</f>
        <v>0</v>
      </c>
      <c r="AQ85">
        <f>IF(AQ55="","",COUNTIFS(Summary!$E$5:$E$241,AQ55,Summary!$D$5:$D$241,"&gt;="&amp;$A85,Summary!$D$5:$D$241,"&lt;"&amp;$A85+7,Summary!$G$5:$G$241,"Yes"))</f>
        <v>0</v>
      </c>
      <c r="AR85">
        <f>IF(AR55="","",COUNTIFS(Summary!$E$5:$E$241,AR55,Summary!$D$5:$D$241,"&gt;="&amp;$A85,Summary!$D$5:$D$241,"&lt;"&amp;$A85+7,Summary!$G$5:$G$241,"Yes"))</f>
        <v>0</v>
      </c>
      <c r="AS85">
        <f>IF(AS55="","",COUNTIFS(Summary!$E$5:$E$241,AS55,Summary!$D$5:$D$241,"&gt;="&amp;$A85,Summary!$D$5:$D$241,"&lt;"&amp;$A85+7,Summary!$G$5:$G$241,"Yes"))</f>
        <v>0</v>
      </c>
      <c r="AT85">
        <f>IF(AT55="","",COUNTIFS(Summary!$E$5:$E$241,AT55,Summary!$D$5:$D$241,"&gt;="&amp;$A85,Summary!$D$5:$D$241,"&lt;"&amp;$A85+7,Summary!$G$5:$G$241,"Yes"))</f>
        <v>0</v>
      </c>
      <c r="AU85">
        <f>IF(AU55="","",COUNTIFS(Summary!$E$5:$E$241,AU55,Summary!$D$5:$D$241,"&gt;="&amp;$A85,Summary!$D$5:$D$241,"&lt;"&amp;$A85+7,Summary!$G$5:$G$241,"Yes"))</f>
        <v>0</v>
      </c>
      <c r="AV85">
        <f>IF(AV55="","",COUNTIFS(Summary!$E$5:$E$241,AV55,Summary!$D$5:$D$241,"&gt;="&amp;$A85,Summary!$D$5:$D$241,"&lt;"&amp;$A85+7,Summary!$G$5:$G$241,"Yes"))</f>
        <v>0</v>
      </c>
      <c r="AW85">
        <f>IF(AW55="","",COUNTIFS(Summary!$E$5:$E$241,AW55,Summary!$D$5:$D$241,"&gt;="&amp;$A85,Summary!$D$5:$D$241,"&lt;"&amp;$A85+7,Summary!$G$5:$G$241,"Yes"))</f>
        <v>0</v>
      </c>
      <c r="AX85">
        <f>IF(AX55="","",COUNTIFS(Summary!$E$5:$E$241,AX55,Summary!$D$5:$D$241,"&gt;="&amp;$A85,Summary!$D$5:$D$241,"&lt;"&amp;$A85+7,Summary!$G$5:$G$241,"Yes"))</f>
        <v>0</v>
      </c>
      <c r="AY85">
        <f>IF(AY55="","",COUNTIFS(Summary!$E$5:$E$241,AY55,Summary!$D$5:$D$241,"&gt;="&amp;$A85,Summary!$D$5:$D$241,"&lt;"&amp;$A85+7,Summary!$G$5:$G$241,"Yes"))</f>
        <v>0</v>
      </c>
      <c r="AZ85">
        <f>IF(AZ55="","",COUNTIFS(Summary!$E$5:$E$241,AZ55,Summary!$D$5:$D$241,"&gt;="&amp;$A85,Summary!$D$5:$D$241,"&lt;"&amp;$A85+7,Summary!$G$5:$G$241,"Yes"))</f>
        <v>0</v>
      </c>
      <c r="BA85">
        <f>IF(BA55="","",COUNTIFS(Summary!$E$5:$E$241,BA55,Summary!$D$5:$D$241,"&gt;="&amp;$A85,Summary!$D$5:$D$241,"&lt;"&amp;$A85+7,Summary!$G$5:$G$241,"Yes"))</f>
        <v>0</v>
      </c>
      <c r="BB85">
        <f>IF(BB55="","",COUNTIFS(Summary!$E$5:$E$241,BB55,Summary!$D$5:$D$241,"&gt;="&amp;$A85,Summary!$D$5:$D$241,"&lt;"&amp;$A85+7,Summary!$G$5:$G$241,"Yes"))</f>
        <v>0</v>
      </c>
      <c r="BC85">
        <f>IF(BC55="","",COUNTIFS(Summary!$E$5:$E$241,BC55,Summary!$D$5:$D$241,"&gt;="&amp;$A85,Summary!$D$5:$D$241,"&lt;"&amp;$A85+7,Summary!$G$5:$G$241,"Yes"))</f>
        <v>0</v>
      </c>
      <c r="BD85">
        <f>IF(BD55="","",COUNTIFS(Summary!$E$5:$E$241,BD55,Summary!$D$5:$D$241,"&gt;="&amp;$A85,Summary!$D$5:$D$241,"&lt;"&amp;$A85+7,Summary!$G$5:$G$241,"Yes"))</f>
        <v>0</v>
      </c>
      <c r="BE85">
        <f>IF(BE55="","",COUNTIFS(Summary!$E$5:$E$241,BE55,Summary!$D$5:$D$241,"&gt;="&amp;$A85,Summary!$D$5:$D$241,"&lt;"&amp;$A85+7,Summary!$G$5:$G$241,"Yes"))</f>
        <v>0</v>
      </c>
      <c r="BF85" s="28">
        <f>IF(BF55="","",COUNTIFS(Summary!$E$5:$E$241,BF55,Summary!$D$5:$D$241,"&gt;="&amp;$A85,Summary!$D$5:$D$241,"&lt;"&amp;$A85+7,Summary!$G$5:$G$241,"Yes"))</f>
        <v>0</v>
      </c>
    </row>
    <row r="86" spans="1:58">
      <c r="A86" s="18">
        <f t="shared" si="5"/>
        <v>46293</v>
      </c>
      <c r="B86" s="2" t="str">
        <f t="shared" si="4"/>
        <v>Sep 28</v>
      </c>
      <c r="C86">
        <f>IF(C55="","",COUNTIFS(Summary!$E$5:$E$241,C55,Summary!$D$5:$D$241,"&gt;="&amp;$A86,Summary!$D$5:$D$241,"&lt;"&amp;$A86+7,Summary!$G$5:$G$241,"Yes"))</f>
        <v>0</v>
      </c>
      <c r="D86">
        <f>IF(D55="","",COUNTIFS(Summary!$E$5:$E$241,D55,Summary!$D$5:$D$241,"&gt;="&amp;$A86,Summary!$D$5:$D$241,"&lt;"&amp;$A86+7,Summary!$G$5:$G$241,"Yes"))</f>
        <v>0</v>
      </c>
      <c r="E86">
        <f>IF(E55="","",COUNTIFS(Summary!$E$5:$E$241,E55,Summary!$D$5:$D$241,"&gt;="&amp;$A86,Summary!$D$5:$D$241,"&lt;"&amp;$A86+7,Summary!$G$5:$G$241,"Yes"))</f>
        <v>0</v>
      </c>
      <c r="F86">
        <f>IF(F55="","",COUNTIFS(Summary!$E$5:$E$241,F55,Summary!$D$5:$D$241,"&gt;="&amp;$A86,Summary!$D$5:$D$241,"&lt;"&amp;$A86+7,Summary!$G$5:$G$241,"Yes"))</f>
        <v>0</v>
      </c>
      <c r="G86">
        <f>IF(G55="","",COUNTIFS(Summary!$E$5:$E$241,G55,Summary!$D$5:$D$241,"&gt;="&amp;$A86,Summary!$D$5:$D$241,"&lt;"&amp;$A86+7,Summary!$G$5:$G$241,"Yes"))</f>
        <v>0</v>
      </c>
      <c r="H86">
        <f>IF(H55="","",COUNTIFS(Summary!$E$5:$E$241,H55,Summary!$D$5:$D$241,"&gt;="&amp;$A86,Summary!$D$5:$D$241,"&lt;"&amp;$A86+7,Summary!$G$5:$G$241,"Yes"))</f>
        <v>0</v>
      </c>
      <c r="I86">
        <f>IF(I55="","",COUNTIFS(Summary!$E$5:$E$241,I55,Summary!$D$5:$D$241,"&gt;="&amp;$A86,Summary!$D$5:$D$241,"&lt;"&amp;$A86+7,Summary!$G$5:$G$241,"Yes"))</f>
        <v>0</v>
      </c>
      <c r="J86">
        <f>IF(J55="","",COUNTIFS(Summary!$E$5:$E$241,J55,Summary!$D$5:$D$241,"&gt;="&amp;$A86,Summary!$D$5:$D$241,"&lt;"&amp;$A86+7,Summary!$G$5:$G$241,"Yes"))</f>
        <v>0</v>
      </c>
      <c r="K86">
        <f>IF(K55="","",COUNTIFS(Summary!$E$5:$E$241,K55,Summary!$D$5:$D$241,"&gt;="&amp;$A86,Summary!$D$5:$D$241,"&lt;"&amp;$A86+7,Summary!$G$5:$G$241,"Yes"))</f>
        <v>0</v>
      </c>
      <c r="L86">
        <f>IF(L55="","",COUNTIFS(Summary!$E$5:$E$241,L55,Summary!$D$5:$D$241,"&gt;="&amp;$A86,Summary!$D$5:$D$241,"&lt;"&amp;$A86+7,Summary!$G$5:$G$241,"Yes"))</f>
        <v>0</v>
      </c>
      <c r="M86">
        <f>IF(M55="","",COUNTIFS(Summary!$E$5:$E$241,M55,Summary!$D$5:$D$241,"&gt;="&amp;$A86,Summary!$D$5:$D$241,"&lt;"&amp;$A86+7,Summary!$G$5:$G$241,"Yes"))</f>
        <v>0</v>
      </c>
      <c r="N86">
        <f>IF(N55="","",COUNTIFS(Summary!$E$5:$E$241,N55,Summary!$D$5:$D$241,"&gt;="&amp;$A86,Summary!$D$5:$D$241,"&lt;"&amp;$A86+7,Summary!$G$5:$G$241,"Yes"))</f>
        <v>0</v>
      </c>
      <c r="O86">
        <f>IF(O55="","",COUNTIFS(Summary!$E$5:$E$241,O55,Summary!$D$5:$D$241,"&gt;="&amp;$A86,Summary!$D$5:$D$241,"&lt;"&amp;$A86+7,Summary!$G$5:$G$241,"Yes"))</f>
        <v>0</v>
      </c>
      <c r="P86">
        <f>IF(P55="","",COUNTIFS(Summary!$E$5:$E$241,P55,Summary!$D$5:$D$241,"&gt;="&amp;$A86,Summary!$D$5:$D$241,"&lt;"&amp;$A86+7,Summary!$G$5:$G$241,"Yes"))</f>
        <v>0</v>
      </c>
      <c r="Q86">
        <f>IF(Q55="","",COUNTIFS(Summary!$E$5:$E$241,Q55,Summary!$D$5:$D$241,"&gt;="&amp;$A86,Summary!$D$5:$D$241,"&lt;"&amp;$A86+7,Summary!$G$5:$G$241,"Yes"))</f>
        <v>0</v>
      </c>
      <c r="R86">
        <f>IF(R55="","",COUNTIFS(Summary!$E$5:$E$241,R55,Summary!$D$5:$D$241,"&gt;="&amp;$A86,Summary!$D$5:$D$241,"&lt;"&amp;$A86+7,Summary!$G$5:$G$241,"Yes"))</f>
        <v>0</v>
      </c>
      <c r="S86">
        <f>IF(S55="","",COUNTIFS(Summary!$E$5:$E$241,S55,Summary!$D$5:$D$241,"&gt;="&amp;$A86,Summary!$D$5:$D$241,"&lt;"&amp;$A86+7,Summary!$G$5:$G$241,"Yes"))</f>
        <v>0</v>
      </c>
      <c r="T86">
        <f>IF(T55="","",COUNTIFS(Summary!$E$5:$E$241,T55,Summary!$D$5:$D$241,"&gt;="&amp;$A86,Summary!$D$5:$D$241,"&lt;"&amp;$A86+7,Summary!$G$5:$G$241,"Yes"))</f>
        <v>0</v>
      </c>
      <c r="U86">
        <f>IF(U55="","",COUNTIFS(Summary!$E$5:$E$241,U55,Summary!$D$5:$D$241,"&gt;="&amp;$A86,Summary!$D$5:$D$241,"&lt;"&amp;$A86+7,Summary!$G$5:$G$241,"Yes"))</f>
        <v>0</v>
      </c>
      <c r="V86">
        <f>IF(V55="","",COUNTIFS(Summary!$E$5:$E$241,V55,Summary!$D$5:$D$241,"&gt;="&amp;$A86,Summary!$D$5:$D$241,"&lt;"&amp;$A86+7,Summary!$G$5:$G$241,"Yes"))</f>
        <v>0</v>
      </c>
      <c r="W86">
        <f>IF(W55="","",COUNTIFS(Summary!$E$5:$E$241,W55,Summary!$D$5:$D$241,"&gt;="&amp;$A86,Summary!$D$5:$D$241,"&lt;"&amp;$A86+7,Summary!$G$5:$G$241,"Yes"))</f>
        <v>0</v>
      </c>
      <c r="X86">
        <f>IF(X55="","",COUNTIFS(Summary!$E$5:$E$241,X55,Summary!$D$5:$D$241,"&gt;="&amp;$A86,Summary!$D$5:$D$241,"&lt;"&amp;$A86+7,Summary!$G$5:$G$241,"Yes"))</f>
        <v>0</v>
      </c>
      <c r="Y86">
        <f>IF(Y55="","",COUNTIFS(Summary!$E$5:$E$241,Y55,Summary!$D$5:$D$241,"&gt;="&amp;$A86,Summary!$D$5:$D$241,"&lt;"&amp;$A86+7,Summary!$G$5:$G$241,"Yes"))</f>
        <v>0</v>
      </c>
      <c r="Z86">
        <f>IF(Z55="","",COUNTIFS(Summary!$E$5:$E$241,Z55,Summary!$D$5:$D$241,"&gt;="&amp;$A86,Summary!$D$5:$D$241,"&lt;"&amp;$A86+7,Summary!$G$5:$G$241,"Yes"))</f>
        <v>0</v>
      </c>
      <c r="AA86">
        <f>IF(AA55="","",COUNTIFS(Summary!$E$5:$E$241,AA55,Summary!$D$5:$D$241,"&gt;="&amp;$A86,Summary!$D$5:$D$241,"&lt;"&amp;$A86+7,Summary!$G$5:$G$241,"Yes"))</f>
        <v>0</v>
      </c>
      <c r="AB86">
        <f>IF(AB55="","",COUNTIFS(Summary!$E$5:$E$241,AB55,Summary!$D$5:$D$241,"&gt;="&amp;$A86,Summary!$D$5:$D$241,"&lt;"&amp;$A86+7,Summary!$G$5:$G$241,"Yes"))</f>
        <v>0</v>
      </c>
      <c r="AC86">
        <f>IF(AC55="","",COUNTIFS(Summary!$E$5:$E$241,AC55,Summary!$D$5:$D$241,"&gt;="&amp;$A86,Summary!$D$5:$D$241,"&lt;"&amp;$A86+7,Summary!$G$5:$G$241,"Yes"))</f>
        <v>0</v>
      </c>
      <c r="AD86">
        <f>IF(AD55="","",COUNTIFS(Summary!$E$5:$E$241,AD55,Summary!$D$5:$D$241,"&gt;="&amp;$A86,Summary!$D$5:$D$241,"&lt;"&amp;$A86+7,Summary!$G$5:$G$241,"Yes"))</f>
        <v>0</v>
      </c>
      <c r="AE86">
        <f>IF(AE55="","",COUNTIFS(Summary!$E$5:$E$241,AE55,Summary!$D$5:$D$241,"&gt;="&amp;$A86,Summary!$D$5:$D$241,"&lt;"&amp;$A86+7,Summary!$G$5:$G$241,"Yes"))</f>
        <v>0</v>
      </c>
      <c r="AF86">
        <f>IF(AF55="","",COUNTIFS(Summary!$E$5:$E$241,AF55,Summary!$D$5:$D$241,"&gt;="&amp;$A86,Summary!$D$5:$D$241,"&lt;"&amp;$A86+7,Summary!$G$5:$G$241,"Yes"))</f>
        <v>0</v>
      </c>
      <c r="AG86">
        <f>IF(AG55="","",COUNTIFS(Summary!$E$5:$E$241,AG55,Summary!$D$5:$D$241,"&gt;="&amp;$A86,Summary!$D$5:$D$241,"&lt;"&amp;$A86+7,Summary!$G$5:$G$241,"Yes"))</f>
        <v>0</v>
      </c>
      <c r="AH86">
        <f>IF(AH55="","",COUNTIFS(Summary!$E$5:$E$241,AH55,Summary!$D$5:$D$241,"&gt;="&amp;$A86,Summary!$D$5:$D$241,"&lt;"&amp;$A86+7,Summary!$G$5:$G$241,"Yes"))</f>
        <v>0</v>
      </c>
      <c r="AI86">
        <f>IF(AI55="","",COUNTIFS(Summary!$E$5:$E$241,AI55,Summary!$D$5:$D$241,"&gt;="&amp;$A86,Summary!$D$5:$D$241,"&lt;"&amp;$A86+7,Summary!$G$5:$G$241,"Yes"))</f>
        <v>0</v>
      </c>
      <c r="AJ86">
        <f>IF(AJ55="","",COUNTIFS(Summary!$E$5:$E$241,AJ55,Summary!$D$5:$D$241,"&gt;="&amp;$A86,Summary!$D$5:$D$241,"&lt;"&amp;$A86+7,Summary!$G$5:$G$241,"Yes"))</f>
        <v>0</v>
      </c>
      <c r="AK86">
        <f>IF(AK55="","",COUNTIFS(Summary!$E$5:$E$241,AK55,Summary!$D$5:$D$241,"&gt;="&amp;$A86,Summary!$D$5:$D$241,"&lt;"&amp;$A86+7,Summary!$G$5:$G$241,"Yes"))</f>
        <v>0</v>
      </c>
      <c r="AL86">
        <f>IF(AL55="","",COUNTIFS(Summary!$E$5:$E$241,AL55,Summary!$D$5:$D$241,"&gt;="&amp;$A86,Summary!$D$5:$D$241,"&lt;"&amp;$A86+7,Summary!$G$5:$G$241,"Yes"))</f>
        <v>0</v>
      </c>
      <c r="AM86">
        <f>IF(AM55="","",COUNTIFS(Summary!$E$5:$E$241,AM55,Summary!$D$5:$D$241,"&gt;="&amp;$A86,Summary!$D$5:$D$241,"&lt;"&amp;$A86+7,Summary!$G$5:$G$241,"Yes"))</f>
        <v>0</v>
      </c>
      <c r="AN86">
        <f>IF(AN55="","",COUNTIFS(Summary!$E$5:$E$241,AN55,Summary!$D$5:$D$241,"&gt;="&amp;$A86,Summary!$D$5:$D$241,"&lt;"&amp;$A86+7,Summary!$G$5:$G$241,"Yes"))</f>
        <v>0</v>
      </c>
      <c r="AO86">
        <f>IF(AO55="","",COUNTIFS(Summary!$E$5:$E$241,AO55,Summary!$D$5:$D$241,"&gt;="&amp;$A86,Summary!$D$5:$D$241,"&lt;"&amp;$A86+7,Summary!$G$5:$G$241,"Yes"))</f>
        <v>0</v>
      </c>
      <c r="AP86">
        <f>IF(AP55="","",COUNTIFS(Summary!$E$5:$E$241,AP55,Summary!$D$5:$D$241,"&gt;="&amp;$A86,Summary!$D$5:$D$241,"&lt;"&amp;$A86+7,Summary!$G$5:$G$241,"Yes"))</f>
        <v>0</v>
      </c>
      <c r="AQ86">
        <f>IF(AQ55="","",COUNTIFS(Summary!$E$5:$E$241,AQ55,Summary!$D$5:$D$241,"&gt;="&amp;$A86,Summary!$D$5:$D$241,"&lt;"&amp;$A86+7,Summary!$G$5:$G$241,"Yes"))</f>
        <v>0</v>
      </c>
      <c r="AR86">
        <f>IF(AR55="","",COUNTIFS(Summary!$E$5:$E$241,AR55,Summary!$D$5:$D$241,"&gt;="&amp;$A86,Summary!$D$5:$D$241,"&lt;"&amp;$A86+7,Summary!$G$5:$G$241,"Yes"))</f>
        <v>0</v>
      </c>
      <c r="AS86">
        <f>IF(AS55="","",COUNTIFS(Summary!$E$5:$E$241,AS55,Summary!$D$5:$D$241,"&gt;="&amp;$A86,Summary!$D$5:$D$241,"&lt;"&amp;$A86+7,Summary!$G$5:$G$241,"Yes"))</f>
        <v>0</v>
      </c>
      <c r="AT86">
        <f>IF(AT55="","",COUNTIFS(Summary!$E$5:$E$241,AT55,Summary!$D$5:$D$241,"&gt;="&amp;$A86,Summary!$D$5:$D$241,"&lt;"&amp;$A86+7,Summary!$G$5:$G$241,"Yes"))</f>
        <v>0</v>
      </c>
      <c r="AU86">
        <f>IF(AU55="","",COUNTIFS(Summary!$E$5:$E$241,AU55,Summary!$D$5:$D$241,"&gt;="&amp;$A86,Summary!$D$5:$D$241,"&lt;"&amp;$A86+7,Summary!$G$5:$G$241,"Yes"))</f>
        <v>0</v>
      </c>
      <c r="AV86">
        <f>IF(AV55="","",COUNTIFS(Summary!$E$5:$E$241,AV55,Summary!$D$5:$D$241,"&gt;="&amp;$A86,Summary!$D$5:$D$241,"&lt;"&amp;$A86+7,Summary!$G$5:$G$241,"Yes"))</f>
        <v>0</v>
      </c>
      <c r="AW86">
        <f>IF(AW55="","",COUNTIFS(Summary!$E$5:$E$241,AW55,Summary!$D$5:$D$241,"&gt;="&amp;$A86,Summary!$D$5:$D$241,"&lt;"&amp;$A86+7,Summary!$G$5:$G$241,"Yes"))</f>
        <v>0</v>
      </c>
      <c r="AX86">
        <f>IF(AX55="","",COUNTIFS(Summary!$E$5:$E$241,AX55,Summary!$D$5:$D$241,"&gt;="&amp;$A86,Summary!$D$5:$D$241,"&lt;"&amp;$A86+7,Summary!$G$5:$G$241,"Yes"))</f>
        <v>0</v>
      </c>
      <c r="AY86">
        <f>IF(AY55="","",COUNTIFS(Summary!$E$5:$E$241,AY55,Summary!$D$5:$D$241,"&gt;="&amp;$A86,Summary!$D$5:$D$241,"&lt;"&amp;$A86+7,Summary!$G$5:$G$241,"Yes"))</f>
        <v>0</v>
      </c>
      <c r="AZ86">
        <f>IF(AZ55="","",COUNTIFS(Summary!$E$5:$E$241,AZ55,Summary!$D$5:$D$241,"&gt;="&amp;$A86,Summary!$D$5:$D$241,"&lt;"&amp;$A86+7,Summary!$G$5:$G$241,"Yes"))</f>
        <v>0</v>
      </c>
      <c r="BA86">
        <f>IF(BA55="","",COUNTIFS(Summary!$E$5:$E$241,BA55,Summary!$D$5:$D$241,"&gt;="&amp;$A86,Summary!$D$5:$D$241,"&lt;"&amp;$A86+7,Summary!$G$5:$G$241,"Yes"))</f>
        <v>0</v>
      </c>
      <c r="BB86">
        <f>IF(BB55="","",COUNTIFS(Summary!$E$5:$E$241,BB55,Summary!$D$5:$D$241,"&gt;="&amp;$A86,Summary!$D$5:$D$241,"&lt;"&amp;$A86+7,Summary!$G$5:$G$241,"Yes"))</f>
        <v>0</v>
      </c>
      <c r="BC86">
        <f>IF(BC55="","",COUNTIFS(Summary!$E$5:$E$241,BC55,Summary!$D$5:$D$241,"&gt;="&amp;$A86,Summary!$D$5:$D$241,"&lt;"&amp;$A86+7,Summary!$G$5:$G$241,"Yes"))</f>
        <v>0</v>
      </c>
      <c r="BD86">
        <f>IF(BD55="","",COUNTIFS(Summary!$E$5:$E$241,BD55,Summary!$D$5:$D$241,"&gt;="&amp;$A86,Summary!$D$5:$D$241,"&lt;"&amp;$A86+7,Summary!$G$5:$G$241,"Yes"))</f>
        <v>0</v>
      </c>
      <c r="BE86">
        <f>IF(BE55="","",COUNTIFS(Summary!$E$5:$E$241,BE55,Summary!$D$5:$D$241,"&gt;="&amp;$A86,Summary!$D$5:$D$241,"&lt;"&amp;$A86+7,Summary!$G$5:$G$241,"Yes"))</f>
        <v>0</v>
      </c>
      <c r="BF86" s="28">
        <f>IF(BF55="","",COUNTIFS(Summary!$E$5:$E$241,BF55,Summary!$D$5:$D$241,"&gt;="&amp;$A86,Summary!$D$5:$D$241,"&lt;"&amp;$A86+7,Summary!$G$5:$G$241,"Yes"))</f>
        <v>0</v>
      </c>
    </row>
    <row r="87" spans="1:58">
      <c r="A87" s="18">
        <f t="shared" si="5"/>
        <v>46300</v>
      </c>
      <c r="B87" s="2" t="str">
        <f t="shared" si="4"/>
        <v>Oct 5</v>
      </c>
      <c r="C87">
        <f>IF(C55="","",COUNTIFS(Summary!$E$5:$E$241,C55,Summary!$D$5:$D$241,"&gt;="&amp;$A87,Summary!$D$5:$D$241,"&lt;"&amp;$A87+7,Summary!$G$5:$G$241,"Yes"))</f>
        <v>0</v>
      </c>
      <c r="D87">
        <f>IF(D55="","",COUNTIFS(Summary!$E$5:$E$241,D55,Summary!$D$5:$D$241,"&gt;="&amp;$A87,Summary!$D$5:$D$241,"&lt;"&amp;$A87+7,Summary!$G$5:$G$241,"Yes"))</f>
        <v>0</v>
      </c>
      <c r="E87">
        <f>IF(E55="","",COUNTIFS(Summary!$E$5:$E$241,E55,Summary!$D$5:$D$241,"&gt;="&amp;$A87,Summary!$D$5:$D$241,"&lt;"&amp;$A87+7,Summary!$G$5:$G$241,"Yes"))</f>
        <v>0</v>
      </c>
      <c r="F87">
        <f>IF(F55="","",COUNTIFS(Summary!$E$5:$E$241,F55,Summary!$D$5:$D$241,"&gt;="&amp;$A87,Summary!$D$5:$D$241,"&lt;"&amp;$A87+7,Summary!$G$5:$G$241,"Yes"))</f>
        <v>0</v>
      </c>
      <c r="G87">
        <f>IF(G55="","",COUNTIFS(Summary!$E$5:$E$241,G55,Summary!$D$5:$D$241,"&gt;="&amp;$A87,Summary!$D$5:$D$241,"&lt;"&amp;$A87+7,Summary!$G$5:$G$241,"Yes"))</f>
        <v>0</v>
      </c>
      <c r="H87">
        <f>IF(H55="","",COUNTIFS(Summary!$E$5:$E$241,H55,Summary!$D$5:$D$241,"&gt;="&amp;$A87,Summary!$D$5:$D$241,"&lt;"&amp;$A87+7,Summary!$G$5:$G$241,"Yes"))</f>
        <v>0</v>
      </c>
      <c r="I87">
        <f>IF(I55="","",COUNTIFS(Summary!$E$5:$E$241,I55,Summary!$D$5:$D$241,"&gt;="&amp;$A87,Summary!$D$5:$D$241,"&lt;"&amp;$A87+7,Summary!$G$5:$G$241,"Yes"))</f>
        <v>0</v>
      </c>
      <c r="J87">
        <f>IF(J55="","",COUNTIFS(Summary!$E$5:$E$241,J55,Summary!$D$5:$D$241,"&gt;="&amp;$A87,Summary!$D$5:$D$241,"&lt;"&amp;$A87+7,Summary!$G$5:$G$241,"Yes"))</f>
        <v>0</v>
      </c>
      <c r="K87">
        <f>IF(K55="","",COUNTIFS(Summary!$E$5:$E$241,K55,Summary!$D$5:$D$241,"&gt;="&amp;$A87,Summary!$D$5:$D$241,"&lt;"&amp;$A87+7,Summary!$G$5:$G$241,"Yes"))</f>
        <v>0</v>
      </c>
      <c r="L87">
        <f>IF(L55="","",COUNTIFS(Summary!$E$5:$E$241,L55,Summary!$D$5:$D$241,"&gt;="&amp;$A87,Summary!$D$5:$D$241,"&lt;"&amp;$A87+7,Summary!$G$5:$G$241,"Yes"))</f>
        <v>0</v>
      </c>
      <c r="M87">
        <f>IF(M55="","",COUNTIFS(Summary!$E$5:$E$241,M55,Summary!$D$5:$D$241,"&gt;="&amp;$A87,Summary!$D$5:$D$241,"&lt;"&amp;$A87+7,Summary!$G$5:$G$241,"Yes"))</f>
        <v>0</v>
      </c>
      <c r="N87">
        <f>IF(N55="","",COUNTIFS(Summary!$E$5:$E$241,N55,Summary!$D$5:$D$241,"&gt;="&amp;$A87,Summary!$D$5:$D$241,"&lt;"&amp;$A87+7,Summary!$G$5:$G$241,"Yes"))</f>
        <v>0</v>
      </c>
      <c r="O87">
        <f>IF(O55="","",COUNTIFS(Summary!$E$5:$E$241,O55,Summary!$D$5:$D$241,"&gt;="&amp;$A87,Summary!$D$5:$D$241,"&lt;"&amp;$A87+7,Summary!$G$5:$G$241,"Yes"))</f>
        <v>0</v>
      </c>
      <c r="P87">
        <f>IF(P55="","",COUNTIFS(Summary!$E$5:$E$241,P55,Summary!$D$5:$D$241,"&gt;="&amp;$A87,Summary!$D$5:$D$241,"&lt;"&amp;$A87+7,Summary!$G$5:$G$241,"Yes"))</f>
        <v>0</v>
      </c>
      <c r="Q87">
        <f>IF(Q55="","",COUNTIFS(Summary!$E$5:$E$241,Q55,Summary!$D$5:$D$241,"&gt;="&amp;$A87,Summary!$D$5:$D$241,"&lt;"&amp;$A87+7,Summary!$G$5:$G$241,"Yes"))</f>
        <v>0</v>
      </c>
      <c r="R87">
        <f>IF(R55="","",COUNTIFS(Summary!$E$5:$E$241,R55,Summary!$D$5:$D$241,"&gt;="&amp;$A87,Summary!$D$5:$D$241,"&lt;"&amp;$A87+7,Summary!$G$5:$G$241,"Yes"))</f>
        <v>0</v>
      </c>
      <c r="S87">
        <f>IF(S55="","",COUNTIFS(Summary!$E$5:$E$241,S55,Summary!$D$5:$D$241,"&gt;="&amp;$A87,Summary!$D$5:$D$241,"&lt;"&amp;$A87+7,Summary!$G$5:$G$241,"Yes"))</f>
        <v>0</v>
      </c>
      <c r="T87">
        <f>IF(T55="","",COUNTIFS(Summary!$E$5:$E$241,T55,Summary!$D$5:$D$241,"&gt;="&amp;$A87,Summary!$D$5:$D$241,"&lt;"&amp;$A87+7,Summary!$G$5:$G$241,"Yes"))</f>
        <v>0</v>
      </c>
      <c r="U87">
        <f>IF(U55="","",COUNTIFS(Summary!$E$5:$E$241,U55,Summary!$D$5:$D$241,"&gt;="&amp;$A87,Summary!$D$5:$D$241,"&lt;"&amp;$A87+7,Summary!$G$5:$G$241,"Yes"))</f>
        <v>0</v>
      </c>
      <c r="V87">
        <f>IF(V55="","",COUNTIFS(Summary!$E$5:$E$241,V55,Summary!$D$5:$D$241,"&gt;="&amp;$A87,Summary!$D$5:$D$241,"&lt;"&amp;$A87+7,Summary!$G$5:$G$241,"Yes"))</f>
        <v>0</v>
      </c>
      <c r="W87">
        <f>IF(W55="","",COUNTIFS(Summary!$E$5:$E$241,W55,Summary!$D$5:$D$241,"&gt;="&amp;$A87,Summary!$D$5:$D$241,"&lt;"&amp;$A87+7,Summary!$G$5:$G$241,"Yes"))</f>
        <v>0</v>
      </c>
      <c r="X87">
        <f>IF(X55="","",COUNTIFS(Summary!$E$5:$E$241,X55,Summary!$D$5:$D$241,"&gt;="&amp;$A87,Summary!$D$5:$D$241,"&lt;"&amp;$A87+7,Summary!$G$5:$G$241,"Yes"))</f>
        <v>0</v>
      </c>
      <c r="Y87">
        <f>IF(Y55="","",COUNTIFS(Summary!$E$5:$E$241,Y55,Summary!$D$5:$D$241,"&gt;="&amp;$A87,Summary!$D$5:$D$241,"&lt;"&amp;$A87+7,Summary!$G$5:$G$241,"Yes"))</f>
        <v>0</v>
      </c>
      <c r="Z87">
        <f>IF(Z55="","",COUNTIFS(Summary!$E$5:$E$241,Z55,Summary!$D$5:$D$241,"&gt;="&amp;$A87,Summary!$D$5:$D$241,"&lt;"&amp;$A87+7,Summary!$G$5:$G$241,"Yes"))</f>
        <v>0</v>
      </c>
      <c r="AA87">
        <f>IF(AA55="","",COUNTIFS(Summary!$E$5:$E$241,AA55,Summary!$D$5:$D$241,"&gt;="&amp;$A87,Summary!$D$5:$D$241,"&lt;"&amp;$A87+7,Summary!$G$5:$G$241,"Yes"))</f>
        <v>0</v>
      </c>
      <c r="AB87">
        <f>IF(AB55="","",COUNTIFS(Summary!$E$5:$E$241,AB55,Summary!$D$5:$D$241,"&gt;="&amp;$A87,Summary!$D$5:$D$241,"&lt;"&amp;$A87+7,Summary!$G$5:$G$241,"Yes"))</f>
        <v>0</v>
      </c>
      <c r="AC87">
        <f>IF(AC55="","",COUNTIFS(Summary!$E$5:$E$241,AC55,Summary!$D$5:$D$241,"&gt;="&amp;$A87,Summary!$D$5:$D$241,"&lt;"&amp;$A87+7,Summary!$G$5:$G$241,"Yes"))</f>
        <v>0</v>
      </c>
      <c r="AD87">
        <f>IF(AD55="","",COUNTIFS(Summary!$E$5:$E$241,AD55,Summary!$D$5:$D$241,"&gt;="&amp;$A87,Summary!$D$5:$D$241,"&lt;"&amp;$A87+7,Summary!$G$5:$G$241,"Yes"))</f>
        <v>0</v>
      </c>
      <c r="AE87">
        <f>IF(AE55="","",COUNTIFS(Summary!$E$5:$E$241,AE55,Summary!$D$5:$D$241,"&gt;="&amp;$A87,Summary!$D$5:$D$241,"&lt;"&amp;$A87+7,Summary!$G$5:$G$241,"Yes"))</f>
        <v>0</v>
      </c>
      <c r="AF87">
        <f>IF(AF55="","",COUNTIFS(Summary!$E$5:$E$241,AF55,Summary!$D$5:$D$241,"&gt;="&amp;$A87,Summary!$D$5:$D$241,"&lt;"&amp;$A87+7,Summary!$G$5:$G$241,"Yes"))</f>
        <v>0</v>
      </c>
      <c r="AG87">
        <f>IF(AG55="","",COUNTIFS(Summary!$E$5:$E$241,AG55,Summary!$D$5:$D$241,"&gt;="&amp;$A87,Summary!$D$5:$D$241,"&lt;"&amp;$A87+7,Summary!$G$5:$G$241,"Yes"))</f>
        <v>0</v>
      </c>
      <c r="AH87">
        <f>IF(AH55="","",COUNTIFS(Summary!$E$5:$E$241,AH55,Summary!$D$5:$D$241,"&gt;="&amp;$A87,Summary!$D$5:$D$241,"&lt;"&amp;$A87+7,Summary!$G$5:$G$241,"Yes"))</f>
        <v>0</v>
      </c>
      <c r="AI87">
        <f>IF(AI55="","",COUNTIFS(Summary!$E$5:$E$241,AI55,Summary!$D$5:$D$241,"&gt;="&amp;$A87,Summary!$D$5:$D$241,"&lt;"&amp;$A87+7,Summary!$G$5:$G$241,"Yes"))</f>
        <v>0</v>
      </c>
      <c r="AJ87">
        <f>IF(AJ55="","",COUNTIFS(Summary!$E$5:$E$241,AJ55,Summary!$D$5:$D$241,"&gt;="&amp;$A87,Summary!$D$5:$D$241,"&lt;"&amp;$A87+7,Summary!$G$5:$G$241,"Yes"))</f>
        <v>0</v>
      </c>
      <c r="AK87">
        <f>IF(AK55="","",COUNTIFS(Summary!$E$5:$E$241,AK55,Summary!$D$5:$D$241,"&gt;="&amp;$A87,Summary!$D$5:$D$241,"&lt;"&amp;$A87+7,Summary!$G$5:$G$241,"Yes"))</f>
        <v>0</v>
      </c>
      <c r="AL87">
        <f>IF(AL55="","",COUNTIFS(Summary!$E$5:$E$241,AL55,Summary!$D$5:$D$241,"&gt;="&amp;$A87,Summary!$D$5:$D$241,"&lt;"&amp;$A87+7,Summary!$G$5:$G$241,"Yes"))</f>
        <v>0</v>
      </c>
      <c r="AM87">
        <f>IF(AM55="","",COUNTIFS(Summary!$E$5:$E$241,AM55,Summary!$D$5:$D$241,"&gt;="&amp;$A87,Summary!$D$5:$D$241,"&lt;"&amp;$A87+7,Summary!$G$5:$G$241,"Yes"))</f>
        <v>0</v>
      </c>
      <c r="AN87">
        <f>IF(AN55="","",COUNTIFS(Summary!$E$5:$E$241,AN55,Summary!$D$5:$D$241,"&gt;="&amp;$A87,Summary!$D$5:$D$241,"&lt;"&amp;$A87+7,Summary!$G$5:$G$241,"Yes"))</f>
        <v>0</v>
      </c>
      <c r="AO87">
        <f>IF(AO55="","",COUNTIFS(Summary!$E$5:$E$241,AO55,Summary!$D$5:$D$241,"&gt;="&amp;$A87,Summary!$D$5:$D$241,"&lt;"&amp;$A87+7,Summary!$G$5:$G$241,"Yes"))</f>
        <v>0</v>
      </c>
      <c r="AP87">
        <f>IF(AP55="","",COUNTIFS(Summary!$E$5:$E$241,AP55,Summary!$D$5:$D$241,"&gt;="&amp;$A87,Summary!$D$5:$D$241,"&lt;"&amp;$A87+7,Summary!$G$5:$G$241,"Yes"))</f>
        <v>0</v>
      </c>
      <c r="AQ87">
        <f>IF(AQ55="","",COUNTIFS(Summary!$E$5:$E$241,AQ55,Summary!$D$5:$D$241,"&gt;="&amp;$A87,Summary!$D$5:$D$241,"&lt;"&amp;$A87+7,Summary!$G$5:$G$241,"Yes"))</f>
        <v>0</v>
      </c>
      <c r="AR87">
        <f>IF(AR55="","",COUNTIFS(Summary!$E$5:$E$241,AR55,Summary!$D$5:$D$241,"&gt;="&amp;$A87,Summary!$D$5:$D$241,"&lt;"&amp;$A87+7,Summary!$G$5:$G$241,"Yes"))</f>
        <v>0</v>
      </c>
      <c r="AS87">
        <f>IF(AS55="","",COUNTIFS(Summary!$E$5:$E$241,AS55,Summary!$D$5:$D$241,"&gt;="&amp;$A87,Summary!$D$5:$D$241,"&lt;"&amp;$A87+7,Summary!$G$5:$G$241,"Yes"))</f>
        <v>0</v>
      </c>
      <c r="AT87">
        <f>IF(AT55="","",COUNTIFS(Summary!$E$5:$E$241,AT55,Summary!$D$5:$D$241,"&gt;="&amp;$A87,Summary!$D$5:$D$241,"&lt;"&amp;$A87+7,Summary!$G$5:$G$241,"Yes"))</f>
        <v>0</v>
      </c>
      <c r="AU87">
        <f>IF(AU55="","",COUNTIFS(Summary!$E$5:$E$241,AU55,Summary!$D$5:$D$241,"&gt;="&amp;$A87,Summary!$D$5:$D$241,"&lt;"&amp;$A87+7,Summary!$G$5:$G$241,"Yes"))</f>
        <v>0</v>
      </c>
      <c r="AV87">
        <f>IF(AV55="","",COUNTIFS(Summary!$E$5:$E$241,AV55,Summary!$D$5:$D$241,"&gt;="&amp;$A87,Summary!$D$5:$D$241,"&lt;"&amp;$A87+7,Summary!$G$5:$G$241,"Yes"))</f>
        <v>0</v>
      </c>
      <c r="AW87">
        <f>IF(AW55="","",COUNTIFS(Summary!$E$5:$E$241,AW55,Summary!$D$5:$D$241,"&gt;="&amp;$A87,Summary!$D$5:$D$241,"&lt;"&amp;$A87+7,Summary!$G$5:$G$241,"Yes"))</f>
        <v>0</v>
      </c>
      <c r="AX87">
        <f>IF(AX55="","",COUNTIFS(Summary!$E$5:$E$241,AX55,Summary!$D$5:$D$241,"&gt;="&amp;$A87,Summary!$D$5:$D$241,"&lt;"&amp;$A87+7,Summary!$G$5:$G$241,"Yes"))</f>
        <v>0</v>
      </c>
      <c r="AY87">
        <f>IF(AY55="","",COUNTIFS(Summary!$E$5:$E$241,AY55,Summary!$D$5:$D$241,"&gt;="&amp;$A87,Summary!$D$5:$D$241,"&lt;"&amp;$A87+7,Summary!$G$5:$G$241,"Yes"))</f>
        <v>0</v>
      </c>
      <c r="AZ87">
        <f>IF(AZ55="","",COUNTIFS(Summary!$E$5:$E$241,AZ55,Summary!$D$5:$D$241,"&gt;="&amp;$A87,Summary!$D$5:$D$241,"&lt;"&amp;$A87+7,Summary!$G$5:$G$241,"Yes"))</f>
        <v>0</v>
      </c>
      <c r="BA87">
        <f>IF(BA55="","",COUNTIFS(Summary!$E$5:$E$241,BA55,Summary!$D$5:$D$241,"&gt;="&amp;$A87,Summary!$D$5:$D$241,"&lt;"&amp;$A87+7,Summary!$G$5:$G$241,"Yes"))</f>
        <v>0</v>
      </c>
      <c r="BB87">
        <f>IF(BB55="","",COUNTIFS(Summary!$E$5:$E$241,BB55,Summary!$D$5:$D$241,"&gt;="&amp;$A87,Summary!$D$5:$D$241,"&lt;"&amp;$A87+7,Summary!$G$5:$G$241,"Yes"))</f>
        <v>0</v>
      </c>
      <c r="BC87">
        <f>IF(BC55="","",COUNTIFS(Summary!$E$5:$E$241,BC55,Summary!$D$5:$D$241,"&gt;="&amp;$A87,Summary!$D$5:$D$241,"&lt;"&amp;$A87+7,Summary!$G$5:$G$241,"Yes"))</f>
        <v>0</v>
      </c>
      <c r="BD87">
        <f>IF(BD55="","",COUNTIFS(Summary!$E$5:$E$241,BD55,Summary!$D$5:$D$241,"&gt;="&amp;$A87,Summary!$D$5:$D$241,"&lt;"&amp;$A87+7,Summary!$G$5:$G$241,"Yes"))</f>
        <v>0</v>
      </c>
      <c r="BE87">
        <f>IF(BE55="","",COUNTIFS(Summary!$E$5:$E$241,BE55,Summary!$D$5:$D$241,"&gt;="&amp;$A87,Summary!$D$5:$D$241,"&lt;"&amp;$A87+7,Summary!$G$5:$G$241,"Yes"))</f>
        <v>0</v>
      </c>
      <c r="BF87" s="28">
        <f>IF(BF55="","",COUNTIFS(Summary!$E$5:$E$241,BF55,Summary!$D$5:$D$241,"&gt;="&amp;$A87,Summary!$D$5:$D$241,"&lt;"&amp;$A87+7,Summary!$G$5:$G$241,"Yes"))</f>
        <v>0</v>
      </c>
    </row>
    <row r="88" spans="1:58">
      <c r="A88" s="18">
        <f t="shared" si="5"/>
        <v>46307</v>
      </c>
      <c r="B88" s="2" t="str">
        <f t="shared" si="4"/>
        <v>Oct 12</v>
      </c>
      <c r="C88">
        <f>IF(C55="","",COUNTIFS(Summary!$E$5:$E$241,C55,Summary!$D$5:$D$241,"&gt;="&amp;$A88,Summary!$D$5:$D$241,"&lt;"&amp;$A88+7,Summary!$G$5:$G$241,"Yes"))</f>
        <v>0</v>
      </c>
      <c r="D88">
        <f>IF(D55="","",COUNTIFS(Summary!$E$5:$E$241,D55,Summary!$D$5:$D$241,"&gt;="&amp;$A88,Summary!$D$5:$D$241,"&lt;"&amp;$A88+7,Summary!$G$5:$G$241,"Yes"))</f>
        <v>0</v>
      </c>
      <c r="E88">
        <f>IF(E55="","",COUNTIFS(Summary!$E$5:$E$241,E55,Summary!$D$5:$D$241,"&gt;="&amp;$A88,Summary!$D$5:$D$241,"&lt;"&amp;$A88+7,Summary!$G$5:$G$241,"Yes"))</f>
        <v>0</v>
      </c>
      <c r="F88">
        <f>IF(F55="","",COUNTIFS(Summary!$E$5:$E$241,F55,Summary!$D$5:$D$241,"&gt;="&amp;$A88,Summary!$D$5:$D$241,"&lt;"&amp;$A88+7,Summary!$G$5:$G$241,"Yes"))</f>
        <v>0</v>
      </c>
      <c r="G88">
        <f>IF(G55="","",COUNTIFS(Summary!$E$5:$E$241,G55,Summary!$D$5:$D$241,"&gt;="&amp;$A88,Summary!$D$5:$D$241,"&lt;"&amp;$A88+7,Summary!$G$5:$G$241,"Yes"))</f>
        <v>0</v>
      </c>
      <c r="H88">
        <f>IF(H55="","",COUNTIFS(Summary!$E$5:$E$241,H55,Summary!$D$5:$D$241,"&gt;="&amp;$A88,Summary!$D$5:$D$241,"&lt;"&amp;$A88+7,Summary!$G$5:$G$241,"Yes"))</f>
        <v>0</v>
      </c>
      <c r="I88">
        <f>IF(I55="","",COUNTIFS(Summary!$E$5:$E$241,I55,Summary!$D$5:$D$241,"&gt;="&amp;$A88,Summary!$D$5:$D$241,"&lt;"&amp;$A88+7,Summary!$G$5:$G$241,"Yes"))</f>
        <v>0</v>
      </c>
      <c r="J88">
        <f>IF(J55="","",COUNTIFS(Summary!$E$5:$E$241,J55,Summary!$D$5:$D$241,"&gt;="&amp;$A88,Summary!$D$5:$D$241,"&lt;"&amp;$A88+7,Summary!$G$5:$G$241,"Yes"))</f>
        <v>0</v>
      </c>
      <c r="K88">
        <f>IF(K55="","",COUNTIFS(Summary!$E$5:$E$241,K55,Summary!$D$5:$D$241,"&gt;="&amp;$A88,Summary!$D$5:$D$241,"&lt;"&amp;$A88+7,Summary!$G$5:$G$241,"Yes"))</f>
        <v>0</v>
      </c>
      <c r="L88">
        <f>IF(L55="","",COUNTIFS(Summary!$E$5:$E$241,L55,Summary!$D$5:$D$241,"&gt;="&amp;$A88,Summary!$D$5:$D$241,"&lt;"&amp;$A88+7,Summary!$G$5:$G$241,"Yes"))</f>
        <v>0</v>
      </c>
      <c r="M88">
        <f>IF(M55="","",COUNTIFS(Summary!$E$5:$E$241,M55,Summary!$D$5:$D$241,"&gt;="&amp;$A88,Summary!$D$5:$D$241,"&lt;"&amp;$A88+7,Summary!$G$5:$G$241,"Yes"))</f>
        <v>0</v>
      </c>
      <c r="N88">
        <f>IF(N55="","",COUNTIFS(Summary!$E$5:$E$241,N55,Summary!$D$5:$D$241,"&gt;="&amp;$A88,Summary!$D$5:$D$241,"&lt;"&amp;$A88+7,Summary!$G$5:$G$241,"Yes"))</f>
        <v>0</v>
      </c>
      <c r="O88">
        <f>IF(O55="","",COUNTIFS(Summary!$E$5:$E$241,O55,Summary!$D$5:$D$241,"&gt;="&amp;$A88,Summary!$D$5:$D$241,"&lt;"&amp;$A88+7,Summary!$G$5:$G$241,"Yes"))</f>
        <v>0</v>
      </c>
      <c r="P88">
        <f>IF(P55="","",COUNTIFS(Summary!$E$5:$E$241,P55,Summary!$D$5:$D$241,"&gt;="&amp;$A88,Summary!$D$5:$D$241,"&lt;"&amp;$A88+7,Summary!$G$5:$G$241,"Yes"))</f>
        <v>0</v>
      </c>
      <c r="Q88">
        <f>IF(Q55="","",COUNTIFS(Summary!$E$5:$E$241,Q55,Summary!$D$5:$D$241,"&gt;="&amp;$A88,Summary!$D$5:$D$241,"&lt;"&amp;$A88+7,Summary!$G$5:$G$241,"Yes"))</f>
        <v>0</v>
      </c>
      <c r="R88">
        <f>IF(R55="","",COUNTIFS(Summary!$E$5:$E$241,R55,Summary!$D$5:$D$241,"&gt;="&amp;$A88,Summary!$D$5:$D$241,"&lt;"&amp;$A88+7,Summary!$G$5:$G$241,"Yes"))</f>
        <v>0</v>
      </c>
      <c r="S88">
        <f>IF(S55="","",COUNTIFS(Summary!$E$5:$E$241,S55,Summary!$D$5:$D$241,"&gt;="&amp;$A88,Summary!$D$5:$D$241,"&lt;"&amp;$A88+7,Summary!$G$5:$G$241,"Yes"))</f>
        <v>0</v>
      </c>
      <c r="T88">
        <f>IF(T55="","",COUNTIFS(Summary!$E$5:$E$241,T55,Summary!$D$5:$D$241,"&gt;="&amp;$A88,Summary!$D$5:$D$241,"&lt;"&amp;$A88+7,Summary!$G$5:$G$241,"Yes"))</f>
        <v>0</v>
      </c>
      <c r="U88">
        <f>IF(U55="","",COUNTIFS(Summary!$E$5:$E$241,U55,Summary!$D$5:$D$241,"&gt;="&amp;$A88,Summary!$D$5:$D$241,"&lt;"&amp;$A88+7,Summary!$G$5:$G$241,"Yes"))</f>
        <v>0</v>
      </c>
      <c r="V88">
        <f>IF(V55="","",COUNTIFS(Summary!$E$5:$E$241,V55,Summary!$D$5:$D$241,"&gt;="&amp;$A88,Summary!$D$5:$D$241,"&lt;"&amp;$A88+7,Summary!$G$5:$G$241,"Yes"))</f>
        <v>0</v>
      </c>
      <c r="W88">
        <f>IF(W55="","",COUNTIFS(Summary!$E$5:$E$241,W55,Summary!$D$5:$D$241,"&gt;="&amp;$A88,Summary!$D$5:$D$241,"&lt;"&amp;$A88+7,Summary!$G$5:$G$241,"Yes"))</f>
        <v>0</v>
      </c>
      <c r="X88">
        <f>IF(X55="","",COUNTIFS(Summary!$E$5:$E$241,X55,Summary!$D$5:$D$241,"&gt;="&amp;$A88,Summary!$D$5:$D$241,"&lt;"&amp;$A88+7,Summary!$G$5:$G$241,"Yes"))</f>
        <v>0</v>
      </c>
      <c r="Y88">
        <f>IF(Y55="","",COUNTIFS(Summary!$E$5:$E$241,Y55,Summary!$D$5:$D$241,"&gt;="&amp;$A88,Summary!$D$5:$D$241,"&lt;"&amp;$A88+7,Summary!$G$5:$G$241,"Yes"))</f>
        <v>0</v>
      </c>
      <c r="Z88">
        <f>IF(Z55="","",COUNTIFS(Summary!$E$5:$E$241,Z55,Summary!$D$5:$D$241,"&gt;="&amp;$A88,Summary!$D$5:$D$241,"&lt;"&amp;$A88+7,Summary!$G$5:$G$241,"Yes"))</f>
        <v>0</v>
      </c>
      <c r="AA88">
        <f>IF(AA55="","",COUNTIFS(Summary!$E$5:$E$241,AA55,Summary!$D$5:$D$241,"&gt;="&amp;$A88,Summary!$D$5:$D$241,"&lt;"&amp;$A88+7,Summary!$G$5:$G$241,"Yes"))</f>
        <v>0</v>
      </c>
      <c r="AB88">
        <f>IF(AB55="","",COUNTIFS(Summary!$E$5:$E$241,AB55,Summary!$D$5:$D$241,"&gt;="&amp;$A88,Summary!$D$5:$D$241,"&lt;"&amp;$A88+7,Summary!$G$5:$G$241,"Yes"))</f>
        <v>0</v>
      </c>
      <c r="AC88">
        <f>IF(AC55="","",COUNTIFS(Summary!$E$5:$E$241,AC55,Summary!$D$5:$D$241,"&gt;="&amp;$A88,Summary!$D$5:$D$241,"&lt;"&amp;$A88+7,Summary!$G$5:$G$241,"Yes"))</f>
        <v>0</v>
      </c>
      <c r="AD88">
        <f>IF(AD55="","",COUNTIFS(Summary!$E$5:$E$241,AD55,Summary!$D$5:$D$241,"&gt;="&amp;$A88,Summary!$D$5:$D$241,"&lt;"&amp;$A88+7,Summary!$G$5:$G$241,"Yes"))</f>
        <v>0</v>
      </c>
      <c r="AE88">
        <f>IF(AE55="","",COUNTIFS(Summary!$E$5:$E$241,AE55,Summary!$D$5:$D$241,"&gt;="&amp;$A88,Summary!$D$5:$D$241,"&lt;"&amp;$A88+7,Summary!$G$5:$G$241,"Yes"))</f>
        <v>0</v>
      </c>
      <c r="AF88">
        <f>IF(AF55="","",COUNTIFS(Summary!$E$5:$E$241,AF55,Summary!$D$5:$D$241,"&gt;="&amp;$A88,Summary!$D$5:$D$241,"&lt;"&amp;$A88+7,Summary!$G$5:$G$241,"Yes"))</f>
        <v>0</v>
      </c>
      <c r="AG88">
        <f>IF(AG55="","",COUNTIFS(Summary!$E$5:$E$241,AG55,Summary!$D$5:$D$241,"&gt;="&amp;$A88,Summary!$D$5:$D$241,"&lt;"&amp;$A88+7,Summary!$G$5:$G$241,"Yes"))</f>
        <v>0</v>
      </c>
      <c r="AH88">
        <f>IF(AH55="","",COUNTIFS(Summary!$E$5:$E$241,AH55,Summary!$D$5:$D$241,"&gt;="&amp;$A88,Summary!$D$5:$D$241,"&lt;"&amp;$A88+7,Summary!$G$5:$G$241,"Yes"))</f>
        <v>0</v>
      </c>
      <c r="AI88">
        <f>IF(AI55="","",COUNTIFS(Summary!$E$5:$E$241,AI55,Summary!$D$5:$D$241,"&gt;="&amp;$A88,Summary!$D$5:$D$241,"&lt;"&amp;$A88+7,Summary!$G$5:$G$241,"Yes"))</f>
        <v>0</v>
      </c>
      <c r="AJ88">
        <f>IF(AJ55="","",COUNTIFS(Summary!$E$5:$E$241,AJ55,Summary!$D$5:$D$241,"&gt;="&amp;$A88,Summary!$D$5:$D$241,"&lt;"&amp;$A88+7,Summary!$G$5:$G$241,"Yes"))</f>
        <v>0</v>
      </c>
      <c r="AK88">
        <f>IF(AK55="","",COUNTIFS(Summary!$E$5:$E$241,AK55,Summary!$D$5:$D$241,"&gt;="&amp;$A88,Summary!$D$5:$D$241,"&lt;"&amp;$A88+7,Summary!$G$5:$G$241,"Yes"))</f>
        <v>0</v>
      </c>
      <c r="AL88">
        <f>IF(AL55="","",COUNTIFS(Summary!$E$5:$E$241,AL55,Summary!$D$5:$D$241,"&gt;="&amp;$A88,Summary!$D$5:$D$241,"&lt;"&amp;$A88+7,Summary!$G$5:$G$241,"Yes"))</f>
        <v>0</v>
      </c>
      <c r="AM88">
        <f>IF(AM55="","",COUNTIFS(Summary!$E$5:$E$241,AM55,Summary!$D$5:$D$241,"&gt;="&amp;$A88,Summary!$D$5:$D$241,"&lt;"&amp;$A88+7,Summary!$G$5:$G$241,"Yes"))</f>
        <v>0</v>
      </c>
      <c r="AN88">
        <f>IF(AN55="","",COUNTIFS(Summary!$E$5:$E$241,AN55,Summary!$D$5:$D$241,"&gt;="&amp;$A88,Summary!$D$5:$D$241,"&lt;"&amp;$A88+7,Summary!$G$5:$G$241,"Yes"))</f>
        <v>0</v>
      </c>
      <c r="AO88">
        <f>IF(AO55="","",COUNTIFS(Summary!$E$5:$E$241,AO55,Summary!$D$5:$D$241,"&gt;="&amp;$A88,Summary!$D$5:$D$241,"&lt;"&amp;$A88+7,Summary!$G$5:$G$241,"Yes"))</f>
        <v>0</v>
      </c>
      <c r="AP88">
        <f>IF(AP55="","",COUNTIFS(Summary!$E$5:$E$241,AP55,Summary!$D$5:$D$241,"&gt;="&amp;$A88,Summary!$D$5:$D$241,"&lt;"&amp;$A88+7,Summary!$G$5:$G$241,"Yes"))</f>
        <v>0</v>
      </c>
      <c r="AQ88">
        <f>IF(AQ55="","",COUNTIFS(Summary!$E$5:$E$241,AQ55,Summary!$D$5:$D$241,"&gt;="&amp;$A88,Summary!$D$5:$D$241,"&lt;"&amp;$A88+7,Summary!$G$5:$G$241,"Yes"))</f>
        <v>0</v>
      </c>
      <c r="AR88">
        <f>IF(AR55="","",COUNTIFS(Summary!$E$5:$E$241,AR55,Summary!$D$5:$D$241,"&gt;="&amp;$A88,Summary!$D$5:$D$241,"&lt;"&amp;$A88+7,Summary!$G$5:$G$241,"Yes"))</f>
        <v>0</v>
      </c>
      <c r="AS88">
        <f>IF(AS55="","",COUNTIFS(Summary!$E$5:$E$241,AS55,Summary!$D$5:$D$241,"&gt;="&amp;$A88,Summary!$D$5:$D$241,"&lt;"&amp;$A88+7,Summary!$G$5:$G$241,"Yes"))</f>
        <v>0</v>
      </c>
      <c r="AT88">
        <f>IF(AT55="","",COUNTIFS(Summary!$E$5:$E$241,AT55,Summary!$D$5:$D$241,"&gt;="&amp;$A88,Summary!$D$5:$D$241,"&lt;"&amp;$A88+7,Summary!$G$5:$G$241,"Yes"))</f>
        <v>0</v>
      </c>
      <c r="AU88">
        <f>IF(AU55="","",COUNTIFS(Summary!$E$5:$E$241,AU55,Summary!$D$5:$D$241,"&gt;="&amp;$A88,Summary!$D$5:$D$241,"&lt;"&amp;$A88+7,Summary!$G$5:$G$241,"Yes"))</f>
        <v>0</v>
      </c>
      <c r="AV88">
        <f>IF(AV55="","",COUNTIFS(Summary!$E$5:$E$241,AV55,Summary!$D$5:$D$241,"&gt;="&amp;$A88,Summary!$D$5:$D$241,"&lt;"&amp;$A88+7,Summary!$G$5:$G$241,"Yes"))</f>
        <v>0</v>
      </c>
      <c r="AW88">
        <f>IF(AW55="","",COUNTIFS(Summary!$E$5:$E$241,AW55,Summary!$D$5:$D$241,"&gt;="&amp;$A88,Summary!$D$5:$D$241,"&lt;"&amp;$A88+7,Summary!$G$5:$G$241,"Yes"))</f>
        <v>0</v>
      </c>
      <c r="AX88">
        <f>IF(AX55="","",COUNTIFS(Summary!$E$5:$E$241,AX55,Summary!$D$5:$D$241,"&gt;="&amp;$A88,Summary!$D$5:$D$241,"&lt;"&amp;$A88+7,Summary!$G$5:$G$241,"Yes"))</f>
        <v>0</v>
      </c>
      <c r="AY88">
        <f>IF(AY55="","",COUNTIFS(Summary!$E$5:$E$241,AY55,Summary!$D$5:$D$241,"&gt;="&amp;$A88,Summary!$D$5:$D$241,"&lt;"&amp;$A88+7,Summary!$G$5:$G$241,"Yes"))</f>
        <v>0</v>
      </c>
      <c r="AZ88">
        <f>IF(AZ55="","",COUNTIFS(Summary!$E$5:$E$241,AZ55,Summary!$D$5:$D$241,"&gt;="&amp;$A88,Summary!$D$5:$D$241,"&lt;"&amp;$A88+7,Summary!$G$5:$G$241,"Yes"))</f>
        <v>0</v>
      </c>
      <c r="BA88">
        <f>IF(BA55="","",COUNTIFS(Summary!$E$5:$E$241,BA55,Summary!$D$5:$D$241,"&gt;="&amp;$A88,Summary!$D$5:$D$241,"&lt;"&amp;$A88+7,Summary!$G$5:$G$241,"Yes"))</f>
        <v>0</v>
      </c>
      <c r="BB88">
        <f>IF(BB55="","",COUNTIFS(Summary!$E$5:$E$241,BB55,Summary!$D$5:$D$241,"&gt;="&amp;$A88,Summary!$D$5:$D$241,"&lt;"&amp;$A88+7,Summary!$G$5:$G$241,"Yes"))</f>
        <v>0</v>
      </c>
      <c r="BC88">
        <f>IF(BC55="","",COUNTIFS(Summary!$E$5:$E$241,BC55,Summary!$D$5:$D$241,"&gt;="&amp;$A88,Summary!$D$5:$D$241,"&lt;"&amp;$A88+7,Summary!$G$5:$G$241,"Yes"))</f>
        <v>0</v>
      </c>
      <c r="BD88">
        <f>IF(BD55="","",COUNTIFS(Summary!$E$5:$E$241,BD55,Summary!$D$5:$D$241,"&gt;="&amp;$A88,Summary!$D$5:$D$241,"&lt;"&amp;$A88+7,Summary!$G$5:$G$241,"Yes"))</f>
        <v>0</v>
      </c>
      <c r="BE88">
        <f>IF(BE55="","",COUNTIFS(Summary!$E$5:$E$241,BE55,Summary!$D$5:$D$241,"&gt;="&amp;$A88,Summary!$D$5:$D$241,"&lt;"&amp;$A88+7,Summary!$G$5:$G$241,"Yes"))</f>
        <v>0</v>
      </c>
      <c r="BF88" s="28">
        <f>IF(BF55="","",COUNTIFS(Summary!$E$5:$E$241,BF55,Summary!$D$5:$D$241,"&gt;="&amp;$A88,Summary!$D$5:$D$241,"&lt;"&amp;$A88+7,Summary!$G$5:$G$241,"Yes"))</f>
        <v>0</v>
      </c>
    </row>
    <row r="89" spans="1:58">
      <c r="A89" s="18">
        <f t="shared" si="5"/>
        <v>46314</v>
      </c>
      <c r="B89" s="2" t="str">
        <f t="shared" si="4"/>
        <v>Oct 19</v>
      </c>
      <c r="C89">
        <f>IF(C55="","",COUNTIFS(Summary!$E$5:$E$241,C55,Summary!$D$5:$D$241,"&gt;="&amp;$A89,Summary!$D$5:$D$241,"&lt;"&amp;$A89+7,Summary!$G$5:$G$241,"Yes"))</f>
        <v>0</v>
      </c>
      <c r="D89">
        <f>IF(D55="","",COUNTIFS(Summary!$E$5:$E$241,D55,Summary!$D$5:$D$241,"&gt;="&amp;$A89,Summary!$D$5:$D$241,"&lt;"&amp;$A89+7,Summary!$G$5:$G$241,"Yes"))</f>
        <v>0</v>
      </c>
      <c r="E89">
        <f>IF(E55="","",COUNTIFS(Summary!$E$5:$E$241,E55,Summary!$D$5:$D$241,"&gt;="&amp;$A89,Summary!$D$5:$D$241,"&lt;"&amp;$A89+7,Summary!$G$5:$G$241,"Yes"))</f>
        <v>0</v>
      </c>
      <c r="F89">
        <f>IF(F55="","",COUNTIFS(Summary!$E$5:$E$241,F55,Summary!$D$5:$D$241,"&gt;="&amp;$A89,Summary!$D$5:$D$241,"&lt;"&amp;$A89+7,Summary!$G$5:$G$241,"Yes"))</f>
        <v>0</v>
      </c>
      <c r="G89">
        <f>IF(G55="","",COUNTIFS(Summary!$E$5:$E$241,G55,Summary!$D$5:$D$241,"&gt;="&amp;$A89,Summary!$D$5:$D$241,"&lt;"&amp;$A89+7,Summary!$G$5:$G$241,"Yes"))</f>
        <v>0</v>
      </c>
      <c r="H89">
        <f>IF(H55="","",COUNTIFS(Summary!$E$5:$E$241,H55,Summary!$D$5:$D$241,"&gt;="&amp;$A89,Summary!$D$5:$D$241,"&lt;"&amp;$A89+7,Summary!$G$5:$G$241,"Yes"))</f>
        <v>0</v>
      </c>
      <c r="I89">
        <f>IF(I55="","",COUNTIFS(Summary!$E$5:$E$241,I55,Summary!$D$5:$D$241,"&gt;="&amp;$A89,Summary!$D$5:$D$241,"&lt;"&amp;$A89+7,Summary!$G$5:$G$241,"Yes"))</f>
        <v>0</v>
      </c>
      <c r="J89">
        <f>IF(J55="","",COUNTIFS(Summary!$E$5:$E$241,J55,Summary!$D$5:$D$241,"&gt;="&amp;$A89,Summary!$D$5:$D$241,"&lt;"&amp;$A89+7,Summary!$G$5:$G$241,"Yes"))</f>
        <v>0</v>
      </c>
      <c r="K89">
        <f>IF(K55="","",COUNTIFS(Summary!$E$5:$E$241,K55,Summary!$D$5:$D$241,"&gt;="&amp;$A89,Summary!$D$5:$D$241,"&lt;"&amp;$A89+7,Summary!$G$5:$G$241,"Yes"))</f>
        <v>0</v>
      </c>
      <c r="L89">
        <f>IF(L55="","",COUNTIFS(Summary!$E$5:$E$241,L55,Summary!$D$5:$D$241,"&gt;="&amp;$A89,Summary!$D$5:$D$241,"&lt;"&amp;$A89+7,Summary!$G$5:$G$241,"Yes"))</f>
        <v>0</v>
      </c>
      <c r="M89">
        <f>IF(M55="","",COUNTIFS(Summary!$E$5:$E$241,M55,Summary!$D$5:$D$241,"&gt;="&amp;$A89,Summary!$D$5:$D$241,"&lt;"&amp;$A89+7,Summary!$G$5:$G$241,"Yes"))</f>
        <v>0</v>
      </c>
      <c r="N89">
        <f>IF(N55="","",COUNTIFS(Summary!$E$5:$E$241,N55,Summary!$D$5:$D$241,"&gt;="&amp;$A89,Summary!$D$5:$D$241,"&lt;"&amp;$A89+7,Summary!$G$5:$G$241,"Yes"))</f>
        <v>0</v>
      </c>
      <c r="O89">
        <f>IF(O55="","",COUNTIFS(Summary!$E$5:$E$241,O55,Summary!$D$5:$D$241,"&gt;="&amp;$A89,Summary!$D$5:$D$241,"&lt;"&amp;$A89+7,Summary!$G$5:$G$241,"Yes"))</f>
        <v>0</v>
      </c>
      <c r="P89">
        <f>IF(P55="","",COUNTIFS(Summary!$E$5:$E$241,P55,Summary!$D$5:$D$241,"&gt;="&amp;$A89,Summary!$D$5:$D$241,"&lt;"&amp;$A89+7,Summary!$G$5:$G$241,"Yes"))</f>
        <v>0</v>
      </c>
      <c r="Q89">
        <f>IF(Q55="","",COUNTIFS(Summary!$E$5:$E$241,Q55,Summary!$D$5:$D$241,"&gt;="&amp;$A89,Summary!$D$5:$D$241,"&lt;"&amp;$A89+7,Summary!$G$5:$G$241,"Yes"))</f>
        <v>0</v>
      </c>
      <c r="R89">
        <f>IF(R55="","",COUNTIFS(Summary!$E$5:$E$241,R55,Summary!$D$5:$D$241,"&gt;="&amp;$A89,Summary!$D$5:$D$241,"&lt;"&amp;$A89+7,Summary!$G$5:$G$241,"Yes"))</f>
        <v>0</v>
      </c>
      <c r="S89">
        <f>IF(S55="","",COUNTIFS(Summary!$E$5:$E$241,S55,Summary!$D$5:$D$241,"&gt;="&amp;$A89,Summary!$D$5:$D$241,"&lt;"&amp;$A89+7,Summary!$G$5:$G$241,"Yes"))</f>
        <v>0</v>
      </c>
      <c r="T89">
        <f>IF(T55="","",COUNTIFS(Summary!$E$5:$E$241,T55,Summary!$D$5:$D$241,"&gt;="&amp;$A89,Summary!$D$5:$D$241,"&lt;"&amp;$A89+7,Summary!$G$5:$G$241,"Yes"))</f>
        <v>0</v>
      </c>
      <c r="U89">
        <f>IF(U55="","",COUNTIFS(Summary!$E$5:$E$241,U55,Summary!$D$5:$D$241,"&gt;="&amp;$A89,Summary!$D$5:$D$241,"&lt;"&amp;$A89+7,Summary!$G$5:$G$241,"Yes"))</f>
        <v>0</v>
      </c>
      <c r="V89">
        <f>IF(V55="","",COUNTIFS(Summary!$E$5:$E$241,V55,Summary!$D$5:$D$241,"&gt;="&amp;$A89,Summary!$D$5:$D$241,"&lt;"&amp;$A89+7,Summary!$G$5:$G$241,"Yes"))</f>
        <v>0</v>
      </c>
      <c r="W89">
        <f>IF(W55="","",COUNTIFS(Summary!$E$5:$E$241,W55,Summary!$D$5:$D$241,"&gt;="&amp;$A89,Summary!$D$5:$D$241,"&lt;"&amp;$A89+7,Summary!$G$5:$G$241,"Yes"))</f>
        <v>0</v>
      </c>
      <c r="X89">
        <f>IF(X55="","",COUNTIFS(Summary!$E$5:$E$241,X55,Summary!$D$5:$D$241,"&gt;="&amp;$A89,Summary!$D$5:$D$241,"&lt;"&amp;$A89+7,Summary!$G$5:$G$241,"Yes"))</f>
        <v>0</v>
      </c>
      <c r="Y89">
        <f>IF(Y55="","",COUNTIFS(Summary!$E$5:$E$241,Y55,Summary!$D$5:$D$241,"&gt;="&amp;$A89,Summary!$D$5:$D$241,"&lt;"&amp;$A89+7,Summary!$G$5:$G$241,"Yes"))</f>
        <v>0</v>
      </c>
      <c r="Z89">
        <f>IF(Z55="","",COUNTIFS(Summary!$E$5:$E$241,Z55,Summary!$D$5:$D$241,"&gt;="&amp;$A89,Summary!$D$5:$D$241,"&lt;"&amp;$A89+7,Summary!$G$5:$G$241,"Yes"))</f>
        <v>0</v>
      </c>
      <c r="AA89">
        <f>IF(AA55="","",COUNTIFS(Summary!$E$5:$E$241,AA55,Summary!$D$5:$D$241,"&gt;="&amp;$A89,Summary!$D$5:$D$241,"&lt;"&amp;$A89+7,Summary!$G$5:$G$241,"Yes"))</f>
        <v>0</v>
      </c>
      <c r="AB89">
        <f>IF(AB55="","",COUNTIFS(Summary!$E$5:$E$241,AB55,Summary!$D$5:$D$241,"&gt;="&amp;$A89,Summary!$D$5:$D$241,"&lt;"&amp;$A89+7,Summary!$G$5:$G$241,"Yes"))</f>
        <v>0</v>
      </c>
      <c r="AC89">
        <f>IF(AC55="","",COUNTIFS(Summary!$E$5:$E$241,AC55,Summary!$D$5:$D$241,"&gt;="&amp;$A89,Summary!$D$5:$D$241,"&lt;"&amp;$A89+7,Summary!$G$5:$G$241,"Yes"))</f>
        <v>0</v>
      </c>
      <c r="AD89">
        <f>IF(AD55="","",COUNTIFS(Summary!$E$5:$E$241,AD55,Summary!$D$5:$D$241,"&gt;="&amp;$A89,Summary!$D$5:$D$241,"&lt;"&amp;$A89+7,Summary!$G$5:$G$241,"Yes"))</f>
        <v>0</v>
      </c>
      <c r="AE89">
        <f>IF(AE55="","",COUNTIFS(Summary!$E$5:$E$241,AE55,Summary!$D$5:$D$241,"&gt;="&amp;$A89,Summary!$D$5:$D$241,"&lt;"&amp;$A89+7,Summary!$G$5:$G$241,"Yes"))</f>
        <v>0</v>
      </c>
      <c r="AF89">
        <f>IF(AF55="","",COUNTIFS(Summary!$E$5:$E$241,AF55,Summary!$D$5:$D$241,"&gt;="&amp;$A89,Summary!$D$5:$D$241,"&lt;"&amp;$A89+7,Summary!$G$5:$G$241,"Yes"))</f>
        <v>0</v>
      </c>
      <c r="AG89">
        <f>IF(AG55="","",COUNTIFS(Summary!$E$5:$E$241,AG55,Summary!$D$5:$D$241,"&gt;="&amp;$A89,Summary!$D$5:$D$241,"&lt;"&amp;$A89+7,Summary!$G$5:$G$241,"Yes"))</f>
        <v>0</v>
      </c>
      <c r="AH89">
        <f>IF(AH55="","",COUNTIFS(Summary!$E$5:$E$241,AH55,Summary!$D$5:$D$241,"&gt;="&amp;$A89,Summary!$D$5:$D$241,"&lt;"&amp;$A89+7,Summary!$G$5:$G$241,"Yes"))</f>
        <v>0</v>
      </c>
      <c r="AI89">
        <f>IF(AI55="","",COUNTIFS(Summary!$E$5:$E$241,AI55,Summary!$D$5:$D$241,"&gt;="&amp;$A89,Summary!$D$5:$D$241,"&lt;"&amp;$A89+7,Summary!$G$5:$G$241,"Yes"))</f>
        <v>0</v>
      </c>
      <c r="AJ89">
        <f>IF(AJ55="","",COUNTIFS(Summary!$E$5:$E$241,AJ55,Summary!$D$5:$D$241,"&gt;="&amp;$A89,Summary!$D$5:$D$241,"&lt;"&amp;$A89+7,Summary!$G$5:$G$241,"Yes"))</f>
        <v>0</v>
      </c>
      <c r="AK89">
        <f>IF(AK55="","",COUNTIFS(Summary!$E$5:$E$241,AK55,Summary!$D$5:$D$241,"&gt;="&amp;$A89,Summary!$D$5:$D$241,"&lt;"&amp;$A89+7,Summary!$G$5:$G$241,"Yes"))</f>
        <v>0</v>
      </c>
      <c r="AL89">
        <f>IF(AL55="","",COUNTIFS(Summary!$E$5:$E$241,AL55,Summary!$D$5:$D$241,"&gt;="&amp;$A89,Summary!$D$5:$D$241,"&lt;"&amp;$A89+7,Summary!$G$5:$G$241,"Yes"))</f>
        <v>0</v>
      </c>
      <c r="AM89">
        <f>IF(AM55="","",COUNTIFS(Summary!$E$5:$E$241,AM55,Summary!$D$5:$D$241,"&gt;="&amp;$A89,Summary!$D$5:$D$241,"&lt;"&amp;$A89+7,Summary!$G$5:$G$241,"Yes"))</f>
        <v>0</v>
      </c>
      <c r="AN89">
        <f>IF(AN55="","",COUNTIFS(Summary!$E$5:$E$241,AN55,Summary!$D$5:$D$241,"&gt;="&amp;$A89,Summary!$D$5:$D$241,"&lt;"&amp;$A89+7,Summary!$G$5:$G$241,"Yes"))</f>
        <v>0</v>
      </c>
      <c r="AO89">
        <f>IF(AO55="","",COUNTIFS(Summary!$E$5:$E$241,AO55,Summary!$D$5:$D$241,"&gt;="&amp;$A89,Summary!$D$5:$D$241,"&lt;"&amp;$A89+7,Summary!$G$5:$G$241,"Yes"))</f>
        <v>0</v>
      </c>
      <c r="AP89">
        <f>IF(AP55="","",COUNTIFS(Summary!$E$5:$E$241,AP55,Summary!$D$5:$D$241,"&gt;="&amp;$A89,Summary!$D$5:$D$241,"&lt;"&amp;$A89+7,Summary!$G$5:$G$241,"Yes"))</f>
        <v>0</v>
      </c>
      <c r="AQ89">
        <f>IF(AQ55="","",COUNTIFS(Summary!$E$5:$E$241,AQ55,Summary!$D$5:$D$241,"&gt;="&amp;$A89,Summary!$D$5:$D$241,"&lt;"&amp;$A89+7,Summary!$G$5:$G$241,"Yes"))</f>
        <v>0</v>
      </c>
      <c r="AR89">
        <f>IF(AR55="","",COUNTIFS(Summary!$E$5:$E$241,AR55,Summary!$D$5:$D$241,"&gt;="&amp;$A89,Summary!$D$5:$D$241,"&lt;"&amp;$A89+7,Summary!$G$5:$G$241,"Yes"))</f>
        <v>0</v>
      </c>
      <c r="AS89">
        <f>IF(AS55="","",COUNTIFS(Summary!$E$5:$E$241,AS55,Summary!$D$5:$D$241,"&gt;="&amp;$A89,Summary!$D$5:$D$241,"&lt;"&amp;$A89+7,Summary!$G$5:$G$241,"Yes"))</f>
        <v>0</v>
      </c>
      <c r="AT89">
        <f>IF(AT55="","",COUNTIFS(Summary!$E$5:$E$241,AT55,Summary!$D$5:$D$241,"&gt;="&amp;$A89,Summary!$D$5:$D$241,"&lt;"&amp;$A89+7,Summary!$G$5:$G$241,"Yes"))</f>
        <v>0</v>
      </c>
      <c r="AU89">
        <f>IF(AU55="","",COUNTIFS(Summary!$E$5:$E$241,AU55,Summary!$D$5:$D$241,"&gt;="&amp;$A89,Summary!$D$5:$D$241,"&lt;"&amp;$A89+7,Summary!$G$5:$G$241,"Yes"))</f>
        <v>0</v>
      </c>
      <c r="AV89">
        <f>IF(AV55="","",COUNTIFS(Summary!$E$5:$E$241,AV55,Summary!$D$5:$D$241,"&gt;="&amp;$A89,Summary!$D$5:$D$241,"&lt;"&amp;$A89+7,Summary!$G$5:$G$241,"Yes"))</f>
        <v>0</v>
      </c>
      <c r="AW89">
        <f>IF(AW55="","",COUNTIFS(Summary!$E$5:$E$241,AW55,Summary!$D$5:$D$241,"&gt;="&amp;$A89,Summary!$D$5:$D$241,"&lt;"&amp;$A89+7,Summary!$G$5:$G$241,"Yes"))</f>
        <v>0</v>
      </c>
      <c r="AX89">
        <f>IF(AX55="","",COUNTIFS(Summary!$E$5:$E$241,AX55,Summary!$D$5:$D$241,"&gt;="&amp;$A89,Summary!$D$5:$D$241,"&lt;"&amp;$A89+7,Summary!$G$5:$G$241,"Yes"))</f>
        <v>0</v>
      </c>
      <c r="AY89">
        <f>IF(AY55="","",COUNTIFS(Summary!$E$5:$E$241,AY55,Summary!$D$5:$D$241,"&gt;="&amp;$A89,Summary!$D$5:$D$241,"&lt;"&amp;$A89+7,Summary!$G$5:$G$241,"Yes"))</f>
        <v>0</v>
      </c>
      <c r="AZ89">
        <f>IF(AZ55="","",COUNTIFS(Summary!$E$5:$E$241,AZ55,Summary!$D$5:$D$241,"&gt;="&amp;$A89,Summary!$D$5:$D$241,"&lt;"&amp;$A89+7,Summary!$G$5:$G$241,"Yes"))</f>
        <v>0</v>
      </c>
      <c r="BA89">
        <f>IF(BA55="","",COUNTIFS(Summary!$E$5:$E$241,BA55,Summary!$D$5:$D$241,"&gt;="&amp;$A89,Summary!$D$5:$D$241,"&lt;"&amp;$A89+7,Summary!$G$5:$G$241,"Yes"))</f>
        <v>0</v>
      </c>
      <c r="BB89">
        <f>IF(BB55="","",COUNTIFS(Summary!$E$5:$E$241,BB55,Summary!$D$5:$D$241,"&gt;="&amp;$A89,Summary!$D$5:$D$241,"&lt;"&amp;$A89+7,Summary!$G$5:$G$241,"Yes"))</f>
        <v>0</v>
      </c>
      <c r="BC89">
        <f>IF(BC55="","",COUNTIFS(Summary!$E$5:$E$241,BC55,Summary!$D$5:$D$241,"&gt;="&amp;$A89,Summary!$D$5:$D$241,"&lt;"&amp;$A89+7,Summary!$G$5:$G$241,"Yes"))</f>
        <v>0</v>
      </c>
      <c r="BD89">
        <f>IF(BD55="","",COUNTIFS(Summary!$E$5:$E$241,BD55,Summary!$D$5:$D$241,"&gt;="&amp;$A89,Summary!$D$5:$D$241,"&lt;"&amp;$A89+7,Summary!$G$5:$G$241,"Yes"))</f>
        <v>0</v>
      </c>
      <c r="BE89">
        <f>IF(BE55="","",COUNTIFS(Summary!$E$5:$E$241,BE55,Summary!$D$5:$D$241,"&gt;="&amp;$A89,Summary!$D$5:$D$241,"&lt;"&amp;$A89+7,Summary!$G$5:$G$241,"Yes"))</f>
        <v>0</v>
      </c>
      <c r="BF89" s="28">
        <f>IF(BF55="","",COUNTIFS(Summary!$E$5:$E$241,BF55,Summary!$D$5:$D$241,"&gt;="&amp;$A89,Summary!$D$5:$D$241,"&lt;"&amp;$A89+7,Summary!$G$5:$G$241,"Yes"))</f>
        <v>0</v>
      </c>
    </row>
    <row r="90" spans="1:58">
      <c r="A90" s="18">
        <f t="shared" si="5"/>
        <v>46321</v>
      </c>
      <c r="B90" s="2" t="str">
        <f t="shared" si="4"/>
        <v>Oct 26</v>
      </c>
      <c r="C90">
        <f>IF(C55="","",COUNTIFS(Summary!$E$5:$E$241,C55,Summary!$D$5:$D$241,"&gt;="&amp;$A90,Summary!$D$5:$D$241,"&lt;"&amp;$A90+7,Summary!$G$5:$G$241,"Yes"))</f>
        <v>0</v>
      </c>
      <c r="D90">
        <f>IF(D55="","",COUNTIFS(Summary!$E$5:$E$241,D55,Summary!$D$5:$D$241,"&gt;="&amp;$A90,Summary!$D$5:$D$241,"&lt;"&amp;$A90+7,Summary!$G$5:$G$241,"Yes"))</f>
        <v>0</v>
      </c>
      <c r="E90">
        <f>IF(E55="","",COUNTIFS(Summary!$E$5:$E$241,E55,Summary!$D$5:$D$241,"&gt;="&amp;$A90,Summary!$D$5:$D$241,"&lt;"&amp;$A90+7,Summary!$G$5:$G$241,"Yes"))</f>
        <v>0</v>
      </c>
      <c r="F90">
        <f>IF(F55="","",COUNTIFS(Summary!$E$5:$E$241,F55,Summary!$D$5:$D$241,"&gt;="&amp;$A90,Summary!$D$5:$D$241,"&lt;"&amp;$A90+7,Summary!$G$5:$G$241,"Yes"))</f>
        <v>0</v>
      </c>
      <c r="G90">
        <f>IF(G55="","",COUNTIFS(Summary!$E$5:$E$241,G55,Summary!$D$5:$D$241,"&gt;="&amp;$A90,Summary!$D$5:$D$241,"&lt;"&amp;$A90+7,Summary!$G$5:$G$241,"Yes"))</f>
        <v>0</v>
      </c>
      <c r="H90">
        <f>IF(H55="","",COUNTIFS(Summary!$E$5:$E$241,H55,Summary!$D$5:$D$241,"&gt;="&amp;$A90,Summary!$D$5:$D$241,"&lt;"&amp;$A90+7,Summary!$G$5:$G$241,"Yes"))</f>
        <v>0</v>
      </c>
      <c r="I90">
        <f>IF(I55="","",COUNTIFS(Summary!$E$5:$E$241,I55,Summary!$D$5:$D$241,"&gt;="&amp;$A90,Summary!$D$5:$D$241,"&lt;"&amp;$A90+7,Summary!$G$5:$G$241,"Yes"))</f>
        <v>0</v>
      </c>
      <c r="J90">
        <f>IF(J55="","",COUNTIFS(Summary!$E$5:$E$241,J55,Summary!$D$5:$D$241,"&gt;="&amp;$A90,Summary!$D$5:$D$241,"&lt;"&amp;$A90+7,Summary!$G$5:$G$241,"Yes"))</f>
        <v>0</v>
      </c>
      <c r="K90">
        <f>IF(K55="","",COUNTIFS(Summary!$E$5:$E$241,K55,Summary!$D$5:$D$241,"&gt;="&amp;$A90,Summary!$D$5:$D$241,"&lt;"&amp;$A90+7,Summary!$G$5:$G$241,"Yes"))</f>
        <v>0</v>
      </c>
      <c r="L90">
        <f>IF(L55="","",COUNTIFS(Summary!$E$5:$E$241,L55,Summary!$D$5:$D$241,"&gt;="&amp;$A90,Summary!$D$5:$D$241,"&lt;"&amp;$A90+7,Summary!$G$5:$G$241,"Yes"))</f>
        <v>0</v>
      </c>
      <c r="M90">
        <f>IF(M55="","",COUNTIFS(Summary!$E$5:$E$241,M55,Summary!$D$5:$D$241,"&gt;="&amp;$A90,Summary!$D$5:$D$241,"&lt;"&amp;$A90+7,Summary!$G$5:$G$241,"Yes"))</f>
        <v>0</v>
      </c>
      <c r="N90">
        <f>IF(N55="","",COUNTIFS(Summary!$E$5:$E$241,N55,Summary!$D$5:$D$241,"&gt;="&amp;$A90,Summary!$D$5:$D$241,"&lt;"&amp;$A90+7,Summary!$G$5:$G$241,"Yes"))</f>
        <v>0</v>
      </c>
      <c r="O90">
        <f>IF(O55="","",COUNTIFS(Summary!$E$5:$E$241,O55,Summary!$D$5:$D$241,"&gt;="&amp;$A90,Summary!$D$5:$D$241,"&lt;"&amp;$A90+7,Summary!$G$5:$G$241,"Yes"))</f>
        <v>0</v>
      </c>
      <c r="P90">
        <f>IF(P55="","",COUNTIFS(Summary!$E$5:$E$241,P55,Summary!$D$5:$D$241,"&gt;="&amp;$A90,Summary!$D$5:$D$241,"&lt;"&amp;$A90+7,Summary!$G$5:$G$241,"Yes"))</f>
        <v>0</v>
      </c>
      <c r="Q90">
        <f>IF(Q55="","",COUNTIFS(Summary!$E$5:$E$241,Q55,Summary!$D$5:$D$241,"&gt;="&amp;$A90,Summary!$D$5:$D$241,"&lt;"&amp;$A90+7,Summary!$G$5:$G$241,"Yes"))</f>
        <v>0</v>
      </c>
      <c r="R90">
        <f>IF(R55="","",COUNTIFS(Summary!$E$5:$E$241,R55,Summary!$D$5:$D$241,"&gt;="&amp;$A90,Summary!$D$5:$D$241,"&lt;"&amp;$A90+7,Summary!$G$5:$G$241,"Yes"))</f>
        <v>0</v>
      </c>
      <c r="S90">
        <f>IF(S55="","",COUNTIFS(Summary!$E$5:$E$241,S55,Summary!$D$5:$D$241,"&gt;="&amp;$A90,Summary!$D$5:$D$241,"&lt;"&amp;$A90+7,Summary!$G$5:$G$241,"Yes"))</f>
        <v>0</v>
      </c>
      <c r="T90">
        <f>IF(T55="","",COUNTIFS(Summary!$E$5:$E$241,T55,Summary!$D$5:$D$241,"&gt;="&amp;$A90,Summary!$D$5:$D$241,"&lt;"&amp;$A90+7,Summary!$G$5:$G$241,"Yes"))</f>
        <v>0</v>
      </c>
      <c r="U90">
        <f>IF(U55="","",COUNTIFS(Summary!$E$5:$E$241,U55,Summary!$D$5:$D$241,"&gt;="&amp;$A90,Summary!$D$5:$D$241,"&lt;"&amp;$A90+7,Summary!$G$5:$G$241,"Yes"))</f>
        <v>0</v>
      </c>
      <c r="V90">
        <f>IF(V55="","",COUNTIFS(Summary!$E$5:$E$241,V55,Summary!$D$5:$D$241,"&gt;="&amp;$A90,Summary!$D$5:$D$241,"&lt;"&amp;$A90+7,Summary!$G$5:$G$241,"Yes"))</f>
        <v>0</v>
      </c>
      <c r="W90">
        <f>IF(W55="","",COUNTIFS(Summary!$E$5:$E$241,W55,Summary!$D$5:$D$241,"&gt;="&amp;$A90,Summary!$D$5:$D$241,"&lt;"&amp;$A90+7,Summary!$G$5:$G$241,"Yes"))</f>
        <v>0</v>
      </c>
      <c r="X90">
        <f>IF(X55="","",COUNTIFS(Summary!$E$5:$E$241,X55,Summary!$D$5:$D$241,"&gt;="&amp;$A90,Summary!$D$5:$D$241,"&lt;"&amp;$A90+7,Summary!$G$5:$G$241,"Yes"))</f>
        <v>0</v>
      </c>
      <c r="Y90">
        <f>IF(Y55="","",COUNTIFS(Summary!$E$5:$E$241,Y55,Summary!$D$5:$D$241,"&gt;="&amp;$A90,Summary!$D$5:$D$241,"&lt;"&amp;$A90+7,Summary!$G$5:$G$241,"Yes"))</f>
        <v>0</v>
      </c>
      <c r="Z90">
        <f>IF(Z55="","",COUNTIFS(Summary!$E$5:$E$241,Z55,Summary!$D$5:$D$241,"&gt;="&amp;$A90,Summary!$D$5:$D$241,"&lt;"&amp;$A90+7,Summary!$G$5:$G$241,"Yes"))</f>
        <v>0</v>
      </c>
      <c r="AA90">
        <f>IF(AA55="","",COUNTIFS(Summary!$E$5:$E$241,AA55,Summary!$D$5:$D$241,"&gt;="&amp;$A90,Summary!$D$5:$D$241,"&lt;"&amp;$A90+7,Summary!$G$5:$G$241,"Yes"))</f>
        <v>0</v>
      </c>
      <c r="AB90">
        <f>IF(AB55="","",COUNTIFS(Summary!$E$5:$E$241,AB55,Summary!$D$5:$D$241,"&gt;="&amp;$A90,Summary!$D$5:$D$241,"&lt;"&amp;$A90+7,Summary!$G$5:$G$241,"Yes"))</f>
        <v>0</v>
      </c>
      <c r="AC90">
        <f>IF(AC55="","",COUNTIFS(Summary!$E$5:$E$241,AC55,Summary!$D$5:$D$241,"&gt;="&amp;$A90,Summary!$D$5:$D$241,"&lt;"&amp;$A90+7,Summary!$G$5:$G$241,"Yes"))</f>
        <v>0</v>
      </c>
      <c r="AD90">
        <f>IF(AD55="","",COUNTIFS(Summary!$E$5:$E$241,AD55,Summary!$D$5:$D$241,"&gt;="&amp;$A90,Summary!$D$5:$D$241,"&lt;"&amp;$A90+7,Summary!$G$5:$G$241,"Yes"))</f>
        <v>0</v>
      </c>
      <c r="AE90">
        <f>IF(AE55="","",COUNTIFS(Summary!$E$5:$E$241,AE55,Summary!$D$5:$D$241,"&gt;="&amp;$A90,Summary!$D$5:$D$241,"&lt;"&amp;$A90+7,Summary!$G$5:$G$241,"Yes"))</f>
        <v>0</v>
      </c>
      <c r="AF90">
        <f>IF(AF55="","",COUNTIFS(Summary!$E$5:$E$241,AF55,Summary!$D$5:$D$241,"&gt;="&amp;$A90,Summary!$D$5:$D$241,"&lt;"&amp;$A90+7,Summary!$G$5:$G$241,"Yes"))</f>
        <v>0</v>
      </c>
      <c r="AG90">
        <f>IF(AG55="","",COUNTIFS(Summary!$E$5:$E$241,AG55,Summary!$D$5:$D$241,"&gt;="&amp;$A90,Summary!$D$5:$D$241,"&lt;"&amp;$A90+7,Summary!$G$5:$G$241,"Yes"))</f>
        <v>0</v>
      </c>
      <c r="AH90">
        <f>IF(AH55="","",COUNTIFS(Summary!$E$5:$E$241,AH55,Summary!$D$5:$D$241,"&gt;="&amp;$A90,Summary!$D$5:$D$241,"&lt;"&amp;$A90+7,Summary!$G$5:$G$241,"Yes"))</f>
        <v>0</v>
      </c>
      <c r="AI90">
        <f>IF(AI55="","",COUNTIFS(Summary!$E$5:$E$241,AI55,Summary!$D$5:$D$241,"&gt;="&amp;$A90,Summary!$D$5:$D$241,"&lt;"&amp;$A90+7,Summary!$G$5:$G$241,"Yes"))</f>
        <v>0</v>
      </c>
      <c r="AJ90">
        <f>IF(AJ55="","",COUNTIFS(Summary!$E$5:$E$241,AJ55,Summary!$D$5:$D$241,"&gt;="&amp;$A90,Summary!$D$5:$D$241,"&lt;"&amp;$A90+7,Summary!$G$5:$G$241,"Yes"))</f>
        <v>0</v>
      </c>
      <c r="AK90">
        <f>IF(AK55="","",COUNTIFS(Summary!$E$5:$E$241,AK55,Summary!$D$5:$D$241,"&gt;="&amp;$A90,Summary!$D$5:$D$241,"&lt;"&amp;$A90+7,Summary!$G$5:$G$241,"Yes"))</f>
        <v>0</v>
      </c>
      <c r="AL90">
        <f>IF(AL55="","",COUNTIFS(Summary!$E$5:$E$241,AL55,Summary!$D$5:$D$241,"&gt;="&amp;$A90,Summary!$D$5:$D$241,"&lt;"&amp;$A90+7,Summary!$G$5:$G$241,"Yes"))</f>
        <v>0</v>
      </c>
      <c r="AM90">
        <f>IF(AM55="","",COUNTIFS(Summary!$E$5:$E$241,AM55,Summary!$D$5:$D$241,"&gt;="&amp;$A90,Summary!$D$5:$D$241,"&lt;"&amp;$A90+7,Summary!$G$5:$G$241,"Yes"))</f>
        <v>0</v>
      </c>
      <c r="AN90">
        <f>IF(AN55="","",COUNTIFS(Summary!$E$5:$E$241,AN55,Summary!$D$5:$D$241,"&gt;="&amp;$A90,Summary!$D$5:$D$241,"&lt;"&amp;$A90+7,Summary!$G$5:$G$241,"Yes"))</f>
        <v>0</v>
      </c>
      <c r="AO90">
        <f>IF(AO55="","",COUNTIFS(Summary!$E$5:$E$241,AO55,Summary!$D$5:$D$241,"&gt;="&amp;$A90,Summary!$D$5:$D$241,"&lt;"&amp;$A90+7,Summary!$G$5:$G$241,"Yes"))</f>
        <v>0</v>
      </c>
      <c r="AP90">
        <f>IF(AP55="","",COUNTIFS(Summary!$E$5:$E$241,AP55,Summary!$D$5:$D$241,"&gt;="&amp;$A90,Summary!$D$5:$D$241,"&lt;"&amp;$A90+7,Summary!$G$5:$G$241,"Yes"))</f>
        <v>0</v>
      </c>
      <c r="AQ90">
        <f>IF(AQ55="","",COUNTIFS(Summary!$E$5:$E$241,AQ55,Summary!$D$5:$D$241,"&gt;="&amp;$A90,Summary!$D$5:$D$241,"&lt;"&amp;$A90+7,Summary!$G$5:$G$241,"Yes"))</f>
        <v>0</v>
      </c>
      <c r="AR90">
        <f>IF(AR55="","",COUNTIFS(Summary!$E$5:$E$241,AR55,Summary!$D$5:$D$241,"&gt;="&amp;$A90,Summary!$D$5:$D$241,"&lt;"&amp;$A90+7,Summary!$G$5:$G$241,"Yes"))</f>
        <v>0</v>
      </c>
      <c r="AS90">
        <f>IF(AS55="","",COUNTIFS(Summary!$E$5:$E$241,AS55,Summary!$D$5:$D$241,"&gt;="&amp;$A90,Summary!$D$5:$D$241,"&lt;"&amp;$A90+7,Summary!$G$5:$G$241,"Yes"))</f>
        <v>0</v>
      </c>
      <c r="AT90">
        <f>IF(AT55="","",COUNTIFS(Summary!$E$5:$E$241,AT55,Summary!$D$5:$D$241,"&gt;="&amp;$A90,Summary!$D$5:$D$241,"&lt;"&amp;$A90+7,Summary!$G$5:$G$241,"Yes"))</f>
        <v>0</v>
      </c>
      <c r="AU90">
        <f>IF(AU55="","",COUNTIFS(Summary!$E$5:$E$241,AU55,Summary!$D$5:$D$241,"&gt;="&amp;$A90,Summary!$D$5:$D$241,"&lt;"&amp;$A90+7,Summary!$G$5:$G$241,"Yes"))</f>
        <v>0</v>
      </c>
      <c r="AV90">
        <f>IF(AV55="","",COUNTIFS(Summary!$E$5:$E$241,AV55,Summary!$D$5:$D$241,"&gt;="&amp;$A90,Summary!$D$5:$D$241,"&lt;"&amp;$A90+7,Summary!$G$5:$G$241,"Yes"))</f>
        <v>0</v>
      </c>
      <c r="AW90">
        <f>IF(AW55="","",COUNTIFS(Summary!$E$5:$E$241,AW55,Summary!$D$5:$D$241,"&gt;="&amp;$A90,Summary!$D$5:$D$241,"&lt;"&amp;$A90+7,Summary!$G$5:$G$241,"Yes"))</f>
        <v>0</v>
      </c>
      <c r="AX90">
        <f>IF(AX55="","",COUNTIFS(Summary!$E$5:$E$241,AX55,Summary!$D$5:$D$241,"&gt;="&amp;$A90,Summary!$D$5:$D$241,"&lt;"&amp;$A90+7,Summary!$G$5:$G$241,"Yes"))</f>
        <v>0</v>
      </c>
      <c r="AY90">
        <f>IF(AY55="","",COUNTIFS(Summary!$E$5:$E$241,AY55,Summary!$D$5:$D$241,"&gt;="&amp;$A90,Summary!$D$5:$D$241,"&lt;"&amp;$A90+7,Summary!$G$5:$G$241,"Yes"))</f>
        <v>0</v>
      </c>
      <c r="AZ90">
        <f>IF(AZ55="","",COUNTIFS(Summary!$E$5:$E$241,AZ55,Summary!$D$5:$D$241,"&gt;="&amp;$A90,Summary!$D$5:$D$241,"&lt;"&amp;$A90+7,Summary!$G$5:$G$241,"Yes"))</f>
        <v>0</v>
      </c>
      <c r="BA90">
        <f>IF(BA55="","",COUNTIFS(Summary!$E$5:$E$241,BA55,Summary!$D$5:$D$241,"&gt;="&amp;$A90,Summary!$D$5:$D$241,"&lt;"&amp;$A90+7,Summary!$G$5:$G$241,"Yes"))</f>
        <v>0</v>
      </c>
      <c r="BB90">
        <f>IF(BB55="","",COUNTIFS(Summary!$E$5:$E$241,BB55,Summary!$D$5:$D$241,"&gt;="&amp;$A90,Summary!$D$5:$D$241,"&lt;"&amp;$A90+7,Summary!$G$5:$G$241,"Yes"))</f>
        <v>0</v>
      </c>
      <c r="BC90">
        <f>IF(BC55="","",COUNTIFS(Summary!$E$5:$E$241,BC55,Summary!$D$5:$D$241,"&gt;="&amp;$A90,Summary!$D$5:$D$241,"&lt;"&amp;$A90+7,Summary!$G$5:$G$241,"Yes"))</f>
        <v>0</v>
      </c>
      <c r="BD90">
        <f>IF(BD55="","",COUNTIFS(Summary!$E$5:$E$241,BD55,Summary!$D$5:$D$241,"&gt;="&amp;$A90,Summary!$D$5:$D$241,"&lt;"&amp;$A90+7,Summary!$G$5:$G$241,"Yes"))</f>
        <v>0</v>
      </c>
      <c r="BE90">
        <f>IF(BE55="","",COUNTIFS(Summary!$E$5:$E$241,BE55,Summary!$D$5:$D$241,"&gt;="&amp;$A90,Summary!$D$5:$D$241,"&lt;"&amp;$A90+7,Summary!$G$5:$G$241,"Yes"))</f>
        <v>0</v>
      </c>
      <c r="BF90" s="28">
        <f>IF(BF55="","",COUNTIFS(Summary!$E$5:$E$241,BF55,Summary!$D$5:$D$241,"&gt;="&amp;$A90,Summary!$D$5:$D$241,"&lt;"&amp;$A90+7,Summary!$G$5:$G$241,"Yes"))</f>
        <v>0</v>
      </c>
    </row>
    <row r="91" spans="1:58">
      <c r="A91" s="18">
        <f t="shared" si="5"/>
        <v>46328</v>
      </c>
      <c r="B91" s="2" t="str">
        <f t="shared" si="4"/>
        <v>Nov 2</v>
      </c>
      <c r="C91">
        <f>IF(C55="","",COUNTIFS(Summary!$E$5:$E$241,C55,Summary!$D$5:$D$241,"&gt;="&amp;$A91,Summary!$D$5:$D$241,"&lt;"&amp;$A91+7,Summary!$G$5:$G$241,"Yes"))</f>
        <v>0</v>
      </c>
      <c r="D91">
        <f>IF(D55="","",COUNTIFS(Summary!$E$5:$E$241,D55,Summary!$D$5:$D$241,"&gt;="&amp;$A91,Summary!$D$5:$D$241,"&lt;"&amp;$A91+7,Summary!$G$5:$G$241,"Yes"))</f>
        <v>0</v>
      </c>
      <c r="E91">
        <f>IF(E55="","",COUNTIFS(Summary!$E$5:$E$241,E55,Summary!$D$5:$D$241,"&gt;="&amp;$A91,Summary!$D$5:$D$241,"&lt;"&amp;$A91+7,Summary!$G$5:$G$241,"Yes"))</f>
        <v>0</v>
      </c>
      <c r="F91">
        <f>IF(F55="","",COUNTIFS(Summary!$E$5:$E$241,F55,Summary!$D$5:$D$241,"&gt;="&amp;$A91,Summary!$D$5:$D$241,"&lt;"&amp;$A91+7,Summary!$G$5:$G$241,"Yes"))</f>
        <v>0</v>
      </c>
      <c r="G91">
        <f>IF(G55="","",COUNTIFS(Summary!$E$5:$E$241,G55,Summary!$D$5:$D$241,"&gt;="&amp;$A91,Summary!$D$5:$D$241,"&lt;"&amp;$A91+7,Summary!$G$5:$G$241,"Yes"))</f>
        <v>0</v>
      </c>
      <c r="H91">
        <f>IF(H55="","",COUNTIFS(Summary!$E$5:$E$241,H55,Summary!$D$5:$D$241,"&gt;="&amp;$A91,Summary!$D$5:$D$241,"&lt;"&amp;$A91+7,Summary!$G$5:$G$241,"Yes"))</f>
        <v>0</v>
      </c>
      <c r="I91">
        <f>IF(I55="","",COUNTIFS(Summary!$E$5:$E$241,I55,Summary!$D$5:$D$241,"&gt;="&amp;$A91,Summary!$D$5:$D$241,"&lt;"&amp;$A91+7,Summary!$G$5:$G$241,"Yes"))</f>
        <v>0</v>
      </c>
      <c r="J91">
        <f>IF(J55="","",COUNTIFS(Summary!$E$5:$E$241,J55,Summary!$D$5:$D$241,"&gt;="&amp;$A91,Summary!$D$5:$D$241,"&lt;"&amp;$A91+7,Summary!$G$5:$G$241,"Yes"))</f>
        <v>0</v>
      </c>
      <c r="K91">
        <f>IF(K55="","",COUNTIFS(Summary!$E$5:$E$241,K55,Summary!$D$5:$D$241,"&gt;="&amp;$A91,Summary!$D$5:$D$241,"&lt;"&amp;$A91+7,Summary!$G$5:$G$241,"Yes"))</f>
        <v>0</v>
      </c>
      <c r="L91">
        <f>IF(L55="","",COUNTIFS(Summary!$E$5:$E$241,L55,Summary!$D$5:$D$241,"&gt;="&amp;$A91,Summary!$D$5:$D$241,"&lt;"&amp;$A91+7,Summary!$G$5:$G$241,"Yes"))</f>
        <v>0</v>
      </c>
      <c r="M91">
        <f>IF(M55="","",COUNTIFS(Summary!$E$5:$E$241,M55,Summary!$D$5:$D$241,"&gt;="&amp;$A91,Summary!$D$5:$D$241,"&lt;"&amp;$A91+7,Summary!$G$5:$G$241,"Yes"))</f>
        <v>0</v>
      </c>
      <c r="N91">
        <f>IF(N55="","",COUNTIFS(Summary!$E$5:$E$241,N55,Summary!$D$5:$D$241,"&gt;="&amp;$A91,Summary!$D$5:$D$241,"&lt;"&amp;$A91+7,Summary!$G$5:$G$241,"Yes"))</f>
        <v>0</v>
      </c>
      <c r="O91">
        <f>IF(O55="","",COUNTIFS(Summary!$E$5:$E$241,O55,Summary!$D$5:$D$241,"&gt;="&amp;$A91,Summary!$D$5:$D$241,"&lt;"&amp;$A91+7,Summary!$G$5:$G$241,"Yes"))</f>
        <v>0</v>
      </c>
      <c r="P91">
        <f>IF(P55="","",COUNTIFS(Summary!$E$5:$E$241,P55,Summary!$D$5:$D$241,"&gt;="&amp;$A91,Summary!$D$5:$D$241,"&lt;"&amp;$A91+7,Summary!$G$5:$G$241,"Yes"))</f>
        <v>0</v>
      </c>
      <c r="Q91">
        <f>IF(Q55="","",COUNTIFS(Summary!$E$5:$E$241,Q55,Summary!$D$5:$D$241,"&gt;="&amp;$A91,Summary!$D$5:$D$241,"&lt;"&amp;$A91+7,Summary!$G$5:$G$241,"Yes"))</f>
        <v>0</v>
      </c>
      <c r="R91">
        <f>IF(R55="","",COUNTIFS(Summary!$E$5:$E$241,R55,Summary!$D$5:$D$241,"&gt;="&amp;$A91,Summary!$D$5:$D$241,"&lt;"&amp;$A91+7,Summary!$G$5:$G$241,"Yes"))</f>
        <v>0</v>
      </c>
      <c r="S91">
        <f>IF(S55="","",COUNTIFS(Summary!$E$5:$E$241,S55,Summary!$D$5:$D$241,"&gt;="&amp;$A91,Summary!$D$5:$D$241,"&lt;"&amp;$A91+7,Summary!$G$5:$G$241,"Yes"))</f>
        <v>0</v>
      </c>
      <c r="T91">
        <f>IF(T55="","",COUNTIFS(Summary!$E$5:$E$241,T55,Summary!$D$5:$D$241,"&gt;="&amp;$A91,Summary!$D$5:$D$241,"&lt;"&amp;$A91+7,Summary!$G$5:$G$241,"Yes"))</f>
        <v>0</v>
      </c>
      <c r="U91">
        <f>IF(U55="","",COUNTIFS(Summary!$E$5:$E$241,U55,Summary!$D$5:$D$241,"&gt;="&amp;$A91,Summary!$D$5:$D$241,"&lt;"&amp;$A91+7,Summary!$G$5:$G$241,"Yes"))</f>
        <v>0</v>
      </c>
      <c r="V91">
        <f>IF(V55="","",COUNTIFS(Summary!$E$5:$E$241,V55,Summary!$D$5:$D$241,"&gt;="&amp;$A91,Summary!$D$5:$D$241,"&lt;"&amp;$A91+7,Summary!$G$5:$G$241,"Yes"))</f>
        <v>0</v>
      </c>
      <c r="W91">
        <f>IF(W55="","",COUNTIFS(Summary!$E$5:$E$241,W55,Summary!$D$5:$D$241,"&gt;="&amp;$A91,Summary!$D$5:$D$241,"&lt;"&amp;$A91+7,Summary!$G$5:$G$241,"Yes"))</f>
        <v>0</v>
      </c>
      <c r="X91">
        <f>IF(X55="","",COUNTIFS(Summary!$E$5:$E$241,X55,Summary!$D$5:$D$241,"&gt;="&amp;$A91,Summary!$D$5:$D$241,"&lt;"&amp;$A91+7,Summary!$G$5:$G$241,"Yes"))</f>
        <v>0</v>
      </c>
      <c r="Y91">
        <f>IF(Y55="","",COUNTIFS(Summary!$E$5:$E$241,Y55,Summary!$D$5:$D$241,"&gt;="&amp;$A91,Summary!$D$5:$D$241,"&lt;"&amp;$A91+7,Summary!$G$5:$G$241,"Yes"))</f>
        <v>0</v>
      </c>
      <c r="Z91">
        <f>IF(Z55="","",COUNTIFS(Summary!$E$5:$E$241,Z55,Summary!$D$5:$D$241,"&gt;="&amp;$A91,Summary!$D$5:$D$241,"&lt;"&amp;$A91+7,Summary!$G$5:$G$241,"Yes"))</f>
        <v>0</v>
      </c>
      <c r="AA91">
        <f>IF(AA55="","",COUNTIFS(Summary!$E$5:$E$241,AA55,Summary!$D$5:$D$241,"&gt;="&amp;$A91,Summary!$D$5:$D$241,"&lt;"&amp;$A91+7,Summary!$G$5:$G$241,"Yes"))</f>
        <v>0</v>
      </c>
      <c r="AB91">
        <f>IF(AB55="","",COUNTIFS(Summary!$E$5:$E$241,AB55,Summary!$D$5:$D$241,"&gt;="&amp;$A91,Summary!$D$5:$D$241,"&lt;"&amp;$A91+7,Summary!$G$5:$G$241,"Yes"))</f>
        <v>0</v>
      </c>
      <c r="AC91">
        <f>IF(AC55="","",COUNTIFS(Summary!$E$5:$E$241,AC55,Summary!$D$5:$D$241,"&gt;="&amp;$A91,Summary!$D$5:$D$241,"&lt;"&amp;$A91+7,Summary!$G$5:$G$241,"Yes"))</f>
        <v>0</v>
      </c>
      <c r="AD91">
        <f>IF(AD55="","",COUNTIFS(Summary!$E$5:$E$241,AD55,Summary!$D$5:$D$241,"&gt;="&amp;$A91,Summary!$D$5:$D$241,"&lt;"&amp;$A91+7,Summary!$G$5:$G$241,"Yes"))</f>
        <v>0</v>
      </c>
      <c r="AE91">
        <f>IF(AE55="","",COUNTIFS(Summary!$E$5:$E$241,AE55,Summary!$D$5:$D$241,"&gt;="&amp;$A91,Summary!$D$5:$D$241,"&lt;"&amp;$A91+7,Summary!$G$5:$G$241,"Yes"))</f>
        <v>0</v>
      </c>
      <c r="AF91">
        <f>IF(AF55="","",COUNTIFS(Summary!$E$5:$E$241,AF55,Summary!$D$5:$D$241,"&gt;="&amp;$A91,Summary!$D$5:$D$241,"&lt;"&amp;$A91+7,Summary!$G$5:$G$241,"Yes"))</f>
        <v>0</v>
      </c>
      <c r="AG91">
        <f>IF(AG55="","",COUNTIFS(Summary!$E$5:$E$241,AG55,Summary!$D$5:$D$241,"&gt;="&amp;$A91,Summary!$D$5:$D$241,"&lt;"&amp;$A91+7,Summary!$G$5:$G$241,"Yes"))</f>
        <v>0</v>
      </c>
      <c r="AH91">
        <f>IF(AH55="","",COUNTIFS(Summary!$E$5:$E$241,AH55,Summary!$D$5:$D$241,"&gt;="&amp;$A91,Summary!$D$5:$D$241,"&lt;"&amp;$A91+7,Summary!$G$5:$G$241,"Yes"))</f>
        <v>0</v>
      </c>
      <c r="AI91">
        <f>IF(AI55="","",COUNTIFS(Summary!$E$5:$E$241,AI55,Summary!$D$5:$D$241,"&gt;="&amp;$A91,Summary!$D$5:$D$241,"&lt;"&amp;$A91+7,Summary!$G$5:$G$241,"Yes"))</f>
        <v>0</v>
      </c>
      <c r="AJ91">
        <f>IF(AJ55="","",COUNTIFS(Summary!$E$5:$E$241,AJ55,Summary!$D$5:$D$241,"&gt;="&amp;$A91,Summary!$D$5:$D$241,"&lt;"&amp;$A91+7,Summary!$G$5:$G$241,"Yes"))</f>
        <v>0</v>
      </c>
      <c r="AK91">
        <f>IF(AK55="","",COUNTIFS(Summary!$E$5:$E$241,AK55,Summary!$D$5:$D$241,"&gt;="&amp;$A91,Summary!$D$5:$D$241,"&lt;"&amp;$A91+7,Summary!$G$5:$G$241,"Yes"))</f>
        <v>0</v>
      </c>
      <c r="AL91">
        <f>IF(AL55="","",COUNTIFS(Summary!$E$5:$E$241,AL55,Summary!$D$5:$D$241,"&gt;="&amp;$A91,Summary!$D$5:$D$241,"&lt;"&amp;$A91+7,Summary!$G$5:$G$241,"Yes"))</f>
        <v>0</v>
      </c>
      <c r="AM91">
        <f>IF(AM55="","",COUNTIFS(Summary!$E$5:$E$241,AM55,Summary!$D$5:$D$241,"&gt;="&amp;$A91,Summary!$D$5:$D$241,"&lt;"&amp;$A91+7,Summary!$G$5:$G$241,"Yes"))</f>
        <v>0</v>
      </c>
      <c r="AN91">
        <f>IF(AN55="","",COUNTIFS(Summary!$E$5:$E$241,AN55,Summary!$D$5:$D$241,"&gt;="&amp;$A91,Summary!$D$5:$D$241,"&lt;"&amp;$A91+7,Summary!$G$5:$G$241,"Yes"))</f>
        <v>0</v>
      </c>
      <c r="AO91">
        <f>IF(AO55="","",COUNTIFS(Summary!$E$5:$E$241,AO55,Summary!$D$5:$D$241,"&gt;="&amp;$A91,Summary!$D$5:$D$241,"&lt;"&amp;$A91+7,Summary!$G$5:$G$241,"Yes"))</f>
        <v>0</v>
      </c>
      <c r="AP91">
        <f>IF(AP55="","",COUNTIFS(Summary!$E$5:$E$241,AP55,Summary!$D$5:$D$241,"&gt;="&amp;$A91,Summary!$D$5:$D$241,"&lt;"&amp;$A91+7,Summary!$G$5:$G$241,"Yes"))</f>
        <v>0</v>
      </c>
      <c r="AQ91">
        <f>IF(AQ55="","",COUNTIFS(Summary!$E$5:$E$241,AQ55,Summary!$D$5:$D$241,"&gt;="&amp;$A91,Summary!$D$5:$D$241,"&lt;"&amp;$A91+7,Summary!$G$5:$G$241,"Yes"))</f>
        <v>0</v>
      </c>
      <c r="AR91">
        <f>IF(AR55="","",COUNTIFS(Summary!$E$5:$E$241,AR55,Summary!$D$5:$D$241,"&gt;="&amp;$A91,Summary!$D$5:$D$241,"&lt;"&amp;$A91+7,Summary!$G$5:$G$241,"Yes"))</f>
        <v>0</v>
      </c>
      <c r="AS91">
        <f>IF(AS55="","",COUNTIFS(Summary!$E$5:$E$241,AS55,Summary!$D$5:$D$241,"&gt;="&amp;$A91,Summary!$D$5:$D$241,"&lt;"&amp;$A91+7,Summary!$G$5:$G$241,"Yes"))</f>
        <v>0</v>
      </c>
      <c r="AT91">
        <f>IF(AT55="","",COUNTIFS(Summary!$E$5:$E$241,AT55,Summary!$D$5:$D$241,"&gt;="&amp;$A91,Summary!$D$5:$D$241,"&lt;"&amp;$A91+7,Summary!$G$5:$G$241,"Yes"))</f>
        <v>0</v>
      </c>
      <c r="AU91">
        <f>IF(AU55="","",COUNTIFS(Summary!$E$5:$E$241,AU55,Summary!$D$5:$D$241,"&gt;="&amp;$A91,Summary!$D$5:$D$241,"&lt;"&amp;$A91+7,Summary!$G$5:$G$241,"Yes"))</f>
        <v>0</v>
      </c>
      <c r="AV91">
        <f>IF(AV55="","",COUNTIFS(Summary!$E$5:$E$241,AV55,Summary!$D$5:$D$241,"&gt;="&amp;$A91,Summary!$D$5:$D$241,"&lt;"&amp;$A91+7,Summary!$G$5:$G$241,"Yes"))</f>
        <v>0</v>
      </c>
      <c r="AW91">
        <f>IF(AW55="","",COUNTIFS(Summary!$E$5:$E$241,AW55,Summary!$D$5:$D$241,"&gt;="&amp;$A91,Summary!$D$5:$D$241,"&lt;"&amp;$A91+7,Summary!$G$5:$G$241,"Yes"))</f>
        <v>0</v>
      </c>
      <c r="AX91">
        <f>IF(AX55="","",COUNTIFS(Summary!$E$5:$E$241,AX55,Summary!$D$5:$D$241,"&gt;="&amp;$A91,Summary!$D$5:$D$241,"&lt;"&amp;$A91+7,Summary!$G$5:$G$241,"Yes"))</f>
        <v>0</v>
      </c>
      <c r="AY91">
        <f>IF(AY55="","",COUNTIFS(Summary!$E$5:$E$241,AY55,Summary!$D$5:$D$241,"&gt;="&amp;$A91,Summary!$D$5:$D$241,"&lt;"&amp;$A91+7,Summary!$G$5:$G$241,"Yes"))</f>
        <v>0</v>
      </c>
      <c r="AZ91">
        <f>IF(AZ55="","",COUNTIFS(Summary!$E$5:$E$241,AZ55,Summary!$D$5:$D$241,"&gt;="&amp;$A91,Summary!$D$5:$D$241,"&lt;"&amp;$A91+7,Summary!$G$5:$G$241,"Yes"))</f>
        <v>0</v>
      </c>
      <c r="BA91">
        <f>IF(BA55="","",COUNTIFS(Summary!$E$5:$E$241,BA55,Summary!$D$5:$D$241,"&gt;="&amp;$A91,Summary!$D$5:$D$241,"&lt;"&amp;$A91+7,Summary!$G$5:$G$241,"Yes"))</f>
        <v>0</v>
      </c>
      <c r="BB91">
        <f>IF(BB55="","",COUNTIFS(Summary!$E$5:$E$241,BB55,Summary!$D$5:$D$241,"&gt;="&amp;$A91,Summary!$D$5:$D$241,"&lt;"&amp;$A91+7,Summary!$G$5:$G$241,"Yes"))</f>
        <v>0</v>
      </c>
      <c r="BC91">
        <f>IF(BC55="","",COUNTIFS(Summary!$E$5:$E$241,BC55,Summary!$D$5:$D$241,"&gt;="&amp;$A91,Summary!$D$5:$D$241,"&lt;"&amp;$A91+7,Summary!$G$5:$G$241,"Yes"))</f>
        <v>0</v>
      </c>
      <c r="BD91">
        <f>IF(BD55="","",COUNTIFS(Summary!$E$5:$E$241,BD55,Summary!$D$5:$D$241,"&gt;="&amp;$A91,Summary!$D$5:$D$241,"&lt;"&amp;$A91+7,Summary!$G$5:$G$241,"Yes"))</f>
        <v>0</v>
      </c>
      <c r="BE91">
        <f>IF(BE55="","",COUNTIFS(Summary!$E$5:$E$241,BE55,Summary!$D$5:$D$241,"&gt;="&amp;$A91,Summary!$D$5:$D$241,"&lt;"&amp;$A91+7,Summary!$G$5:$G$241,"Yes"))</f>
        <v>0</v>
      </c>
      <c r="BF91" s="28">
        <f>IF(BF55="","",COUNTIFS(Summary!$E$5:$E$241,BF55,Summary!$D$5:$D$241,"&gt;="&amp;$A91,Summary!$D$5:$D$241,"&lt;"&amp;$A91+7,Summary!$G$5:$G$241,"Yes"))</f>
        <v>0</v>
      </c>
    </row>
    <row r="92" spans="1:58">
      <c r="A92" s="18">
        <f t="shared" si="5"/>
        <v>46335</v>
      </c>
      <c r="B92" s="2" t="str">
        <f t="shared" si="4"/>
        <v>Nov 9</v>
      </c>
      <c r="C92">
        <f>IF(C55="","",COUNTIFS(Summary!$E$5:$E$241,C55,Summary!$D$5:$D$241,"&gt;="&amp;$A92,Summary!$D$5:$D$241,"&lt;"&amp;$A92+7,Summary!$G$5:$G$241,"Yes"))</f>
        <v>0</v>
      </c>
      <c r="D92">
        <f>IF(D55="","",COUNTIFS(Summary!$E$5:$E$241,D55,Summary!$D$5:$D$241,"&gt;="&amp;$A92,Summary!$D$5:$D$241,"&lt;"&amp;$A92+7,Summary!$G$5:$G$241,"Yes"))</f>
        <v>0</v>
      </c>
      <c r="E92">
        <f>IF(E55="","",COUNTIFS(Summary!$E$5:$E$241,E55,Summary!$D$5:$D$241,"&gt;="&amp;$A92,Summary!$D$5:$D$241,"&lt;"&amp;$A92+7,Summary!$G$5:$G$241,"Yes"))</f>
        <v>0</v>
      </c>
      <c r="F92">
        <f>IF(F55="","",COUNTIFS(Summary!$E$5:$E$241,F55,Summary!$D$5:$D$241,"&gt;="&amp;$A92,Summary!$D$5:$D$241,"&lt;"&amp;$A92+7,Summary!$G$5:$G$241,"Yes"))</f>
        <v>0</v>
      </c>
      <c r="G92">
        <f>IF(G55="","",COUNTIFS(Summary!$E$5:$E$241,G55,Summary!$D$5:$D$241,"&gt;="&amp;$A92,Summary!$D$5:$D$241,"&lt;"&amp;$A92+7,Summary!$G$5:$G$241,"Yes"))</f>
        <v>0</v>
      </c>
      <c r="H92">
        <f>IF(H55="","",COUNTIFS(Summary!$E$5:$E$241,H55,Summary!$D$5:$D$241,"&gt;="&amp;$A92,Summary!$D$5:$D$241,"&lt;"&amp;$A92+7,Summary!$G$5:$G$241,"Yes"))</f>
        <v>0</v>
      </c>
      <c r="I92">
        <f>IF(I55="","",COUNTIFS(Summary!$E$5:$E$241,I55,Summary!$D$5:$D$241,"&gt;="&amp;$A92,Summary!$D$5:$D$241,"&lt;"&amp;$A92+7,Summary!$G$5:$G$241,"Yes"))</f>
        <v>0</v>
      </c>
      <c r="J92">
        <f>IF(J55="","",COUNTIFS(Summary!$E$5:$E$241,J55,Summary!$D$5:$D$241,"&gt;="&amp;$A92,Summary!$D$5:$D$241,"&lt;"&amp;$A92+7,Summary!$G$5:$G$241,"Yes"))</f>
        <v>0</v>
      </c>
      <c r="K92">
        <f>IF(K55="","",COUNTIFS(Summary!$E$5:$E$241,K55,Summary!$D$5:$D$241,"&gt;="&amp;$A92,Summary!$D$5:$D$241,"&lt;"&amp;$A92+7,Summary!$G$5:$G$241,"Yes"))</f>
        <v>0</v>
      </c>
      <c r="L92">
        <f>IF(L55="","",COUNTIFS(Summary!$E$5:$E$241,L55,Summary!$D$5:$D$241,"&gt;="&amp;$A92,Summary!$D$5:$D$241,"&lt;"&amp;$A92+7,Summary!$G$5:$G$241,"Yes"))</f>
        <v>0</v>
      </c>
      <c r="M92">
        <f>IF(M55="","",COUNTIFS(Summary!$E$5:$E$241,M55,Summary!$D$5:$D$241,"&gt;="&amp;$A92,Summary!$D$5:$D$241,"&lt;"&amp;$A92+7,Summary!$G$5:$G$241,"Yes"))</f>
        <v>0</v>
      </c>
      <c r="N92">
        <f>IF(N55="","",COUNTIFS(Summary!$E$5:$E$241,N55,Summary!$D$5:$D$241,"&gt;="&amp;$A92,Summary!$D$5:$D$241,"&lt;"&amp;$A92+7,Summary!$G$5:$G$241,"Yes"))</f>
        <v>0</v>
      </c>
      <c r="O92">
        <f>IF(O55="","",COUNTIFS(Summary!$E$5:$E$241,O55,Summary!$D$5:$D$241,"&gt;="&amp;$A92,Summary!$D$5:$D$241,"&lt;"&amp;$A92+7,Summary!$G$5:$G$241,"Yes"))</f>
        <v>0</v>
      </c>
      <c r="P92">
        <f>IF(P55="","",COUNTIFS(Summary!$E$5:$E$241,P55,Summary!$D$5:$D$241,"&gt;="&amp;$A92,Summary!$D$5:$D$241,"&lt;"&amp;$A92+7,Summary!$G$5:$G$241,"Yes"))</f>
        <v>0</v>
      </c>
      <c r="Q92">
        <f>IF(Q55="","",COUNTIFS(Summary!$E$5:$E$241,Q55,Summary!$D$5:$D$241,"&gt;="&amp;$A92,Summary!$D$5:$D$241,"&lt;"&amp;$A92+7,Summary!$G$5:$G$241,"Yes"))</f>
        <v>0</v>
      </c>
      <c r="R92">
        <f>IF(R55="","",COUNTIFS(Summary!$E$5:$E$241,R55,Summary!$D$5:$D$241,"&gt;="&amp;$A92,Summary!$D$5:$D$241,"&lt;"&amp;$A92+7,Summary!$G$5:$G$241,"Yes"))</f>
        <v>0</v>
      </c>
      <c r="S92">
        <f>IF(S55="","",COUNTIFS(Summary!$E$5:$E$241,S55,Summary!$D$5:$D$241,"&gt;="&amp;$A92,Summary!$D$5:$D$241,"&lt;"&amp;$A92+7,Summary!$G$5:$G$241,"Yes"))</f>
        <v>0</v>
      </c>
      <c r="T92">
        <f>IF(T55="","",COUNTIFS(Summary!$E$5:$E$241,T55,Summary!$D$5:$D$241,"&gt;="&amp;$A92,Summary!$D$5:$D$241,"&lt;"&amp;$A92+7,Summary!$G$5:$G$241,"Yes"))</f>
        <v>0</v>
      </c>
      <c r="U92">
        <f>IF(U55="","",COUNTIFS(Summary!$E$5:$E$241,U55,Summary!$D$5:$D$241,"&gt;="&amp;$A92,Summary!$D$5:$D$241,"&lt;"&amp;$A92+7,Summary!$G$5:$G$241,"Yes"))</f>
        <v>0</v>
      </c>
      <c r="V92">
        <f>IF(V55="","",COUNTIFS(Summary!$E$5:$E$241,V55,Summary!$D$5:$D$241,"&gt;="&amp;$A92,Summary!$D$5:$D$241,"&lt;"&amp;$A92+7,Summary!$G$5:$G$241,"Yes"))</f>
        <v>0</v>
      </c>
      <c r="W92">
        <f>IF(W55="","",COUNTIFS(Summary!$E$5:$E$241,W55,Summary!$D$5:$D$241,"&gt;="&amp;$A92,Summary!$D$5:$D$241,"&lt;"&amp;$A92+7,Summary!$G$5:$G$241,"Yes"))</f>
        <v>0</v>
      </c>
      <c r="X92">
        <f>IF(X55="","",COUNTIFS(Summary!$E$5:$E$241,X55,Summary!$D$5:$D$241,"&gt;="&amp;$A92,Summary!$D$5:$D$241,"&lt;"&amp;$A92+7,Summary!$G$5:$G$241,"Yes"))</f>
        <v>0</v>
      </c>
      <c r="Y92">
        <f>IF(Y55="","",COUNTIFS(Summary!$E$5:$E$241,Y55,Summary!$D$5:$D$241,"&gt;="&amp;$A92,Summary!$D$5:$D$241,"&lt;"&amp;$A92+7,Summary!$G$5:$G$241,"Yes"))</f>
        <v>0</v>
      </c>
      <c r="Z92">
        <f>IF(Z55="","",COUNTIFS(Summary!$E$5:$E$241,Z55,Summary!$D$5:$D$241,"&gt;="&amp;$A92,Summary!$D$5:$D$241,"&lt;"&amp;$A92+7,Summary!$G$5:$G$241,"Yes"))</f>
        <v>0</v>
      </c>
      <c r="AA92">
        <f>IF(AA55="","",COUNTIFS(Summary!$E$5:$E$241,AA55,Summary!$D$5:$D$241,"&gt;="&amp;$A92,Summary!$D$5:$D$241,"&lt;"&amp;$A92+7,Summary!$G$5:$G$241,"Yes"))</f>
        <v>0</v>
      </c>
      <c r="AB92">
        <f>IF(AB55="","",COUNTIFS(Summary!$E$5:$E$241,AB55,Summary!$D$5:$D$241,"&gt;="&amp;$A92,Summary!$D$5:$D$241,"&lt;"&amp;$A92+7,Summary!$G$5:$G$241,"Yes"))</f>
        <v>0</v>
      </c>
      <c r="AC92">
        <f>IF(AC55="","",COUNTIFS(Summary!$E$5:$E$241,AC55,Summary!$D$5:$D$241,"&gt;="&amp;$A92,Summary!$D$5:$D$241,"&lt;"&amp;$A92+7,Summary!$G$5:$G$241,"Yes"))</f>
        <v>0</v>
      </c>
      <c r="AD92">
        <f>IF(AD55="","",COUNTIFS(Summary!$E$5:$E$241,AD55,Summary!$D$5:$D$241,"&gt;="&amp;$A92,Summary!$D$5:$D$241,"&lt;"&amp;$A92+7,Summary!$G$5:$G$241,"Yes"))</f>
        <v>0</v>
      </c>
      <c r="AE92">
        <f>IF(AE55="","",COUNTIFS(Summary!$E$5:$E$241,AE55,Summary!$D$5:$D$241,"&gt;="&amp;$A92,Summary!$D$5:$D$241,"&lt;"&amp;$A92+7,Summary!$G$5:$G$241,"Yes"))</f>
        <v>0</v>
      </c>
      <c r="AF92">
        <f>IF(AF55="","",COUNTIFS(Summary!$E$5:$E$241,AF55,Summary!$D$5:$D$241,"&gt;="&amp;$A92,Summary!$D$5:$D$241,"&lt;"&amp;$A92+7,Summary!$G$5:$G$241,"Yes"))</f>
        <v>0</v>
      </c>
      <c r="AG92">
        <f>IF(AG55="","",COUNTIFS(Summary!$E$5:$E$241,AG55,Summary!$D$5:$D$241,"&gt;="&amp;$A92,Summary!$D$5:$D$241,"&lt;"&amp;$A92+7,Summary!$G$5:$G$241,"Yes"))</f>
        <v>0</v>
      </c>
      <c r="AH92">
        <f>IF(AH55="","",COUNTIFS(Summary!$E$5:$E$241,AH55,Summary!$D$5:$D$241,"&gt;="&amp;$A92,Summary!$D$5:$D$241,"&lt;"&amp;$A92+7,Summary!$G$5:$G$241,"Yes"))</f>
        <v>0</v>
      </c>
      <c r="AI92">
        <f>IF(AI55="","",COUNTIFS(Summary!$E$5:$E$241,AI55,Summary!$D$5:$D$241,"&gt;="&amp;$A92,Summary!$D$5:$D$241,"&lt;"&amp;$A92+7,Summary!$G$5:$G$241,"Yes"))</f>
        <v>0</v>
      </c>
      <c r="AJ92">
        <f>IF(AJ55="","",COUNTIFS(Summary!$E$5:$E$241,AJ55,Summary!$D$5:$D$241,"&gt;="&amp;$A92,Summary!$D$5:$D$241,"&lt;"&amp;$A92+7,Summary!$G$5:$G$241,"Yes"))</f>
        <v>0</v>
      </c>
      <c r="AK92">
        <f>IF(AK55="","",COUNTIFS(Summary!$E$5:$E$241,AK55,Summary!$D$5:$D$241,"&gt;="&amp;$A92,Summary!$D$5:$D$241,"&lt;"&amp;$A92+7,Summary!$G$5:$G$241,"Yes"))</f>
        <v>0</v>
      </c>
      <c r="AL92">
        <f>IF(AL55="","",COUNTIFS(Summary!$E$5:$E$241,AL55,Summary!$D$5:$D$241,"&gt;="&amp;$A92,Summary!$D$5:$D$241,"&lt;"&amp;$A92+7,Summary!$G$5:$G$241,"Yes"))</f>
        <v>0</v>
      </c>
      <c r="AM92">
        <f>IF(AM55="","",COUNTIFS(Summary!$E$5:$E$241,AM55,Summary!$D$5:$D$241,"&gt;="&amp;$A92,Summary!$D$5:$D$241,"&lt;"&amp;$A92+7,Summary!$G$5:$G$241,"Yes"))</f>
        <v>0</v>
      </c>
      <c r="AN92">
        <f>IF(AN55="","",COUNTIFS(Summary!$E$5:$E$241,AN55,Summary!$D$5:$D$241,"&gt;="&amp;$A92,Summary!$D$5:$D$241,"&lt;"&amp;$A92+7,Summary!$G$5:$G$241,"Yes"))</f>
        <v>0</v>
      </c>
      <c r="AO92">
        <f>IF(AO55="","",COUNTIFS(Summary!$E$5:$E$241,AO55,Summary!$D$5:$D$241,"&gt;="&amp;$A92,Summary!$D$5:$D$241,"&lt;"&amp;$A92+7,Summary!$G$5:$G$241,"Yes"))</f>
        <v>0</v>
      </c>
      <c r="AP92">
        <f>IF(AP55="","",COUNTIFS(Summary!$E$5:$E$241,AP55,Summary!$D$5:$D$241,"&gt;="&amp;$A92,Summary!$D$5:$D$241,"&lt;"&amp;$A92+7,Summary!$G$5:$G$241,"Yes"))</f>
        <v>0</v>
      </c>
      <c r="AQ92">
        <f>IF(AQ55="","",COUNTIFS(Summary!$E$5:$E$241,AQ55,Summary!$D$5:$D$241,"&gt;="&amp;$A92,Summary!$D$5:$D$241,"&lt;"&amp;$A92+7,Summary!$G$5:$G$241,"Yes"))</f>
        <v>0</v>
      </c>
      <c r="AR92">
        <f>IF(AR55="","",COUNTIFS(Summary!$E$5:$E$241,AR55,Summary!$D$5:$D$241,"&gt;="&amp;$A92,Summary!$D$5:$D$241,"&lt;"&amp;$A92+7,Summary!$G$5:$G$241,"Yes"))</f>
        <v>0</v>
      </c>
      <c r="AS92">
        <f>IF(AS55="","",COUNTIFS(Summary!$E$5:$E$241,AS55,Summary!$D$5:$D$241,"&gt;="&amp;$A92,Summary!$D$5:$D$241,"&lt;"&amp;$A92+7,Summary!$G$5:$G$241,"Yes"))</f>
        <v>0</v>
      </c>
      <c r="AT92">
        <f>IF(AT55="","",COUNTIFS(Summary!$E$5:$E$241,AT55,Summary!$D$5:$D$241,"&gt;="&amp;$A92,Summary!$D$5:$D$241,"&lt;"&amp;$A92+7,Summary!$G$5:$G$241,"Yes"))</f>
        <v>0</v>
      </c>
      <c r="AU92">
        <f>IF(AU55="","",COUNTIFS(Summary!$E$5:$E$241,AU55,Summary!$D$5:$D$241,"&gt;="&amp;$A92,Summary!$D$5:$D$241,"&lt;"&amp;$A92+7,Summary!$G$5:$G$241,"Yes"))</f>
        <v>0</v>
      </c>
      <c r="AV92">
        <f>IF(AV55="","",COUNTIFS(Summary!$E$5:$E$241,AV55,Summary!$D$5:$D$241,"&gt;="&amp;$A92,Summary!$D$5:$D$241,"&lt;"&amp;$A92+7,Summary!$G$5:$G$241,"Yes"))</f>
        <v>0</v>
      </c>
      <c r="AW92">
        <f>IF(AW55="","",COUNTIFS(Summary!$E$5:$E$241,AW55,Summary!$D$5:$D$241,"&gt;="&amp;$A92,Summary!$D$5:$D$241,"&lt;"&amp;$A92+7,Summary!$G$5:$G$241,"Yes"))</f>
        <v>0</v>
      </c>
      <c r="AX92">
        <f>IF(AX55="","",COUNTIFS(Summary!$E$5:$E$241,AX55,Summary!$D$5:$D$241,"&gt;="&amp;$A92,Summary!$D$5:$D$241,"&lt;"&amp;$A92+7,Summary!$G$5:$G$241,"Yes"))</f>
        <v>0</v>
      </c>
      <c r="AY92">
        <f>IF(AY55="","",COUNTIFS(Summary!$E$5:$E$241,AY55,Summary!$D$5:$D$241,"&gt;="&amp;$A92,Summary!$D$5:$D$241,"&lt;"&amp;$A92+7,Summary!$G$5:$G$241,"Yes"))</f>
        <v>0</v>
      </c>
      <c r="AZ92">
        <f>IF(AZ55="","",COUNTIFS(Summary!$E$5:$E$241,AZ55,Summary!$D$5:$D$241,"&gt;="&amp;$A92,Summary!$D$5:$D$241,"&lt;"&amp;$A92+7,Summary!$G$5:$G$241,"Yes"))</f>
        <v>0</v>
      </c>
      <c r="BA92">
        <f>IF(BA55="","",COUNTIFS(Summary!$E$5:$E$241,BA55,Summary!$D$5:$D$241,"&gt;="&amp;$A92,Summary!$D$5:$D$241,"&lt;"&amp;$A92+7,Summary!$G$5:$G$241,"Yes"))</f>
        <v>0</v>
      </c>
      <c r="BB92">
        <f>IF(BB55="","",COUNTIFS(Summary!$E$5:$E$241,BB55,Summary!$D$5:$D$241,"&gt;="&amp;$A92,Summary!$D$5:$D$241,"&lt;"&amp;$A92+7,Summary!$G$5:$G$241,"Yes"))</f>
        <v>0</v>
      </c>
      <c r="BC92">
        <f>IF(BC55="","",COUNTIFS(Summary!$E$5:$E$241,BC55,Summary!$D$5:$D$241,"&gt;="&amp;$A92,Summary!$D$5:$D$241,"&lt;"&amp;$A92+7,Summary!$G$5:$G$241,"Yes"))</f>
        <v>0</v>
      </c>
      <c r="BD92">
        <f>IF(BD55="","",COUNTIFS(Summary!$E$5:$E$241,BD55,Summary!$D$5:$D$241,"&gt;="&amp;$A92,Summary!$D$5:$D$241,"&lt;"&amp;$A92+7,Summary!$G$5:$G$241,"Yes"))</f>
        <v>0</v>
      </c>
      <c r="BE92">
        <f>IF(BE55="","",COUNTIFS(Summary!$E$5:$E$241,BE55,Summary!$D$5:$D$241,"&gt;="&amp;$A92,Summary!$D$5:$D$241,"&lt;"&amp;$A92+7,Summary!$G$5:$G$241,"Yes"))</f>
        <v>0</v>
      </c>
      <c r="BF92" s="28">
        <f>IF(BF55="","",COUNTIFS(Summary!$E$5:$E$241,BF55,Summary!$D$5:$D$241,"&gt;="&amp;$A92,Summary!$D$5:$D$241,"&lt;"&amp;$A92+7,Summary!$G$5:$G$241,"Yes"))</f>
        <v>0</v>
      </c>
    </row>
    <row r="93" spans="1:58">
      <c r="A93" s="18">
        <f t="shared" si="5"/>
        <v>46342</v>
      </c>
      <c r="B93" s="2" t="str">
        <f t="shared" si="4"/>
        <v>Nov 16</v>
      </c>
      <c r="C93">
        <f>IF(C55="","",COUNTIFS(Summary!$E$5:$E$241,C55,Summary!$D$5:$D$241,"&gt;="&amp;$A93,Summary!$D$5:$D$241,"&lt;"&amp;$A93+7,Summary!$G$5:$G$241,"Yes"))</f>
        <v>0</v>
      </c>
      <c r="D93">
        <f>IF(D55="","",COUNTIFS(Summary!$E$5:$E$241,D55,Summary!$D$5:$D$241,"&gt;="&amp;$A93,Summary!$D$5:$D$241,"&lt;"&amp;$A93+7,Summary!$G$5:$G$241,"Yes"))</f>
        <v>0</v>
      </c>
      <c r="E93">
        <f>IF(E55="","",COUNTIFS(Summary!$E$5:$E$241,E55,Summary!$D$5:$D$241,"&gt;="&amp;$A93,Summary!$D$5:$D$241,"&lt;"&amp;$A93+7,Summary!$G$5:$G$241,"Yes"))</f>
        <v>0</v>
      </c>
      <c r="F93">
        <f>IF(F55="","",COUNTIFS(Summary!$E$5:$E$241,F55,Summary!$D$5:$D$241,"&gt;="&amp;$A93,Summary!$D$5:$D$241,"&lt;"&amp;$A93+7,Summary!$G$5:$G$241,"Yes"))</f>
        <v>0</v>
      </c>
      <c r="G93">
        <f>IF(G55="","",COUNTIFS(Summary!$E$5:$E$241,G55,Summary!$D$5:$D$241,"&gt;="&amp;$A93,Summary!$D$5:$D$241,"&lt;"&amp;$A93+7,Summary!$G$5:$G$241,"Yes"))</f>
        <v>0</v>
      </c>
      <c r="H93">
        <f>IF(H55="","",COUNTIFS(Summary!$E$5:$E$241,H55,Summary!$D$5:$D$241,"&gt;="&amp;$A93,Summary!$D$5:$D$241,"&lt;"&amp;$A93+7,Summary!$G$5:$G$241,"Yes"))</f>
        <v>0</v>
      </c>
      <c r="I93">
        <f>IF(I55="","",COUNTIFS(Summary!$E$5:$E$241,I55,Summary!$D$5:$D$241,"&gt;="&amp;$A93,Summary!$D$5:$D$241,"&lt;"&amp;$A93+7,Summary!$G$5:$G$241,"Yes"))</f>
        <v>0</v>
      </c>
      <c r="J93">
        <f>IF(J55="","",COUNTIFS(Summary!$E$5:$E$241,J55,Summary!$D$5:$D$241,"&gt;="&amp;$A93,Summary!$D$5:$D$241,"&lt;"&amp;$A93+7,Summary!$G$5:$G$241,"Yes"))</f>
        <v>0</v>
      </c>
      <c r="K93">
        <f>IF(K55="","",COUNTIFS(Summary!$E$5:$E$241,K55,Summary!$D$5:$D$241,"&gt;="&amp;$A93,Summary!$D$5:$D$241,"&lt;"&amp;$A93+7,Summary!$G$5:$G$241,"Yes"))</f>
        <v>0</v>
      </c>
      <c r="L93">
        <f>IF(L55="","",COUNTIFS(Summary!$E$5:$E$241,L55,Summary!$D$5:$D$241,"&gt;="&amp;$A93,Summary!$D$5:$D$241,"&lt;"&amp;$A93+7,Summary!$G$5:$G$241,"Yes"))</f>
        <v>0</v>
      </c>
      <c r="M93">
        <f>IF(M55="","",COUNTIFS(Summary!$E$5:$E$241,M55,Summary!$D$5:$D$241,"&gt;="&amp;$A93,Summary!$D$5:$D$241,"&lt;"&amp;$A93+7,Summary!$G$5:$G$241,"Yes"))</f>
        <v>0</v>
      </c>
      <c r="N93">
        <f>IF(N55="","",COUNTIFS(Summary!$E$5:$E$241,N55,Summary!$D$5:$D$241,"&gt;="&amp;$A93,Summary!$D$5:$D$241,"&lt;"&amp;$A93+7,Summary!$G$5:$G$241,"Yes"))</f>
        <v>0</v>
      </c>
      <c r="O93">
        <f>IF(O55="","",COUNTIFS(Summary!$E$5:$E$241,O55,Summary!$D$5:$D$241,"&gt;="&amp;$A93,Summary!$D$5:$D$241,"&lt;"&amp;$A93+7,Summary!$G$5:$G$241,"Yes"))</f>
        <v>0</v>
      </c>
      <c r="P93">
        <f>IF(P55="","",COUNTIFS(Summary!$E$5:$E$241,P55,Summary!$D$5:$D$241,"&gt;="&amp;$A93,Summary!$D$5:$D$241,"&lt;"&amp;$A93+7,Summary!$G$5:$G$241,"Yes"))</f>
        <v>0</v>
      </c>
      <c r="Q93">
        <f>IF(Q55="","",COUNTIFS(Summary!$E$5:$E$241,Q55,Summary!$D$5:$D$241,"&gt;="&amp;$A93,Summary!$D$5:$D$241,"&lt;"&amp;$A93+7,Summary!$G$5:$G$241,"Yes"))</f>
        <v>0</v>
      </c>
      <c r="R93">
        <f>IF(R55="","",COUNTIFS(Summary!$E$5:$E$241,R55,Summary!$D$5:$D$241,"&gt;="&amp;$A93,Summary!$D$5:$D$241,"&lt;"&amp;$A93+7,Summary!$G$5:$G$241,"Yes"))</f>
        <v>0</v>
      </c>
      <c r="S93">
        <f>IF(S55="","",COUNTIFS(Summary!$E$5:$E$241,S55,Summary!$D$5:$D$241,"&gt;="&amp;$A93,Summary!$D$5:$D$241,"&lt;"&amp;$A93+7,Summary!$G$5:$G$241,"Yes"))</f>
        <v>0</v>
      </c>
      <c r="T93">
        <f>IF(T55="","",COUNTIFS(Summary!$E$5:$E$241,T55,Summary!$D$5:$D$241,"&gt;="&amp;$A93,Summary!$D$5:$D$241,"&lt;"&amp;$A93+7,Summary!$G$5:$G$241,"Yes"))</f>
        <v>0</v>
      </c>
      <c r="U93">
        <f>IF(U55="","",COUNTIFS(Summary!$E$5:$E$241,U55,Summary!$D$5:$D$241,"&gt;="&amp;$A93,Summary!$D$5:$D$241,"&lt;"&amp;$A93+7,Summary!$G$5:$G$241,"Yes"))</f>
        <v>0</v>
      </c>
      <c r="V93">
        <f>IF(V55="","",COUNTIFS(Summary!$E$5:$E$241,V55,Summary!$D$5:$D$241,"&gt;="&amp;$A93,Summary!$D$5:$D$241,"&lt;"&amp;$A93+7,Summary!$G$5:$G$241,"Yes"))</f>
        <v>0</v>
      </c>
      <c r="W93">
        <f>IF(W55="","",COUNTIFS(Summary!$E$5:$E$241,W55,Summary!$D$5:$D$241,"&gt;="&amp;$A93,Summary!$D$5:$D$241,"&lt;"&amp;$A93+7,Summary!$G$5:$G$241,"Yes"))</f>
        <v>0</v>
      </c>
      <c r="X93">
        <f>IF(X55="","",COUNTIFS(Summary!$E$5:$E$241,X55,Summary!$D$5:$D$241,"&gt;="&amp;$A93,Summary!$D$5:$D$241,"&lt;"&amp;$A93+7,Summary!$G$5:$G$241,"Yes"))</f>
        <v>0</v>
      </c>
      <c r="Y93">
        <f>IF(Y55="","",COUNTIFS(Summary!$E$5:$E$241,Y55,Summary!$D$5:$D$241,"&gt;="&amp;$A93,Summary!$D$5:$D$241,"&lt;"&amp;$A93+7,Summary!$G$5:$G$241,"Yes"))</f>
        <v>0</v>
      </c>
      <c r="Z93">
        <f>IF(Z55="","",COUNTIFS(Summary!$E$5:$E$241,Z55,Summary!$D$5:$D$241,"&gt;="&amp;$A93,Summary!$D$5:$D$241,"&lt;"&amp;$A93+7,Summary!$G$5:$G$241,"Yes"))</f>
        <v>0</v>
      </c>
      <c r="AA93">
        <f>IF(AA55="","",COUNTIFS(Summary!$E$5:$E$241,AA55,Summary!$D$5:$D$241,"&gt;="&amp;$A93,Summary!$D$5:$D$241,"&lt;"&amp;$A93+7,Summary!$G$5:$G$241,"Yes"))</f>
        <v>0</v>
      </c>
      <c r="AB93">
        <f>IF(AB55="","",COUNTIFS(Summary!$E$5:$E$241,AB55,Summary!$D$5:$D$241,"&gt;="&amp;$A93,Summary!$D$5:$D$241,"&lt;"&amp;$A93+7,Summary!$G$5:$G$241,"Yes"))</f>
        <v>0</v>
      </c>
      <c r="AC93">
        <f>IF(AC55="","",COUNTIFS(Summary!$E$5:$E$241,AC55,Summary!$D$5:$D$241,"&gt;="&amp;$A93,Summary!$D$5:$D$241,"&lt;"&amp;$A93+7,Summary!$G$5:$G$241,"Yes"))</f>
        <v>0</v>
      </c>
      <c r="AD93">
        <f>IF(AD55="","",COUNTIFS(Summary!$E$5:$E$241,AD55,Summary!$D$5:$D$241,"&gt;="&amp;$A93,Summary!$D$5:$D$241,"&lt;"&amp;$A93+7,Summary!$G$5:$G$241,"Yes"))</f>
        <v>0</v>
      </c>
      <c r="AE93">
        <f>IF(AE55="","",COUNTIFS(Summary!$E$5:$E$241,AE55,Summary!$D$5:$D$241,"&gt;="&amp;$A93,Summary!$D$5:$D$241,"&lt;"&amp;$A93+7,Summary!$G$5:$G$241,"Yes"))</f>
        <v>0</v>
      </c>
      <c r="AF93">
        <f>IF(AF55="","",COUNTIFS(Summary!$E$5:$E$241,AF55,Summary!$D$5:$D$241,"&gt;="&amp;$A93,Summary!$D$5:$D$241,"&lt;"&amp;$A93+7,Summary!$G$5:$G$241,"Yes"))</f>
        <v>0</v>
      </c>
      <c r="AG93">
        <f>IF(AG55="","",COUNTIFS(Summary!$E$5:$E$241,AG55,Summary!$D$5:$D$241,"&gt;="&amp;$A93,Summary!$D$5:$D$241,"&lt;"&amp;$A93+7,Summary!$G$5:$G$241,"Yes"))</f>
        <v>0</v>
      </c>
      <c r="AH93">
        <f>IF(AH55="","",COUNTIFS(Summary!$E$5:$E$241,AH55,Summary!$D$5:$D$241,"&gt;="&amp;$A93,Summary!$D$5:$D$241,"&lt;"&amp;$A93+7,Summary!$G$5:$G$241,"Yes"))</f>
        <v>0</v>
      </c>
      <c r="AI93">
        <f>IF(AI55="","",COUNTIFS(Summary!$E$5:$E$241,AI55,Summary!$D$5:$D$241,"&gt;="&amp;$A93,Summary!$D$5:$D$241,"&lt;"&amp;$A93+7,Summary!$G$5:$G$241,"Yes"))</f>
        <v>0</v>
      </c>
      <c r="AJ93">
        <f>IF(AJ55="","",COUNTIFS(Summary!$E$5:$E$241,AJ55,Summary!$D$5:$D$241,"&gt;="&amp;$A93,Summary!$D$5:$D$241,"&lt;"&amp;$A93+7,Summary!$G$5:$G$241,"Yes"))</f>
        <v>0</v>
      </c>
      <c r="AK93">
        <f>IF(AK55="","",COUNTIFS(Summary!$E$5:$E$241,AK55,Summary!$D$5:$D$241,"&gt;="&amp;$A93,Summary!$D$5:$D$241,"&lt;"&amp;$A93+7,Summary!$G$5:$G$241,"Yes"))</f>
        <v>0</v>
      </c>
      <c r="AL93">
        <f>IF(AL55="","",COUNTIFS(Summary!$E$5:$E$241,AL55,Summary!$D$5:$D$241,"&gt;="&amp;$A93,Summary!$D$5:$D$241,"&lt;"&amp;$A93+7,Summary!$G$5:$G$241,"Yes"))</f>
        <v>0</v>
      </c>
      <c r="AM93">
        <f>IF(AM55="","",COUNTIFS(Summary!$E$5:$E$241,AM55,Summary!$D$5:$D$241,"&gt;="&amp;$A93,Summary!$D$5:$D$241,"&lt;"&amp;$A93+7,Summary!$G$5:$G$241,"Yes"))</f>
        <v>0</v>
      </c>
      <c r="AN93">
        <f>IF(AN55="","",COUNTIFS(Summary!$E$5:$E$241,AN55,Summary!$D$5:$D$241,"&gt;="&amp;$A93,Summary!$D$5:$D$241,"&lt;"&amp;$A93+7,Summary!$G$5:$G$241,"Yes"))</f>
        <v>0</v>
      </c>
      <c r="AO93">
        <f>IF(AO55="","",COUNTIFS(Summary!$E$5:$E$241,AO55,Summary!$D$5:$D$241,"&gt;="&amp;$A93,Summary!$D$5:$D$241,"&lt;"&amp;$A93+7,Summary!$G$5:$G$241,"Yes"))</f>
        <v>0</v>
      </c>
      <c r="AP93">
        <f>IF(AP55="","",COUNTIFS(Summary!$E$5:$E$241,AP55,Summary!$D$5:$D$241,"&gt;="&amp;$A93,Summary!$D$5:$D$241,"&lt;"&amp;$A93+7,Summary!$G$5:$G$241,"Yes"))</f>
        <v>0</v>
      </c>
      <c r="AQ93">
        <f>IF(AQ55="","",COUNTIFS(Summary!$E$5:$E$241,AQ55,Summary!$D$5:$D$241,"&gt;="&amp;$A93,Summary!$D$5:$D$241,"&lt;"&amp;$A93+7,Summary!$G$5:$G$241,"Yes"))</f>
        <v>0</v>
      </c>
      <c r="AR93">
        <f>IF(AR55="","",COUNTIFS(Summary!$E$5:$E$241,AR55,Summary!$D$5:$D$241,"&gt;="&amp;$A93,Summary!$D$5:$D$241,"&lt;"&amp;$A93+7,Summary!$G$5:$G$241,"Yes"))</f>
        <v>0</v>
      </c>
      <c r="AS93">
        <f>IF(AS55="","",COUNTIFS(Summary!$E$5:$E$241,AS55,Summary!$D$5:$D$241,"&gt;="&amp;$A93,Summary!$D$5:$D$241,"&lt;"&amp;$A93+7,Summary!$G$5:$G$241,"Yes"))</f>
        <v>0</v>
      </c>
      <c r="AT93">
        <f>IF(AT55="","",COUNTIFS(Summary!$E$5:$E$241,AT55,Summary!$D$5:$D$241,"&gt;="&amp;$A93,Summary!$D$5:$D$241,"&lt;"&amp;$A93+7,Summary!$G$5:$G$241,"Yes"))</f>
        <v>0</v>
      </c>
      <c r="AU93">
        <f>IF(AU55="","",COUNTIFS(Summary!$E$5:$E$241,AU55,Summary!$D$5:$D$241,"&gt;="&amp;$A93,Summary!$D$5:$D$241,"&lt;"&amp;$A93+7,Summary!$G$5:$G$241,"Yes"))</f>
        <v>0</v>
      </c>
      <c r="AV93">
        <f>IF(AV55="","",COUNTIFS(Summary!$E$5:$E$241,AV55,Summary!$D$5:$D$241,"&gt;="&amp;$A93,Summary!$D$5:$D$241,"&lt;"&amp;$A93+7,Summary!$G$5:$G$241,"Yes"))</f>
        <v>0</v>
      </c>
      <c r="AW93">
        <f>IF(AW55="","",COUNTIFS(Summary!$E$5:$E$241,AW55,Summary!$D$5:$D$241,"&gt;="&amp;$A93,Summary!$D$5:$D$241,"&lt;"&amp;$A93+7,Summary!$G$5:$G$241,"Yes"))</f>
        <v>0</v>
      </c>
      <c r="AX93">
        <f>IF(AX55="","",COUNTIFS(Summary!$E$5:$E$241,AX55,Summary!$D$5:$D$241,"&gt;="&amp;$A93,Summary!$D$5:$D$241,"&lt;"&amp;$A93+7,Summary!$G$5:$G$241,"Yes"))</f>
        <v>0</v>
      </c>
      <c r="AY93">
        <f>IF(AY55="","",COUNTIFS(Summary!$E$5:$E$241,AY55,Summary!$D$5:$D$241,"&gt;="&amp;$A93,Summary!$D$5:$D$241,"&lt;"&amp;$A93+7,Summary!$G$5:$G$241,"Yes"))</f>
        <v>0</v>
      </c>
      <c r="AZ93">
        <f>IF(AZ55="","",COUNTIFS(Summary!$E$5:$E$241,AZ55,Summary!$D$5:$D$241,"&gt;="&amp;$A93,Summary!$D$5:$D$241,"&lt;"&amp;$A93+7,Summary!$G$5:$G$241,"Yes"))</f>
        <v>0</v>
      </c>
      <c r="BA93">
        <f>IF(BA55="","",COUNTIFS(Summary!$E$5:$E$241,BA55,Summary!$D$5:$D$241,"&gt;="&amp;$A93,Summary!$D$5:$D$241,"&lt;"&amp;$A93+7,Summary!$G$5:$G$241,"Yes"))</f>
        <v>0</v>
      </c>
      <c r="BB93">
        <f>IF(BB55="","",COUNTIFS(Summary!$E$5:$E$241,BB55,Summary!$D$5:$D$241,"&gt;="&amp;$A93,Summary!$D$5:$D$241,"&lt;"&amp;$A93+7,Summary!$G$5:$G$241,"Yes"))</f>
        <v>0</v>
      </c>
      <c r="BC93">
        <f>IF(BC55="","",COUNTIFS(Summary!$E$5:$E$241,BC55,Summary!$D$5:$D$241,"&gt;="&amp;$A93,Summary!$D$5:$D$241,"&lt;"&amp;$A93+7,Summary!$G$5:$G$241,"Yes"))</f>
        <v>0</v>
      </c>
      <c r="BD93">
        <f>IF(BD55="","",COUNTIFS(Summary!$E$5:$E$241,BD55,Summary!$D$5:$D$241,"&gt;="&amp;$A93,Summary!$D$5:$D$241,"&lt;"&amp;$A93+7,Summary!$G$5:$G$241,"Yes"))</f>
        <v>0</v>
      </c>
      <c r="BE93">
        <f>IF(BE55="","",COUNTIFS(Summary!$E$5:$E$241,BE55,Summary!$D$5:$D$241,"&gt;="&amp;$A93,Summary!$D$5:$D$241,"&lt;"&amp;$A93+7,Summary!$G$5:$G$241,"Yes"))</f>
        <v>0</v>
      </c>
      <c r="BF93" s="28">
        <f>IF(BF55="","",COUNTIFS(Summary!$E$5:$E$241,BF55,Summary!$D$5:$D$241,"&gt;="&amp;$A93,Summary!$D$5:$D$241,"&lt;"&amp;$A93+7,Summary!$G$5:$G$241,"Yes"))</f>
        <v>0</v>
      </c>
    </row>
    <row r="94" spans="1:58">
      <c r="A94" s="18">
        <f t="shared" si="5"/>
        <v>46349</v>
      </c>
      <c r="B94" s="2" t="str">
        <f t="shared" si="4"/>
        <v>Nov 23</v>
      </c>
      <c r="C94">
        <f>IF(C55="","",COUNTIFS(Summary!$E$5:$E$241,C55,Summary!$D$5:$D$241,"&gt;="&amp;$A94,Summary!$D$5:$D$241,"&lt;"&amp;$A94+7,Summary!$G$5:$G$241,"Yes"))</f>
        <v>0</v>
      </c>
      <c r="D94">
        <f>IF(D55="","",COUNTIFS(Summary!$E$5:$E$241,D55,Summary!$D$5:$D$241,"&gt;="&amp;$A94,Summary!$D$5:$D$241,"&lt;"&amp;$A94+7,Summary!$G$5:$G$241,"Yes"))</f>
        <v>0</v>
      </c>
      <c r="E94">
        <f>IF(E55="","",COUNTIFS(Summary!$E$5:$E$241,E55,Summary!$D$5:$D$241,"&gt;="&amp;$A94,Summary!$D$5:$D$241,"&lt;"&amp;$A94+7,Summary!$G$5:$G$241,"Yes"))</f>
        <v>0</v>
      </c>
      <c r="F94">
        <f>IF(F55="","",COUNTIFS(Summary!$E$5:$E$241,F55,Summary!$D$5:$D$241,"&gt;="&amp;$A94,Summary!$D$5:$D$241,"&lt;"&amp;$A94+7,Summary!$G$5:$G$241,"Yes"))</f>
        <v>0</v>
      </c>
      <c r="G94">
        <f>IF(G55="","",COUNTIFS(Summary!$E$5:$E$241,G55,Summary!$D$5:$D$241,"&gt;="&amp;$A94,Summary!$D$5:$D$241,"&lt;"&amp;$A94+7,Summary!$G$5:$G$241,"Yes"))</f>
        <v>0</v>
      </c>
      <c r="H94">
        <f>IF(H55="","",COUNTIFS(Summary!$E$5:$E$241,H55,Summary!$D$5:$D$241,"&gt;="&amp;$A94,Summary!$D$5:$D$241,"&lt;"&amp;$A94+7,Summary!$G$5:$G$241,"Yes"))</f>
        <v>0</v>
      </c>
      <c r="I94">
        <f>IF(I55="","",COUNTIFS(Summary!$E$5:$E$241,I55,Summary!$D$5:$D$241,"&gt;="&amp;$A94,Summary!$D$5:$D$241,"&lt;"&amp;$A94+7,Summary!$G$5:$G$241,"Yes"))</f>
        <v>0</v>
      </c>
      <c r="J94">
        <f>IF(J55="","",COUNTIFS(Summary!$E$5:$E$241,J55,Summary!$D$5:$D$241,"&gt;="&amp;$A94,Summary!$D$5:$D$241,"&lt;"&amp;$A94+7,Summary!$G$5:$G$241,"Yes"))</f>
        <v>0</v>
      </c>
      <c r="K94">
        <f>IF(K55="","",COUNTIFS(Summary!$E$5:$E$241,K55,Summary!$D$5:$D$241,"&gt;="&amp;$A94,Summary!$D$5:$D$241,"&lt;"&amp;$A94+7,Summary!$G$5:$G$241,"Yes"))</f>
        <v>0</v>
      </c>
      <c r="L94">
        <f>IF(L55="","",COUNTIFS(Summary!$E$5:$E$241,L55,Summary!$D$5:$D$241,"&gt;="&amp;$A94,Summary!$D$5:$D$241,"&lt;"&amp;$A94+7,Summary!$G$5:$G$241,"Yes"))</f>
        <v>0</v>
      </c>
      <c r="M94">
        <f>IF(M55="","",COUNTIFS(Summary!$E$5:$E$241,M55,Summary!$D$5:$D$241,"&gt;="&amp;$A94,Summary!$D$5:$D$241,"&lt;"&amp;$A94+7,Summary!$G$5:$G$241,"Yes"))</f>
        <v>0</v>
      </c>
      <c r="N94">
        <f>IF(N55="","",COUNTIFS(Summary!$E$5:$E$241,N55,Summary!$D$5:$D$241,"&gt;="&amp;$A94,Summary!$D$5:$D$241,"&lt;"&amp;$A94+7,Summary!$G$5:$G$241,"Yes"))</f>
        <v>0</v>
      </c>
      <c r="O94">
        <f>IF(O55="","",COUNTIFS(Summary!$E$5:$E$241,O55,Summary!$D$5:$D$241,"&gt;="&amp;$A94,Summary!$D$5:$D$241,"&lt;"&amp;$A94+7,Summary!$G$5:$G$241,"Yes"))</f>
        <v>0</v>
      </c>
      <c r="P94">
        <f>IF(P55="","",COUNTIFS(Summary!$E$5:$E$241,P55,Summary!$D$5:$D$241,"&gt;="&amp;$A94,Summary!$D$5:$D$241,"&lt;"&amp;$A94+7,Summary!$G$5:$G$241,"Yes"))</f>
        <v>0</v>
      </c>
      <c r="Q94">
        <f>IF(Q55="","",COUNTIFS(Summary!$E$5:$E$241,Q55,Summary!$D$5:$D$241,"&gt;="&amp;$A94,Summary!$D$5:$D$241,"&lt;"&amp;$A94+7,Summary!$G$5:$G$241,"Yes"))</f>
        <v>0</v>
      </c>
      <c r="R94">
        <f>IF(R55="","",COUNTIFS(Summary!$E$5:$E$241,R55,Summary!$D$5:$D$241,"&gt;="&amp;$A94,Summary!$D$5:$D$241,"&lt;"&amp;$A94+7,Summary!$G$5:$G$241,"Yes"))</f>
        <v>0</v>
      </c>
      <c r="S94">
        <f>IF(S55="","",COUNTIFS(Summary!$E$5:$E$241,S55,Summary!$D$5:$D$241,"&gt;="&amp;$A94,Summary!$D$5:$D$241,"&lt;"&amp;$A94+7,Summary!$G$5:$G$241,"Yes"))</f>
        <v>0</v>
      </c>
      <c r="T94">
        <f>IF(T55="","",COUNTIFS(Summary!$E$5:$E$241,T55,Summary!$D$5:$D$241,"&gt;="&amp;$A94,Summary!$D$5:$D$241,"&lt;"&amp;$A94+7,Summary!$G$5:$G$241,"Yes"))</f>
        <v>0</v>
      </c>
      <c r="U94">
        <f>IF(U55="","",COUNTIFS(Summary!$E$5:$E$241,U55,Summary!$D$5:$D$241,"&gt;="&amp;$A94,Summary!$D$5:$D$241,"&lt;"&amp;$A94+7,Summary!$G$5:$G$241,"Yes"))</f>
        <v>0</v>
      </c>
      <c r="V94">
        <f>IF(V55="","",COUNTIFS(Summary!$E$5:$E$241,V55,Summary!$D$5:$D$241,"&gt;="&amp;$A94,Summary!$D$5:$D$241,"&lt;"&amp;$A94+7,Summary!$G$5:$G$241,"Yes"))</f>
        <v>0</v>
      </c>
      <c r="W94">
        <f>IF(W55="","",COUNTIFS(Summary!$E$5:$E$241,W55,Summary!$D$5:$D$241,"&gt;="&amp;$A94,Summary!$D$5:$D$241,"&lt;"&amp;$A94+7,Summary!$G$5:$G$241,"Yes"))</f>
        <v>0</v>
      </c>
      <c r="X94">
        <f>IF(X55="","",COUNTIFS(Summary!$E$5:$E$241,X55,Summary!$D$5:$D$241,"&gt;="&amp;$A94,Summary!$D$5:$D$241,"&lt;"&amp;$A94+7,Summary!$G$5:$G$241,"Yes"))</f>
        <v>0</v>
      </c>
      <c r="Y94">
        <f>IF(Y55="","",COUNTIFS(Summary!$E$5:$E$241,Y55,Summary!$D$5:$D$241,"&gt;="&amp;$A94,Summary!$D$5:$D$241,"&lt;"&amp;$A94+7,Summary!$G$5:$G$241,"Yes"))</f>
        <v>0</v>
      </c>
      <c r="Z94">
        <f>IF(Z55="","",COUNTIFS(Summary!$E$5:$E$241,Z55,Summary!$D$5:$D$241,"&gt;="&amp;$A94,Summary!$D$5:$D$241,"&lt;"&amp;$A94+7,Summary!$G$5:$G$241,"Yes"))</f>
        <v>0</v>
      </c>
      <c r="AA94">
        <f>IF(AA55="","",COUNTIFS(Summary!$E$5:$E$241,AA55,Summary!$D$5:$D$241,"&gt;="&amp;$A94,Summary!$D$5:$D$241,"&lt;"&amp;$A94+7,Summary!$G$5:$G$241,"Yes"))</f>
        <v>0</v>
      </c>
      <c r="AB94">
        <f>IF(AB55="","",COUNTIFS(Summary!$E$5:$E$241,AB55,Summary!$D$5:$D$241,"&gt;="&amp;$A94,Summary!$D$5:$D$241,"&lt;"&amp;$A94+7,Summary!$G$5:$G$241,"Yes"))</f>
        <v>0</v>
      </c>
      <c r="AC94">
        <f>IF(AC55="","",COUNTIFS(Summary!$E$5:$E$241,AC55,Summary!$D$5:$D$241,"&gt;="&amp;$A94,Summary!$D$5:$D$241,"&lt;"&amp;$A94+7,Summary!$G$5:$G$241,"Yes"))</f>
        <v>0</v>
      </c>
      <c r="AD94">
        <f>IF(AD55="","",COUNTIFS(Summary!$E$5:$E$241,AD55,Summary!$D$5:$D$241,"&gt;="&amp;$A94,Summary!$D$5:$D$241,"&lt;"&amp;$A94+7,Summary!$G$5:$G$241,"Yes"))</f>
        <v>0</v>
      </c>
      <c r="AE94">
        <f>IF(AE55="","",COUNTIFS(Summary!$E$5:$E$241,AE55,Summary!$D$5:$D$241,"&gt;="&amp;$A94,Summary!$D$5:$D$241,"&lt;"&amp;$A94+7,Summary!$G$5:$G$241,"Yes"))</f>
        <v>0</v>
      </c>
      <c r="AF94">
        <f>IF(AF55="","",COUNTIFS(Summary!$E$5:$E$241,AF55,Summary!$D$5:$D$241,"&gt;="&amp;$A94,Summary!$D$5:$D$241,"&lt;"&amp;$A94+7,Summary!$G$5:$G$241,"Yes"))</f>
        <v>0</v>
      </c>
      <c r="AG94">
        <f>IF(AG55="","",COUNTIFS(Summary!$E$5:$E$241,AG55,Summary!$D$5:$D$241,"&gt;="&amp;$A94,Summary!$D$5:$D$241,"&lt;"&amp;$A94+7,Summary!$G$5:$G$241,"Yes"))</f>
        <v>0</v>
      </c>
      <c r="AH94">
        <f>IF(AH55="","",COUNTIFS(Summary!$E$5:$E$241,AH55,Summary!$D$5:$D$241,"&gt;="&amp;$A94,Summary!$D$5:$D$241,"&lt;"&amp;$A94+7,Summary!$G$5:$G$241,"Yes"))</f>
        <v>0</v>
      </c>
      <c r="AI94">
        <f>IF(AI55="","",COUNTIFS(Summary!$E$5:$E$241,AI55,Summary!$D$5:$D$241,"&gt;="&amp;$A94,Summary!$D$5:$D$241,"&lt;"&amp;$A94+7,Summary!$G$5:$G$241,"Yes"))</f>
        <v>0</v>
      </c>
      <c r="AJ94">
        <f>IF(AJ55="","",COUNTIFS(Summary!$E$5:$E$241,AJ55,Summary!$D$5:$D$241,"&gt;="&amp;$A94,Summary!$D$5:$D$241,"&lt;"&amp;$A94+7,Summary!$G$5:$G$241,"Yes"))</f>
        <v>0</v>
      </c>
      <c r="AK94">
        <f>IF(AK55="","",COUNTIFS(Summary!$E$5:$E$241,AK55,Summary!$D$5:$D$241,"&gt;="&amp;$A94,Summary!$D$5:$D$241,"&lt;"&amp;$A94+7,Summary!$G$5:$G$241,"Yes"))</f>
        <v>0</v>
      </c>
      <c r="AL94">
        <f>IF(AL55="","",COUNTIFS(Summary!$E$5:$E$241,AL55,Summary!$D$5:$D$241,"&gt;="&amp;$A94,Summary!$D$5:$D$241,"&lt;"&amp;$A94+7,Summary!$G$5:$G$241,"Yes"))</f>
        <v>0</v>
      </c>
      <c r="AM94">
        <f>IF(AM55="","",COUNTIFS(Summary!$E$5:$E$241,AM55,Summary!$D$5:$D$241,"&gt;="&amp;$A94,Summary!$D$5:$D$241,"&lt;"&amp;$A94+7,Summary!$G$5:$G$241,"Yes"))</f>
        <v>0</v>
      </c>
      <c r="AN94">
        <f>IF(AN55="","",COUNTIFS(Summary!$E$5:$E$241,AN55,Summary!$D$5:$D$241,"&gt;="&amp;$A94,Summary!$D$5:$D$241,"&lt;"&amp;$A94+7,Summary!$G$5:$G$241,"Yes"))</f>
        <v>0</v>
      </c>
      <c r="AO94">
        <f>IF(AO55="","",COUNTIFS(Summary!$E$5:$E$241,AO55,Summary!$D$5:$D$241,"&gt;="&amp;$A94,Summary!$D$5:$D$241,"&lt;"&amp;$A94+7,Summary!$G$5:$G$241,"Yes"))</f>
        <v>0</v>
      </c>
      <c r="AP94">
        <f>IF(AP55="","",COUNTIFS(Summary!$E$5:$E$241,AP55,Summary!$D$5:$D$241,"&gt;="&amp;$A94,Summary!$D$5:$D$241,"&lt;"&amp;$A94+7,Summary!$G$5:$G$241,"Yes"))</f>
        <v>0</v>
      </c>
      <c r="AQ94">
        <f>IF(AQ55="","",COUNTIFS(Summary!$E$5:$E$241,AQ55,Summary!$D$5:$D$241,"&gt;="&amp;$A94,Summary!$D$5:$D$241,"&lt;"&amp;$A94+7,Summary!$G$5:$G$241,"Yes"))</f>
        <v>0</v>
      </c>
      <c r="AR94">
        <f>IF(AR55="","",COUNTIFS(Summary!$E$5:$E$241,AR55,Summary!$D$5:$D$241,"&gt;="&amp;$A94,Summary!$D$5:$D$241,"&lt;"&amp;$A94+7,Summary!$G$5:$G$241,"Yes"))</f>
        <v>0</v>
      </c>
      <c r="AS94">
        <f>IF(AS55="","",COUNTIFS(Summary!$E$5:$E$241,AS55,Summary!$D$5:$D$241,"&gt;="&amp;$A94,Summary!$D$5:$D$241,"&lt;"&amp;$A94+7,Summary!$G$5:$G$241,"Yes"))</f>
        <v>0</v>
      </c>
      <c r="AT94">
        <f>IF(AT55="","",COUNTIFS(Summary!$E$5:$E$241,AT55,Summary!$D$5:$D$241,"&gt;="&amp;$A94,Summary!$D$5:$D$241,"&lt;"&amp;$A94+7,Summary!$G$5:$G$241,"Yes"))</f>
        <v>0</v>
      </c>
      <c r="AU94">
        <f>IF(AU55="","",COUNTIFS(Summary!$E$5:$E$241,AU55,Summary!$D$5:$D$241,"&gt;="&amp;$A94,Summary!$D$5:$D$241,"&lt;"&amp;$A94+7,Summary!$G$5:$G$241,"Yes"))</f>
        <v>0</v>
      </c>
      <c r="AV94">
        <f>IF(AV55="","",COUNTIFS(Summary!$E$5:$E$241,AV55,Summary!$D$5:$D$241,"&gt;="&amp;$A94,Summary!$D$5:$D$241,"&lt;"&amp;$A94+7,Summary!$G$5:$G$241,"Yes"))</f>
        <v>0</v>
      </c>
      <c r="AW94">
        <f>IF(AW55="","",COUNTIFS(Summary!$E$5:$E$241,AW55,Summary!$D$5:$D$241,"&gt;="&amp;$A94,Summary!$D$5:$D$241,"&lt;"&amp;$A94+7,Summary!$G$5:$G$241,"Yes"))</f>
        <v>0</v>
      </c>
      <c r="AX94">
        <f>IF(AX55="","",COUNTIFS(Summary!$E$5:$E$241,AX55,Summary!$D$5:$D$241,"&gt;="&amp;$A94,Summary!$D$5:$D$241,"&lt;"&amp;$A94+7,Summary!$G$5:$G$241,"Yes"))</f>
        <v>0</v>
      </c>
      <c r="AY94">
        <f>IF(AY55="","",COUNTIFS(Summary!$E$5:$E$241,AY55,Summary!$D$5:$D$241,"&gt;="&amp;$A94,Summary!$D$5:$D$241,"&lt;"&amp;$A94+7,Summary!$G$5:$G$241,"Yes"))</f>
        <v>0</v>
      </c>
      <c r="AZ94">
        <f>IF(AZ55="","",COUNTIFS(Summary!$E$5:$E$241,AZ55,Summary!$D$5:$D$241,"&gt;="&amp;$A94,Summary!$D$5:$D$241,"&lt;"&amp;$A94+7,Summary!$G$5:$G$241,"Yes"))</f>
        <v>0</v>
      </c>
      <c r="BA94">
        <f>IF(BA55="","",COUNTIFS(Summary!$E$5:$E$241,BA55,Summary!$D$5:$D$241,"&gt;="&amp;$A94,Summary!$D$5:$D$241,"&lt;"&amp;$A94+7,Summary!$G$5:$G$241,"Yes"))</f>
        <v>0</v>
      </c>
      <c r="BB94">
        <f>IF(BB55="","",COUNTIFS(Summary!$E$5:$E$241,BB55,Summary!$D$5:$D$241,"&gt;="&amp;$A94,Summary!$D$5:$D$241,"&lt;"&amp;$A94+7,Summary!$G$5:$G$241,"Yes"))</f>
        <v>0</v>
      </c>
      <c r="BC94">
        <f>IF(BC55="","",COUNTIFS(Summary!$E$5:$E$241,BC55,Summary!$D$5:$D$241,"&gt;="&amp;$A94,Summary!$D$5:$D$241,"&lt;"&amp;$A94+7,Summary!$G$5:$G$241,"Yes"))</f>
        <v>0</v>
      </c>
      <c r="BD94">
        <f>IF(BD55="","",COUNTIFS(Summary!$E$5:$E$241,BD55,Summary!$D$5:$D$241,"&gt;="&amp;$A94,Summary!$D$5:$D$241,"&lt;"&amp;$A94+7,Summary!$G$5:$G$241,"Yes"))</f>
        <v>0</v>
      </c>
      <c r="BE94">
        <f>IF(BE55="","",COUNTIFS(Summary!$E$5:$E$241,BE55,Summary!$D$5:$D$241,"&gt;="&amp;$A94,Summary!$D$5:$D$241,"&lt;"&amp;$A94+7,Summary!$G$5:$G$241,"Yes"))</f>
        <v>0</v>
      </c>
      <c r="BF94" s="28">
        <f>IF(BF55="","",COUNTIFS(Summary!$E$5:$E$241,BF55,Summary!$D$5:$D$241,"&gt;="&amp;$A94,Summary!$D$5:$D$241,"&lt;"&amp;$A94+7,Summary!$G$5:$G$241,"Yes"))</f>
        <v>0</v>
      </c>
    </row>
    <row r="95" spans="1:58">
      <c r="A95" s="18">
        <f t="shared" si="5"/>
        <v>46356</v>
      </c>
      <c r="B95" s="2" t="str">
        <f t="shared" si="4"/>
        <v>Nov 30</v>
      </c>
      <c r="C95">
        <f>IF(C55="","",COUNTIFS(Summary!$E$5:$E$241,C55,Summary!$D$5:$D$241,"&gt;="&amp;$A95,Summary!$D$5:$D$241,"&lt;"&amp;$A95+7,Summary!$G$5:$G$241,"Yes"))</f>
        <v>0</v>
      </c>
      <c r="D95">
        <f>IF(D55="","",COUNTIFS(Summary!$E$5:$E$241,D55,Summary!$D$5:$D$241,"&gt;="&amp;$A95,Summary!$D$5:$D$241,"&lt;"&amp;$A95+7,Summary!$G$5:$G$241,"Yes"))</f>
        <v>0</v>
      </c>
      <c r="E95">
        <f>IF(E55="","",COUNTIFS(Summary!$E$5:$E$241,E55,Summary!$D$5:$D$241,"&gt;="&amp;$A95,Summary!$D$5:$D$241,"&lt;"&amp;$A95+7,Summary!$G$5:$G$241,"Yes"))</f>
        <v>0</v>
      </c>
      <c r="F95">
        <f>IF(F55="","",COUNTIFS(Summary!$E$5:$E$241,F55,Summary!$D$5:$D$241,"&gt;="&amp;$A95,Summary!$D$5:$D$241,"&lt;"&amp;$A95+7,Summary!$G$5:$G$241,"Yes"))</f>
        <v>0</v>
      </c>
      <c r="G95">
        <f>IF(G55="","",COUNTIFS(Summary!$E$5:$E$241,G55,Summary!$D$5:$D$241,"&gt;="&amp;$A95,Summary!$D$5:$D$241,"&lt;"&amp;$A95+7,Summary!$G$5:$G$241,"Yes"))</f>
        <v>0</v>
      </c>
      <c r="H95">
        <f>IF(H55="","",COUNTIFS(Summary!$E$5:$E$241,H55,Summary!$D$5:$D$241,"&gt;="&amp;$A95,Summary!$D$5:$D$241,"&lt;"&amp;$A95+7,Summary!$G$5:$G$241,"Yes"))</f>
        <v>0</v>
      </c>
      <c r="I95">
        <f>IF(I55="","",COUNTIFS(Summary!$E$5:$E$241,I55,Summary!$D$5:$D$241,"&gt;="&amp;$A95,Summary!$D$5:$D$241,"&lt;"&amp;$A95+7,Summary!$G$5:$G$241,"Yes"))</f>
        <v>0</v>
      </c>
      <c r="J95">
        <f>IF(J55="","",COUNTIFS(Summary!$E$5:$E$241,J55,Summary!$D$5:$D$241,"&gt;="&amp;$A95,Summary!$D$5:$D$241,"&lt;"&amp;$A95+7,Summary!$G$5:$G$241,"Yes"))</f>
        <v>0</v>
      </c>
      <c r="K95">
        <f>IF(K55="","",COUNTIFS(Summary!$E$5:$E$241,K55,Summary!$D$5:$D$241,"&gt;="&amp;$A95,Summary!$D$5:$D$241,"&lt;"&amp;$A95+7,Summary!$G$5:$G$241,"Yes"))</f>
        <v>0</v>
      </c>
      <c r="L95">
        <f>IF(L55="","",COUNTIFS(Summary!$E$5:$E$241,L55,Summary!$D$5:$D$241,"&gt;="&amp;$A95,Summary!$D$5:$D$241,"&lt;"&amp;$A95+7,Summary!$G$5:$G$241,"Yes"))</f>
        <v>0</v>
      </c>
      <c r="M95">
        <f>IF(M55="","",COUNTIFS(Summary!$E$5:$E$241,M55,Summary!$D$5:$D$241,"&gt;="&amp;$A95,Summary!$D$5:$D$241,"&lt;"&amp;$A95+7,Summary!$G$5:$G$241,"Yes"))</f>
        <v>0</v>
      </c>
      <c r="N95">
        <f>IF(N55="","",COUNTIFS(Summary!$E$5:$E$241,N55,Summary!$D$5:$D$241,"&gt;="&amp;$A95,Summary!$D$5:$D$241,"&lt;"&amp;$A95+7,Summary!$G$5:$G$241,"Yes"))</f>
        <v>0</v>
      </c>
      <c r="O95">
        <f>IF(O55="","",COUNTIFS(Summary!$E$5:$E$241,O55,Summary!$D$5:$D$241,"&gt;="&amp;$A95,Summary!$D$5:$D$241,"&lt;"&amp;$A95+7,Summary!$G$5:$G$241,"Yes"))</f>
        <v>0</v>
      </c>
      <c r="P95">
        <f>IF(P55="","",COUNTIFS(Summary!$E$5:$E$241,P55,Summary!$D$5:$D$241,"&gt;="&amp;$A95,Summary!$D$5:$D$241,"&lt;"&amp;$A95+7,Summary!$G$5:$G$241,"Yes"))</f>
        <v>0</v>
      </c>
      <c r="Q95">
        <f>IF(Q55="","",COUNTIFS(Summary!$E$5:$E$241,Q55,Summary!$D$5:$D$241,"&gt;="&amp;$A95,Summary!$D$5:$D$241,"&lt;"&amp;$A95+7,Summary!$G$5:$G$241,"Yes"))</f>
        <v>0</v>
      </c>
      <c r="R95">
        <f>IF(R55="","",COUNTIFS(Summary!$E$5:$E$241,R55,Summary!$D$5:$D$241,"&gt;="&amp;$A95,Summary!$D$5:$D$241,"&lt;"&amp;$A95+7,Summary!$G$5:$G$241,"Yes"))</f>
        <v>0</v>
      </c>
      <c r="S95">
        <f>IF(S55="","",COUNTIFS(Summary!$E$5:$E$241,S55,Summary!$D$5:$D$241,"&gt;="&amp;$A95,Summary!$D$5:$D$241,"&lt;"&amp;$A95+7,Summary!$G$5:$G$241,"Yes"))</f>
        <v>0</v>
      </c>
      <c r="T95">
        <f>IF(T55="","",COUNTIFS(Summary!$E$5:$E$241,T55,Summary!$D$5:$D$241,"&gt;="&amp;$A95,Summary!$D$5:$D$241,"&lt;"&amp;$A95+7,Summary!$G$5:$G$241,"Yes"))</f>
        <v>0</v>
      </c>
      <c r="U95">
        <f>IF(U55="","",COUNTIFS(Summary!$E$5:$E$241,U55,Summary!$D$5:$D$241,"&gt;="&amp;$A95,Summary!$D$5:$D$241,"&lt;"&amp;$A95+7,Summary!$G$5:$G$241,"Yes"))</f>
        <v>0</v>
      </c>
      <c r="V95">
        <f>IF(V55="","",COUNTIFS(Summary!$E$5:$E$241,V55,Summary!$D$5:$D$241,"&gt;="&amp;$A95,Summary!$D$5:$D$241,"&lt;"&amp;$A95+7,Summary!$G$5:$G$241,"Yes"))</f>
        <v>0</v>
      </c>
      <c r="W95">
        <f>IF(W55="","",COUNTIFS(Summary!$E$5:$E$241,W55,Summary!$D$5:$D$241,"&gt;="&amp;$A95,Summary!$D$5:$D$241,"&lt;"&amp;$A95+7,Summary!$G$5:$G$241,"Yes"))</f>
        <v>0</v>
      </c>
      <c r="X95">
        <f>IF(X55="","",COUNTIFS(Summary!$E$5:$E$241,X55,Summary!$D$5:$D$241,"&gt;="&amp;$A95,Summary!$D$5:$D$241,"&lt;"&amp;$A95+7,Summary!$G$5:$G$241,"Yes"))</f>
        <v>0</v>
      </c>
      <c r="Y95">
        <f>IF(Y55="","",COUNTIFS(Summary!$E$5:$E$241,Y55,Summary!$D$5:$D$241,"&gt;="&amp;$A95,Summary!$D$5:$D$241,"&lt;"&amp;$A95+7,Summary!$G$5:$G$241,"Yes"))</f>
        <v>0</v>
      </c>
      <c r="Z95">
        <f>IF(Z55="","",COUNTIFS(Summary!$E$5:$E$241,Z55,Summary!$D$5:$D$241,"&gt;="&amp;$A95,Summary!$D$5:$D$241,"&lt;"&amp;$A95+7,Summary!$G$5:$G$241,"Yes"))</f>
        <v>0</v>
      </c>
      <c r="AA95">
        <f>IF(AA55="","",COUNTIFS(Summary!$E$5:$E$241,AA55,Summary!$D$5:$D$241,"&gt;="&amp;$A95,Summary!$D$5:$D$241,"&lt;"&amp;$A95+7,Summary!$G$5:$G$241,"Yes"))</f>
        <v>0</v>
      </c>
      <c r="AB95">
        <f>IF(AB55="","",COUNTIFS(Summary!$E$5:$E$241,AB55,Summary!$D$5:$D$241,"&gt;="&amp;$A95,Summary!$D$5:$D$241,"&lt;"&amp;$A95+7,Summary!$G$5:$G$241,"Yes"))</f>
        <v>0</v>
      </c>
      <c r="AC95">
        <f>IF(AC55="","",COUNTIFS(Summary!$E$5:$E$241,AC55,Summary!$D$5:$D$241,"&gt;="&amp;$A95,Summary!$D$5:$D$241,"&lt;"&amp;$A95+7,Summary!$G$5:$G$241,"Yes"))</f>
        <v>0</v>
      </c>
      <c r="AD95">
        <f>IF(AD55="","",COUNTIFS(Summary!$E$5:$E$241,AD55,Summary!$D$5:$D$241,"&gt;="&amp;$A95,Summary!$D$5:$D$241,"&lt;"&amp;$A95+7,Summary!$G$5:$G$241,"Yes"))</f>
        <v>0</v>
      </c>
      <c r="AE95">
        <f>IF(AE55="","",COUNTIFS(Summary!$E$5:$E$241,AE55,Summary!$D$5:$D$241,"&gt;="&amp;$A95,Summary!$D$5:$D$241,"&lt;"&amp;$A95+7,Summary!$G$5:$G$241,"Yes"))</f>
        <v>0</v>
      </c>
      <c r="AF95">
        <f>IF(AF55="","",COUNTIFS(Summary!$E$5:$E$241,AF55,Summary!$D$5:$D$241,"&gt;="&amp;$A95,Summary!$D$5:$D$241,"&lt;"&amp;$A95+7,Summary!$G$5:$G$241,"Yes"))</f>
        <v>0</v>
      </c>
      <c r="AG95">
        <f>IF(AG55="","",COUNTIFS(Summary!$E$5:$E$241,AG55,Summary!$D$5:$D$241,"&gt;="&amp;$A95,Summary!$D$5:$D$241,"&lt;"&amp;$A95+7,Summary!$G$5:$G$241,"Yes"))</f>
        <v>0</v>
      </c>
      <c r="AH95">
        <f>IF(AH55="","",COUNTIFS(Summary!$E$5:$E$241,AH55,Summary!$D$5:$D$241,"&gt;="&amp;$A95,Summary!$D$5:$D$241,"&lt;"&amp;$A95+7,Summary!$G$5:$G$241,"Yes"))</f>
        <v>0</v>
      </c>
      <c r="AI95">
        <f>IF(AI55="","",COUNTIFS(Summary!$E$5:$E$241,AI55,Summary!$D$5:$D$241,"&gt;="&amp;$A95,Summary!$D$5:$D$241,"&lt;"&amp;$A95+7,Summary!$G$5:$G$241,"Yes"))</f>
        <v>0</v>
      </c>
      <c r="AJ95">
        <f>IF(AJ55="","",COUNTIFS(Summary!$E$5:$E$241,AJ55,Summary!$D$5:$D$241,"&gt;="&amp;$A95,Summary!$D$5:$D$241,"&lt;"&amp;$A95+7,Summary!$G$5:$G$241,"Yes"))</f>
        <v>0</v>
      </c>
      <c r="AK95">
        <f>IF(AK55="","",COUNTIFS(Summary!$E$5:$E$241,AK55,Summary!$D$5:$D$241,"&gt;="&amp;$A95,Summary!$D$5:$D$241,"&lt;"&amp;$A95+7,Summary!$G$5:$G$241,"Yes"))</f>
        <v>0</v>
      </c>
      <c r="AL95">
        <f>IF(AL55="","",COUNTIFS(Summary!$E$5:$E$241,AL55,Summary!$D$5:$D$241,"&gt;="&amp;$A95,Summary!$D$5:$D$241,"&lt;"&amp;$A95+7,Summary!$G$5:$G$241,"Yes"))</f>
        <v>0</v>
      </c>
      <c r="AM95">
        <f>IF(AM55="","",COUNTIFS(Summary!$E$5:$E$241,AM55,Summary!$D$5:$D$241,"&gt;="&amp;$A95,Summary!$D$5:$D$241,"&lt;"&amp;$A95+7,Summary!$G$5:$G$241,"Yes"))</f>
        <v>0</v>
      </c>
      <c r="AN95">
        <f>IF(AN55="","",COUNTIFS(Summary!$E$5:$E$241,AN55,Summary!$D$5:$D$241,"&gt;="&amp;$A95,Summary!$D$5:$D$241,"&lt;"&amp;$A95+7,Summary!$G$5:$G$241,"Yes"))</f>
        <v>0</v>
      </c>
      <c r="AO95">
        <f>IF(AO55="","",COUNTIFS(Summary!$E$5:$E$241,AO55,Summary!$D$5:$D$241,"&gt;="&amp;$A95,Summary!$D$5:$D$241,"&lt;"&amp;$A95+7,Summary!$G$5:$G$241,"Yes"))</f>
        <v>0</v>
      </c>
      <c r="AP95">
        <f>IF(AP55="","",COUNTIFS(Summary!$E$5:$E$241,AP55,Summary!$D$5:$D$241,"&gt;="&amp;$A95,Summary!$D$5:$D$241,"&lt;"&amp;$A95+7,Summary!$G$5:$G$241,"Yes"))</f>
        <v>0</v>
      </c>
      <c r="AQ95">
        <f>IF(AQ55="","",COUNTIFS(Summary!$E$5:$E$241,AQ55,Summary!$D$5:$D$241,"&gt;="&amp;$A95,Summary!$D$5:$D$241,"&lt;"&amp;$A95+7,Summary!$G$5:$G$241,"Yes"))</f>
        <v>0</v>
      </c>
      <c r="AR95">
        <f>IF(AR55="","",COUNTIFS(Summary!$E$5:$E$241,AR55,Summary!$D$5:$D$241,"&gt;="&amp;$A95,Summary!$D$5:$D$241,"&lt;"&amp;$A95+7,Summary!$G$5:$G$241,"Yes"))</f>
        <v>0</v>
      </c>
      <c r="AS95">
        <f>IF(AS55="","",COUNTIFS(Summary!$E$5:$E$241,AS55,Summary!$D$5:$D$241,"&gt;="&amp;$A95,Summary!$D$5:$D$241,"&lt;"&amp;$A95+7,Summary!$G$5:$G$241,"Yes"))</f>
        <v>0</v>
      </c>
      <c r="AT95">
        <f>IF(AT55="","",COUNTIFS(Summary!$E$5:$E$241,AT55,Summary!$D$5:$D$241,"&gt;="&amp;$A95,Summary!$D$5:$D$241,"&lt;"&amp;$A95+7,Summary!$G$5:$G$241,"Yes"))</f>
        <v>0</v>
      </c>
      <c r="AU95">
        <f>IF(AU55="","",COUNTIFS(Summary!$E$5:$E$241,AU55,Summary!$D$5:$D$241,"&gt;="&amp;$A95,Summary!$D$5:$D$241,"&lt;"&amp;$A95+7,Summary!$G$5:$G$241,"Yes"))</f>
        <v>0</v>
      </c>
      <c r="AV95">
        <f>IF(AV55="","",COUNTIFS(Summary!$E$5:$E$241,AV55,Summary!$D$5:$D$241,"&gt;="&amp;$A95,Summary!$D$5:$D$241,"&lt;"&amp;$A95+7,Summary!$G$5:$G$241,"Yes"))</f>
        <v>0</v>
      </c>
      <c r="AW95">
        <f>IF(AW55="","",COUNTIFS(Summary!$E$5:$E$241,AW55,Summary!$D$5:$D$241,"&gt;="&amp;$A95,Summary!$D$5:$D$241,"&lt;"&amp;$A95+7,Summary!$G$5:$G$241,"Yes"))</f>
        <v>0</v>
      </c>
      <c r="AX95">
        <f>IF(AX55="","",COUNTIFS(Summary!$E$5:$E$241,AX55,Summary!$D$5:$D$241,"&gt;="&amp;$A95,Summary!$D$5:$D$241,"&lt;"&amp;$A95+7,Summary!$G$5:$G$241,"Yes"))</f>
        <v>0</v>
      </c>
      <c r="AY95">
        <f>IF(AY55="","",COUNTIFS(Summary!$E$5:$E$241,AY55,Summary!$D$5:$D$241,"&gt;="&amp;$A95,Summary!$D$5:$D$241,"&lt;"&amp;$A95+7,Summary!$G$5:$G$241,"Yes"))</f>
        <v>0</v>
      </c>
      <c r="AZ95">
        <f>IF(AZ55="","",COUNTIFS(Summary!$E$5:$E$241,AZ55,Summary!$D$5:$D$241,"&gt;="&amp;$A95,Summary!$D$5:$D$241,"&lt;"&amp;$A95+7,Summary!$G$5:$G$241,"Yes"))</f>
        <v>0</v>
      </c>
      <c r="BA95">
        <f>IF(BA55="","",COUNTIFS(Summary!$E$5:$E$241,BA55,Summary!$D$5:$D$241,"&gt;="&amp;$A95,Summary!$D$5:$D$241,"&lt;"&amp;$A95+7,Summary!$G$5:$G$241,"Yes"))</f>
        <v>0</v>
      </c>
      <c r="BB95">
        <f>IF(BB55="","",COUNTIFS(Summary!$E$5:$E$241,BB55,Summary!$D$5:$D$241,"&gt;="&amp;$A95,Summary!$D$5:$D$241,"&lt;"&amp;$A95+7,Summary!$G$5:$G$241,"Yes"))</f>
        <v>0</v>
      </c>
      <c r="BC95">
        <f>IF(BC55="","",COUNTIFS(Summary!$E$5:$E$241,BC55,Summary!$D$5:$D$241,"&gt;="&amp;$A95,Summary!$D$5:$D$241,"&lt;"&amp;$A95+7,Summary!$G$5:$G$241,"Yes"))</f>
        <v>0</v>
      </c>
      <c r="BD95">
        <f>IF(BD55="","",COUNTIFS(Summary!$E$5:$E$241,BD55,Summary!$D$5:$D$241,"&gt;="&amp;$A95,Summary!$D$5:$D$241,"&lt;"&amp;$A95+7,Summary!$G$5:$G$241,"Yes"))</f>
        <v>0</v>
      </c>
      <c r="BE95">
        <f>IF(BE55="","",COUNTIFS(Summary!$E$5:$E$241,BE55,Summary!$D$5:$D$241,"&gt;="&amp;$A95,Summary!$D$5:$D$241,"&lt;"&amp;$A95+7,Summary!$G$5:$G$241,"Yes"))</f>
        <v>0</v>
      </c>
      <c r="BF95" s="28">
        <f>IF(BF55="","",COUNTIFS(Summary!$E$5:$E$241,BF55,Summary!$D$5:$D$241,"&gt;="&amp;$A95,Summary!$D$5:$D$241,"&lt;"&amp;$A95+7,Summary!$G$5:$G$241,"Yes"))</f>
        <v>0</v>
      </c>
    </row>
    <row r="96" spans="1:58">
      <c r="A96" s="18">
        <f t="shared" si="5"/>
        <v>46363</v>
      </c>
      <c r="B96" s="2" t="str">
        <f t="shared" si="4"/>
        <v>Dec 7</v>
      </c>
      <c r="C96">
        <f>IF(C55="","",COUNTIFS(Summary!$E$5:$E$241,C55,Summary!$D$5:$D$241,"&gt;="&amp;$A96,Summary!$D$5:$D$241,"&lt;"&amp;$A96+7,Summary!$G$5:$G$241,"Yes"))</f>
        <v>0</v>
      </c>
      <c r="D96">
        <f>IF(D55="","",COUNTIFS(Summary!$E$5:$E$241,D55,Summary!$D$5:$D$241,"&gt;="&amp;$A96,Summary!$D$5:$D$241,"&lt;"&amp;$A96+7,Summary!$G$5:$G$241,"Yes"))</f>
        <v>0</v>
      </c>
      <c r="E96">
        <f>IF(E55="","",COUNTIFS(Summary!$E$5:$E$241,E55,Summary!$D$5:$D$241,"&gt;="&amp;$A96,Summary!$D$5:$D$241,"&lt;"&amp;$A96+7,Summary!$G$5:$G$241,"Yes"))</f>
        <v>0</v>
      </c>
      <c r="F96">
        <f>IF(F55="","",COUNTIFS(Summary!$E$5:$E$241,F55,Summary!$D$5:$D$241,"&gt;="&amp;$A96,Summary!$D$5:$D$241,"&lt;"&amp;$A96+7,Summary!$G$5:$G$241,"Yes"))</f>
        <v>0</v>
      </c>
      <c r="G96">
        <f>IF(G55="","",COUNTIFS(Summary!$E$5:$E$241,G55,Summary!$D$5:$D$241,"&gt;="&amp;$A96,Summary!$D$5:$D$241,"&lt;"&amp;$A96+7,Summary!$G$5:$G$241,"Yes"))</f>
        <v>0</v>
      </c>
      <c r="H96">
        <f>IF(H55="","",COUNTIFS(Summary!$E$5:$E$241,H55,Summary!$D$5:$D$241,"&gt;="&amp;$A96,Summary!$D$5:$D$241,"&lt;"&amp;$A96+7,Summary!$G$5:$G$241,"Yes"))</f>
        <v>0</v>
      </c>
      <c r="I96">
        <f>IF(I55="","",COUNTIFS(Summary!$E$5:$E$241,I55,Summary!$D$5:$D$241,"&gt;="&amp;$A96,Summary!$D$5:$D$241,"&lt;"&amp;$A96+7,Summary!$G$5:$G$241,"Yes"))</f>
        <v>0</v>
      </c>
      <c r="J96">
        <f>IF(J55="","",COUNTIFS(Summary!$E$5:$E$241,J55,Summary!$D$5:$D$241,"&gt;="&amp;$A96,Summary!$D$5:$D$241,"&lt;"&amp;$A96+7,Summary!$G$5:$G$241,"Yes"))</f>
        <v>0</v>
      </c>
      <c r="K96">
        <f>IF(K55="","",COUNTIFS(Summary!$E$5:$E$241,K55,Summary!$D$5:$D$241,"&gt;="&amp;$A96,Summary!$D$5:$D$241,"&lt;"&amp;$A96+7,Summary!$G$5:$G$241,"Yes"))</f>
        <v>0</v>
      </c>
      <c r="L96">
        <f>IF(L55="","",COUNTIFS(Summary!$E$5:$E$241,L55,Summary!$D$5:$D$241,"&gt;="&amp;$A96,Summary!$D$5:$D$241,"&lt;"&amp;$A96+7,Summary!$G$5:$G$241,"Yes"))</f>
        <v>0</v>
      </c>
      <c r="M96">
        <f>IF(M55="","",COUNTIFS(Summary!$E$5:$E$241,M55,Summary!$D$5:$D$241,"&gt;="&amp;$A96,Summary!$D$5:$D$241,"&lt;"&amp;$A96+7,Summary!$G$5:$G$241,"Yes"))</f>
        <v>0</v>
      </c>
      <c r="N96">
        <f>IF(N55="","",COUNTIFS(Summary!$E$5:$E$241,N55,Summary!$D$5:$D$241,"&gt;="&amp;$A96,Summary!$D$5:$D$241,"&lt;"&amp;$A96+7,Summary!$G$5:$G$241,"Yes"))</f>
        <v>0</v>
      </c>
      <c r="O96">
        <f>IF(O55="","",COUNTIFS(Summary!$E$5:$E$241,O55,Summary!$D$5:$D$241,"&gt;="&amp;$A96,Summary!$D$5:$D$241,"&lt;"&amp;$A96+7,Summary!$G$5:$G$241,"Yes"))</f>
        <v>0</v>
      </c>
      <c r="P96">
        <f>IF(P55="","",COUNTIFS(Summary!$E$5:$E$241,P55,Summary!$D$5:$D$241,"&gt;="&amp;$A96,Summary!$D$5:$D$241,"&lt;"&amp;$A96+7,Summary!$G$5:$G$241,"Yes"))</f>
        <v>0</v>
      </c>
      <c r="Q96">
        <f>IF(Q55="","",COUNTIFS(Summary!$E$5:$E$241,Q55,Summary!$D$5:$D$241,"&gt;="&amp;$A96,Summary!$D$5:$D$241,"&lt;"&amp;$A96+7,Summary!$G$5:$G$241,"Yes"))</f>
        <v>0</v>
      </c>
      <c r="R96">
        <f>IF(R55="","",COUNTIFS(Summary!$E$5:$E$241,R55,Summary!$D$5:$D$241,"&gt;="&amp;$A96,Summary!$D$5:$D$241,"&lt;"&amp;$A96+7,Summary!$G$5:$G$241,"Yes"))</f>
        <v>0</v>
      </c>
      <c r="S96">
        <f>IF(S55="","",COUNTIFS(Summary!$E$5:$E$241,S55,Summary!$D$5:$D$241,"&gt;="&amp;$A96,Summary!$D$5:$D$241,"&lt;"&amp;$A96+7,Summary!$G$5:$G$241,"Yes"))</f>
        <v>0</v>
      </c>
      <c r="T96">
        <f>IF(T55="","",COUNTIFS(Summary!$E$5:$E$241,T55,Summary!$D$5:$D$241,"&gt;="&amp;$A96,Summary!$D$5:$D$241,"&lt;"&amp;$A96+7,Summary!$G$5:$G$241,"Yes"))</f>
        <v>0</v>
      </c>
      <c r="U96">
        <f>IF(U55="","",COUNTIFS(Summary!$E$5:$E$241,U55,Summary!$D$5:$D$241,"&gt;="&amp;$A96,Summary!$D$5:$D$241,"&lt;"&amp;$A96+7,Summary!$G$5:$G$241,"Yes"))</f>
        <v>0</v>
      </c>
      <c r="V96">
        <f>IF(V55="","",COUNTIFS(Summary!$E$5:$E$241,V55,Summary!$D$5:$D$241,"&gt;="&amp;$A96,Summary!$D$5:$D$241,"&lt;"&amp;$A96+7,Summary!$G$5:$G$241,"Yes"))</f>
        <v>0</v>
      </c>
      <c r="W96">
        <f>IF(W55="","",COUNTIFS(Summary!$E$5:$E$241,W55,Summary!$D$5:$D$241,"&gt;="&amp;$A96,Summary!$D$5:$D$241,"&lt;"&amp;$A96+7,Summary!$G$5:$G$241,"Yes"))</f>
        <v>0</v>
      </c>
      <c r="X96">
        <f>IF(X55="","",COUNTIFS(Summary!$E$5:$E$241,X55,Summary!$D$5:$D$241,"&gt;="&amp;$A96,Summary!$D$5:$D$241,"&lt;"&amp;$A96+7,Summary!$G$5:$G$241,"Yes"))</f>
        <v>0</v>
      </c>
      <c r="Y96">
        <f>IF(Y55="","",COUNTIFS(Summary!$E$5:$E$241,Y55,Summary!$D$5:$D$241,"&gt;="&amp;$A96,Summary!$D$5:$D$241,"&lt;"&amp;$A96+7,Summary!$G$5:$G$241,"Yes"))</f>
        <v>0</v>
      </c>
      <c r="Z96">
        <f>IF(Z55="","",COUNTIFS(Summary!$E$5:$E$241,Z55,Summary!$D$5:$D$241,"&gt;="&amp;$A96,Summary!$D$5:$D$241,"&lt;"&amp;$A96+7,Summary!$G$5:$G$241,"Yes"))</f>
        <v>0</v>
      </c>
      <c r="AA96">
        <f>IF(AA55="","",COUNTIFS(Summary!$E$5:$E$241,AA55,Summary!$D$5:$D$241,"&gt;="&amp;$A96,Summary!$D$5:$D$241,"&lt;"&amp;$A96+7,Summary!$G$5:$G$241,"Yes"))</f>
        <v>0</v>
      </c>
      <c r="AB96">
        <f>IF(AB55="","",COUNTIFS(Summary!$E$5:$E$241,AB55,Summary!$D$5:$D$241,"&gt;="&amp;$A96,Summary!$D$5:$D$241,"&lt;"&amp;$A96+7,Summary!$G$5:$G$241,"Yes"))</f>
        <v>0</v>
      </c>
      <c r="AC96">
        <f>IF(AC55="","",COUNTIFS(Summary!$E$5:$E$241,AC55,Summary!$D$5:$D$241,"&gt;="&amp;$A96,Summary!$D$5:$D$241,"&lt;"&amp;$A96+7,Summary!$G$5:$G$241,"Yes"))</f>
        <v>0</v>
      </c>
      <c r="AD96">
        <f>IF(AD55="","",COUNTIFS(Summary!$E$5:$E$241,AD55,Summary!$D$5:$D$241,"&gt;="&amp;$A96,Summary!$D$5:$D$241,"&lt;"&amp;$A96+7,Summary!$G$5:$G$241,"Yes"))</f>
        <v>0</v>
      </c>
      <c r="AE96">
        <f>IF(AE55="","",COUNTIFS(Summary!$E$5:$E$241,AE55,Summary!$D$5:$D$241,"&gt;="&amp;$A96,Summary!$D$5:$D$241,"&lt;"&amp;$A96+7,Summary!$G$5:$G$241,"Yes"))</f>
        <v>0</v>
      </c>
      <c r="AF96">
        <f>IF(AF55="","",COUNTIFS(Summary!$E$5:$E$241,AF55,Summary!$D$5:$D$241,"&gt;="&amp;$A96,Summary!$D$5:$D$241,"&lt;"&amp;$A96+7,Summary!$G$5:$G$241,"Yes"))</f>
        <v>0</v>
      </c>
      <c r="AG96">
        <f>IF(AG55="","",COUNTIFS(Summary!$E$5:$E$241,AG55,Summary!$D$5:$D$241,"&gt;="&amp;$A96,Summary!$D$5:$D$241,"&lt;"&amp;$A96+7,Summary!$G$5:$G$241,"Yes"))</f>
        <v>0</v>
      </c>
      <c r="AH96">
        <f>IF(AH55="","",COUNTIFS(Summary!$E$5:$E$241,AH55,Summary!$D$5:$D$241,"&gt;="&amp;$A96,Summary!$D$5:$D$241,"&lt;"&amp;$A96+7,Summary!$G$5:$G$241,"Yes"))</f>
        <v>0</v>
      </c>
      <c r="AI96">
        <f>IF(AI55="","",COUNTIFS(Summary!$E$5:$E$241,AI55,Summary!$D$5:$D$241,"&gt;="&amp;$A96,Summary!$D$5:$D$241,"&lt;"&amp;$A96+7,Summary!$G$5:$G$241,"Yes"))</f>
        <v>0</v>
      </c>
      <c r="AJ96">
        <f>IF(AJ55="","",COUNTIFS(Summary!$E$5:$E$241,AJ55,Summary!$D$5:$D$241,"&gt;="&amp;$A96,Summary!$D$5:$D$241,"&lt;"&amp;$A96+7,Summary!$G$5:$G$241,"Yes"))</f>
        <v>0</v>
      </c>
      <c r="AK96">
        <f>IF(AK55="","",COUNTIFS(Summary!$E$5:$E$241,AK55,Summary!$D$5:$D$241,"&gt;="&amp;$A96,Summary!$D$5:$D$241,"&lt;"&amp;$A96+7,Summary!$G$5:$G$241,"Yes"))</f>
        <v>0</v>
      </c>
      <c r="AL96">
        <f>IF(AL55="","",COUNTIFS(Summary!$E$5:$E$241,AL55,Summary!$D$5:$D$241,"&gt;="&amp;$A96,Summary!$D$5:$D$241,"&lt;"&amp;$A96+7,Summary!$G$5:$G$241,"Yes"))</f>
        <v>0</v>
      </c>
      <c r="AM96">
        <f>IF(AM55="","",COUNTIFS(Summary!$E$5:$E$241,AM55,Summary!$D$5:$D$241,"&gt;="&amp;$A96,Summary!$D$5:$D$241,"&lt;"&amp;$A96+7,Summary!$G$5:$G$241,"Yes"))</f>
        <v>0</v>
      </c>
      <c r="AN96">
        <f>IF(AN55="","",COUNTIFS(Summary!$E$5:$E$241,AN55,Summary!$D$5:$D$241,"&gt;="&amp;$A96,Summary!$D$5:$D$241,"&lt;"&amp;$A96+7,Summary!$G$5:$G$241,"Yes"))</f>
        <v>0</v>
      </c>
      <c r="AO96">
        <f>IF(AO55="","",COUNTIFS(Summary!$E$5:$E$241,AO55,Summary!$D$5:$D$241,"&gt;="&amp;$A96,Summary!$D$5:$D$241,"&lt;"&amp;$A96+7,Summary!$G$5:$G$241,"Yes"))</f>
        <v>0</v>
      </c>
      <c r="AP96">
        <f>IF(AP55="","",COUNTIFS(Summary!$E$5:$E$241,AP55,Summary!$D$5:$D$241,"&gt;="&amp;$A96,Summary!$D$5:$D$241,"&lt;"&amp;$A96+7,Summary!$G$5:$G$241,"Yes"))</f>
        <v>0</v>
      </c>
      <c r="AQ96">
        <f>IF(AQ55="","",COUNTIFS(Summary!$E$5:$E$241,AQ55,Summary!$D$5:$D$241,"&gt;="&amp;$A96,Summary!$D$5:$D$241,"&lt;"&amp;$A96+7,Summary!$G$5:$G$241,"Yes"))</f>
        <v>0</v>
      </c>
      <c r="AR96">
        <f>IF(AR55="","",COUNTIFS(Summary!$E$5:$E$241,AR55,Summary!$D$5:$D$241,"&gt;="&amp;$A96,Summary!$D$5:$D$241,"&lt;"&amp;$A96+7,Summary!$G$5:$G$241,"Yes"))</f>
        <v>0</v>
      </c>
      <c r="AS96">
        <f>IF(AS55="","",COUNTIFS(Summary!$E$5:$E$241,AS55,Summary!$D$5:$D$241,"&gt;="&amp;$A96,Summary!$D$5:$D$241,"&lt;"&amp;$A96+7,Summary!$G$5:$G$241,"Yes"))</f>
        <v>0</v>
      </c>
      <c r="AT96">
        <f>IF(AT55="","",COUNTIFS(Summary!$E$5:$E$241,AT55,Summary!$D$5:$D$241,"&gt;="&amp;$A96,Summary!$D$5:$D$241,"&lt;"&amp;$A96+7,Summary!$G$5:$G$241,"Yes"))</f>
        <v>0</v>
      </c>
      <c r="AU96">
        <f>IF(AU55="","",COUNTIFS(Summary!$E$5:$E$241,AU55,Summary!$D$5:$D$241,"&gt;="&amp;$A96,Summary!$D$5:$D$241,"&lt;"&amp;$A96+7,Summary!$G$5:$G$241,"Yes"))</f>
        <v>0</v>
      </c>
      <c r="AV96">
        <f>IF(AV55="","",COUNTIFS(Summary!$E$5:$E$241,AV55,Summary!$D$5:$D$241,"&gt;="&amp;$A96,Summary!$D$5:$D$241,"&lt;"&amp;$A96+7,Summary!$G$5:$G$241,"Yes"))</f>
        <v>0</v>
      </c>
      <c r="AW96">
        <f>IF(AW55="","",COUNTIFS(Summary!$E$5:$E$241,AW55,Summary!$D$5:$D$241,"&gt;="&amp;$A96,Summary!$D$5:$D$241,"&lt;"&amp;$A96+7,Summary!$G$5:$G$241,"Yes"))</f>
        <v>0</v>
      </c>
      <c r="AX96">
        <f>IF(AX55="","",COUNTIFS(Summary!$E$5:$E$241,AX55,Summary!$D$5:$D$241,"&gt;="&amp;$A96,Summary!$D$5:$D$241,"&lt;"&amp;$A96+7,Summary!$G$5:$G$241,"Yes"))</f>
        <v>0</v>
      </c>
      <c r="AY96">
        <f>IF(AY55="","",COUNTIFS(Summary!$E$5:$E$241,AY55,Summary!$D$5:$D$241,"&gt;="&amp;$A96,Summary!$D$5:$D$241,"&lt;"&amp;$A96+7,Summary!$G$5:$G$241,"Yes"))</f>
        <v>0</v>
      </c>
      <c r="AZ96">
        <f>IF(AZ55="","",COUNTIFS(Summary!$E$5:$E$241,AZ55,Summary!$D$5:$D$241,"&gt;="&amp;$A96,Summary!$D$5:$D$241,"&lt;"&amp;$A96+7,Summary!$G$5:$G$241,"Yes"))</f>
        <v>0</v>
      </c>
      <c r="BA96">
        <f>IF(BA55="","",COUNTIFS(Summary!$E$5:$E$241,BA55,Summary!$D$5:$D$241,"&gt;="&amp;$A96,Summary!$D$5:$D$241,"&lt;"&amp;$A96+7,Summary!$G$5:$G$241,"Yes"))</f>
        <v>0</v>
      </c>
      <c r="BB96">
        <f>IF(BB55="","",COUNTIFS(Summary!$E$5:$E$241,BB55,Summary!$D$5:$D$241,"&gt;="&amp;$A96,Summary!$D$5:$D$241,"&lt;"&amp;$A96+7,Summary!$G$5:$G$241,"Yes"))</f>
        <v>0</v>
      </c>
      <c r="BC96">
        <f>IF(BC55="","",COUNTIFS(Summary!$E$5:$E$241,BC55,Summary!$D$5:$D$241,"&gt;="&amp;$A96,Summary!$D$5:$D$241,"&lt;"&amp;$A96+7,Summary!$G$5:$G$241,"Yes"))</f>
        <v>0</v>
      </c>
      <c r="BD96">
        <f>IF(BD55="","",COUNTIFS(Summary!$E$5:$E$241,BD55,Summary!$D$5:$D$241,"&gt;="&amp;$A96,Summary!$D$5:$D$241,"&lt;"&amp;$A96+7,Summary!$G$5:$G$241,"Yes"))</f>
        <v>0</v>
      </c>
      <c r="BE96">
        <f>IF(BE55="","",COUNTIFS(Summary!$E$5:$E$241,BE55,Summary!$D$5:$D$241,"&gt;="&amp;$A96,Summary!$D$5:$D$241,"&lt;"&amp;$A96+7,Summary!$G$5:$G$241,"Yes"))</f>
        <v>0</v>
      </c>
      <c r="BF96" s="28">
        <f>IF(BF55="","",COUNTIFS(Summary!$E$5:$E$241,BF55,Summary!$D$5:$D$241,"&gt;="&amp;$A96,Summary!$D$5:$D$241,"&lt;"&amp;$A96+7,Summary!$G$5:$G$241,"Yes"))</f>
        <v>0</v>
      </c>
    </row>
    <row r="97" spans="1:58">
      <c r="A97" s="18">
        <f t="shared" si="5"/>
        <v>46370</v>
      </c>
      <c r="B97" s="2" t="str">
        <f t="shared" si="4"/>
        <v>Dec 14</v>
      </c>
      <c r="C97">
        <f>IF(C55="","",COUNTIFS(Summary!$E$5:$E$241,C55,Summary!$D$5:$D$241,"&gt;="&amp;$A97,Summary!$D$5:$D$241,"&lt;"&amp;$A97+7,Summary!$G$5:$G$241,"Yes"))</f>
        <v>0</v>
      </c>
      <c r="D97">
        <f>IF(D55="","",COUNTIFS(Summary!$E$5:$E$241,D55,Summary!$D$5:$D$241,"&gt;="&amp;$A97,Summary!$D$5:$D$241,"&lt;"&amp;$A97+7,Summary!$G$5:$G$241,"Yes"))</f>
        <v>0</v>
      </c>
      <c r="E97">
        <f>IF(E55="","",COUNTIFS(Summary!$E$5:$E$241,E55,Summary!$D$5:$D$241,"&gt;="&amp;$A97,Summary!$D$5:$D$241,"&lt;"&amp;$A97+7,Summary!$G$5:$G$241,"Yes"))</f>
        <v>0</v>
      </c>
      <c r="F97">
        <f>IF(F55="","",COUNTIFS(Summary!$E$5:$E$241,F55,Summary!$D$5:$D$241,"&gt;="&amp;$A97,Summary!$D$5:$D$241,"&lt;"&amp;$A97+7,Summary!$G$5:$G$241,"Yes"))</f>
        <v>0</v>
      </c>
      <c r="G97">
        <f>IF(G55="","",COUNTIFS(Summary!$E$5:$E$241,G55,Summary!$D$5:$D$241,"&gt;="&amp;$A97,Summary!$D$5:$D$241,"&lt;"&amp;$A97+7,Summary!$G$5:$G$241,"Yes"))</f>
        <v>0</v>
      </c>
      <c r="H97">
        <f>IF(H55="","",COUNTIFS(Summary!$E$5:$E$241,H55,Summary!$D$5:$D$241,"&gt;="&amp;$A97,Summary!$D$5:$D$241,"&lt;"&amp;$A97+7,Summary!$G$5:$G$241,"Yes"))</f>
        <v>0</v>
      </c>
      <c r="I97">
        <f>IF(I55="","",COUNTIFS(Summary!$E$5:$E$241,I55,Summary!$D$5:$D$241,"&gt;="&amp;$A97,Summary!$D$5:$D$241,"&lt;"&amp;$A97+7,Summary!$G$5:$G$241,"Yes"))</f>
        <v>0</v>
      </c>
      <c r="J97">
        <f>IF(J55="","",COUNTIFS(Summary!$E$5:$E$241,J55,Summary!$D$5:$D$241,"&gt;="&amp;$A97,Summary!$D$5:$D$241,"&lt;"&amp;$A97+7,Summary!$G$5:$G$241,"Yes"))</f>
        <v>0</v>
      </c>
      <c r="K97">
        <f>IF(K55="","",COUNTIFS(Summary!$E$5:$E$241,K55,Summary!$D$5:$D$241,"&gt;="&amp;$A97,Summary!$D$5:$D$241,"&lt;"&amp;$A97+7,Summary!$G$5:$G$241,"Yes"))</f>
        <v>0</v>
      </c>
      <c r="L97">
        <f>IF(L55="","",COUNTIFS(Summary!$E$5:$E$241,L55,Summary!$D$5:$D$241,"&gt;="&amp;$A97,Summary!$D$5:$D$241,"&lt;"&amp;$A97+7,Summary!$G$5:$G$241,"Yes"))</f>
        <v>0</v>
      </c>
      <c r="M97">
        <f>IF(M55="","",COUNTIFS(Summary!$E$5:$E$241,M55,Summary!$D$5:$D$241,"&gt;="&amp;$A97,Summary!$D$5:$D$241,"&lt;"&amp;$A97+7,Summary!$G$5:$G$241,"Yes"))</f>
        <v>0</v>
      </c>
      <c r="N97">
        <f>IF(N55="","",COUNTIFS(Summary!$E$5:$E$241,N55,Summary!$D$5:$D$241,"&gt;="&amp;$A97,Summary!$D$5:$D$241,"&lt;"&amp;$A97+7,Summary!$G$5:$G$241,"Yes"))</f>
        <v>0</v>
      </c>
      <c r="O97">
        <f>IF(O55="","",COUNTIFS(Summary!$E$5:$E$241,O55,Summary!$D$5:$D$241,"&gt;="&amp;$A97,Summary!$D$5:$D$241,"&lt;"&amp;$A97+7,Summary!$G$5:$G$241,"Yes"))</f>
        <v>0</v>
      </c>
      <c r="P97">
        <f>IF(P55="","",COUNTIFS(Summary!$E$5:$E$241,P55,Summary!$D$5:$D$241,"&gt;="&amp;$A97,Summary!$D$5:$D$241,"&lt;"&amp;$A97+7,Summary!$G$5:$G$241,"Yes"))</f>
        <v>0</v>
      </c>
      <c r="Q97">
        <f>IF(Q55="","",COUNTIFS(Summary!$E$5:$E$241,Q55,Summary!$D$5:$D$241,"&gt;="&amp;$A97,Summary!$D$5:$D$241,"&lt;"&amp;$A97+7,Summary!$G$5:$G$241,"Yes"))</f>
        <v>0</v>
      </c>
      <c r="R97">
        <f>IF(R55="","",COUNTIFS(Summary!$E$5:$E$241,R55,Summary!$D$5:$D$241,"&gt;="&amp;$A97,Summary!$D$5:$D$241,"&lt;"&amp;$A97+7,Summary!$G$5:$G$241,"Yes"))</f>
        <v>0</v>
      </c>
      <c r="S97">
        <f>IF(S55="","",COUNTIFS(Summary!$E$5:$E$241,S55,Summary!$D$5:$D$241,"&gt;="&amp;$A97,Summary!$D$5:$D$241,"&lt;"&amp;$A97+7,Summary!$G$5:$G$241,"Yes"))</f>
        <v>0</v>
      </c>
      <c r="T97">
        <f>IF(T55="","",COUNTIFS(Summary!$E$5:$E$241,T55,Summary!$D$5:$D$241,"&gt;="&amp;$A97,Summary!$D$5:$D$241,"&lt;"&amp;$A97+7,Summary!$G$5:$G$241,"Yes"))</f>
        <v>0</v>
      </c>
      <c r="U97">
        <f>IF(U55="","",COUNTIFS(Summary!$E$5:$E$241,U55,Summary!$D$5:$D$241,"&gt;="&amp;$A97,Summary!$D$5:$D$241,"&lt;"&amp;$A97+7,Summary!$G$5:$G$241,"Yes"))</f>
        <v>0</v>
      </c>
      <c r="V97">
        <f>IF(V55="","",COUNTIFS(Summary!$E$5:$E$241,V55,Summary!$D$5:$D$241,"&gt;="&amp;$A97,Summary!$D$5:$D$241,"&lt;"&amp;$A97+7,Summary!$G$5:$G$241,"Yes"))</f>
        <v>0</v>
      </c>
      <c r="W97">
        <f>IF(W55="","",COUNTIFS(Summary!$E$5:$E$241,W55,Summary!$D$5:$D$241,"&gt;="&amp;$A97,Summary!$D$5:$D$241,"&lt;"&amp;$A97+7,Summary!$G$5:$G$241,"Yes"))</f>
        <v>0</v>
      </c>
      <c r="X97">
        <f>IF(X55="","",COUNTIFS(Summary!$E$5:$E$241,X55,Summary!$D$5:$D$241,"&gt;="&amp;$A97,Summary!$D$5:$D$241,"&lt;"&amp;$A97+7,Summary!$G$5:$G$241,"Yes"))</f>
        <v>0</v>
      </c>
      <c r="Y97">
        <f>IF(Y55="","",COUNTIFS(Summary!$E$5:$E$241,Y55,Summary!$D$5:$D$241,"&gt;="&amp;$A97,Summary!$D$5:$D$241,"&lt;"&amp;$A97+7,Summary!$G$5:$G$241,"Yes"))</f>
        <v>0</v>
      </c>
      <c r="Z97">
        <f>IF(Z55="","",COUNTIFS(Summary!$E$5:$E$241,Z55,Summary!$D$5:$D$241,"&gt;="&amp;$A97,Summary!$D$5:$D$241,"&lt;"&amp;$A97+7,Summary!$G$5:$G$241,"Yes"))</f>
        <v>0</v>
      </c>
      <c r="AA97">
        <f>IF(AA55="","",COUNTIFS(Summary!$E$5:$E$241,AA55,Summary!$D$5:$D$241,"&gt;="&amp;$A97,Summary!$D$5:$D$241,"&lt;"&amp;$A97+7,Summary!$G$5:$G$241,"Yes"))</f>
        <v>0</v>
      </c>
      <c r="AB97">
        <f>IF(AB55="","",COUNTIFS(Summary!$E$5:$E$241,AB55,Summary!$D$5:$D$241,"&gt;="&amp;$A97,Summary!$D$5:$D$241,"&lt;"&amp;$A97+7,Summary!$G$5:$G$241,"Yes"))</f>
        <v>0</v>
      </c>
      <c r="AC97">
        <f>IF(AC55="","",COUNTIFS(Summary!$E$5:$E$241,AC55,Summary!$D$5:$D$241,"&gt;="&amp;$A97,Summary!$D$5:$D$241,"&lt;"&amp;$A97+7,Summary!$G$5:$G$241,"Yes"))</f>
        <v>0</v>
      </c>
      <c r="AD97">
        <f>IF(AD55="","",COUNTIFS(Summary!$E$5:$E$241,AD55,Summary!$D$5:$D$241,"&gt;="&amp;$A97,Summary!$D$5:$D$241,"&lt;"&amp;$A97+7,Summary!$G$5:$G$241,"Yes"))</f>
        <v>0</v>
      </c>
      <c r="AE97">
        <f>IF(AE55="","",COUNTIFS(Summary!$E$5:$E$241,AE55,Summary!$D$5:$D$241,"&gt;="&amp;$A97,Summary!$D$5:$D$241,"&lt;"&amp;$A97+7,Summary!$G$5:$G$241,"Yes"))</f>
        <v>0</v>
      </c>
      <c r="AF97">
        <f>IF(AF55="","",COUNTIFS(Summary!$E$5:$E$241,AF55,Summary!$D$5:$D$241,"&gt;="&amp;$A97,Summary!$D$5:$D$241,"&lt;"&amp;$A97+7,Summary!$G$5:$G$241,"Yes"))</f>
        <v>0</v>
      </c>
      <c r="AG97">
        <f>IF(AG55="","",COUNTIFS(Summary!$E$5:$E$241,AG55,Summary!$D$5:$D$241,"&gt;="&amp;$A97,Summary!$D$5:$D$241,"&lt;"&amp;$A97+7,Summary!$G$5:$G$241,"Yes"))</f>
        <v>0</v>
      </c>
      <c r="AH97">
        <f>IF(AH55="","",COUNTIFS(Summary!$E$5:$E$241,AH55,Summary!$D$5:$D$241,"&gt;="&amp;$A97,Summary!$D$5:$D$241,"&lt;"&amp;$A97+7,Summary!$G$5:$G$241,"Yes"))</f>
        <v>0</v>
      </c>
      <c r="AI97">
        <f>IF(AI55="","",COUNTIFS(Summary!$E$5:$E$241,AI55,Summary!$D$5:$D$241,"&gt;="&amp;$A97,Summary!$D$5:$D$241,"&lt;"&amp;$A97+7,Summary!$G$5:$G$241,"Yes"))</f>
        <v>0</v>
      </c>
      <c r="AJ97">
        <f>IF(AJ55="","",COUNTIFS(Summary!$E$5:$E$241,AJ55,Summary!$D$5:$D$241,"&gt;="&amp;$A97,Summary!$D$5:$D$241,"&lt;"&amp;$A97+7,Summary!$G$5:$G$241,"Yes"))</f>
        <v>0</v>
      </c>
      <c r="AK97">
        <f>IF(AK55="","",COUNTIFS(Summary!$E$5:$E$241,AK55,Summary!$D$5:$D$241,"&gt;="&amp;$A97,Summary!$D$5:$D$241,"&lt;"&amp;$A97+7,Summary!$G$5:$G$241,"Yes"))</f>
        <v>0</v>
      </c>
      <c r="AL97">
        <f>IF(AL55="","",COUNTIFS(Summary!$E$5:$E$241,AL55,Summary!$D$5:$D$241,"&gt;="&amp;$A97,Summary!$D$5:$D$241,"&lt;"&amp;$A97+7,Summary!$G$5:$G$241,"Yes"))</f>
        <v>0</v>
      </c>
      <c r="AM97">
        <f>IF(AM55="","",COUNTIFS(Summary!$E$5:$E$241,AM55,Summary!$D$5:$D$241,"&gt;="&amp;$A97,Summary!$D$5:$D$241,"&lt;"&amp;$A97+7,Summary!$G$5:$G$241,"Yes"))</f>
        <v>0</v>
      </c>
      <c r="AN97">
        <f>IF(AN55="","",COUNTIFS(Summary!$E$5:$E$241,AN55,Summary!$D$5:$D$241,"&gt;="&amp;$A97,Summary!$D$5:$D$241,"&lt;"&amp;$A97+7,Summary!$G$5:$G$241,"Yes"))</f>
        <v>0</v>
      </c>
      <c r="AO97">
        <f>IF(AO55="","",COUNTIFS(Summary!$E$5:$E$241,AO55,Summary!$D$5:$D$241,"&gt;="&amp;$A97,Summary!$D$5:$D$241,"&lt;"&amp;$A97+7,Summary!$G$5:$G$241,"Yes"))</f>
        <v>0</v>
      </c>
      <c r="AP97">
        <f>IF(AP55="","",COUNTIFS(Summary!$E$5:$E$241,AP55,Summary!$D$5:$D$241,"&gt;="&amp;$A97,Summary!$D$5:$D$241,"&lt;"&amp;$A97+7,Summary!$G$5:$G$241,"Yes"))</f>
        <v>0</v>
      </c>
      <c r="AQ97">
        <f>IF(AQ55="","",COUNTIFS(Summary!$E$5:$E$241,AQ55,Summary!$D$5:$D$241,"&gt;="&amp;$A97,Summary!$D$5:$D$241,"&lt;"&amp;$A97+7,Summary!$G$5:$G$241,"Yes"))</f>
        <v>0</v>
      </c>
      <c r="AR97">
        <f>IF(AR55="","",COUNTIFS(Summary!$E$5:$E$241,AR55,Summary!$D$5:$D$241,"&gt;="&amp;$A97,Summary!$D$5:$D$241,"&lt;"&amp;$A97+7,Summary!$G$5:$G$241,"Yes"))</f>
        <v>0</v>
      </c>
      <c r="AS97">
        <f>IF(AS55="","",COUNTIFS(Summary!$E$5:$E$241,AS55,Summary!$D$5:$D$241,"&gt;="&amp;$A97,Summary!$D$5:$D$241,"&lt;"&amp;$A97+7,Summary!$G$5:$G$241,"Yes"))</f>
        <v>0</v>
      </c>
      <c r="AT97">
        <f>IF(AT55="","",COUNTIFS(Summary!$E$5:$E$241,AT55,Summary!$D$5:$D$241,"&gt;="&amp;$A97,Summary!$D$5:$D$241,"&lt;"&amp;$A97+7,Summary!$G$5:$G$241,"Yes"))</f>
        <v>0</v>
      </c>
      <c r="AU97">
        <f>IF(AU55="","",COUNTIFS(Summary!$E$5:$E$241,AU55,Summary!$D$5:$D$241,"&gt;="&amp;$A97,Summary!$D$5:$D$241,"&lt;"&amp;$A97+7,Summary!$G$5:$G$241,"Yes"))</f>
        <v>0</v>
      </c>
      <c r="AV97">
        <f>IF(AV55="","",COUNTIFS(Summary!$E$5:$E$241,AV55,Summary!$D$5:$D$241,"&gt;="&amp;$A97,Summary!$D$5:$D$241,"&lt;"&amp;$A97+7,Summary!$G$5:$G$241,"Yes"))</f>
        <v>0</v>
      </c>
      <c r="AW97">
        <f>IF(AW55="","",COUNTIFS(Summary!$E$5:$E$241,AW55,Summary!$D$5:$D$241,"&gt;="&amp;$A97,Summary!$D$5:$D$241,"&lt;"&amp;$A97+7,Summary!$G$5:$G$241,"Yes"))</f>
        <v>0</v>
      </c>
      <c r="AX97">
        <f>IF(AX55="","",COUNTIFS(Summary!$E$5:$E$241,AX55,Summary!$D$5:$D$241,"&gt;="&amp;$A97,Summary!$D$5:$D$241,"&lt;"&amp;$A97+7,Summary!$G$5:$G$241,"Yes"))</f>
        <v>0</v>
      </c>
      <c r="AY97">
        <f>IF(AY55="","",COUNTIFS(Summary!$E$5:$E$241,AY55,Summary!$D$5:$D$241,"&gt;="&amp;$A97,Summary!$D$5:$D$241,"&lt;"&amp;$A97+7,Summary!$G$5:$G$241,"Yes"))</f>
        <v>0</v>
      </c>
      <c r="AZ97">
        <f>IF(AZ55="","",COUNTIFS(Summary!$E$5:$E$241,AZ55,Summary!$D$5:$D$241,"&gt;="&amp;$A97,Summary!$D$5:$D$241,"&lt;"&amp;$A97+7,Summary!$G$5:$G$241,"Yes"))</f>
        <v>0</v>
      </c>
      <c r="BA97">
        <f>IF(BA55="","",COUNTIFS(Summary!$E$5:$E$241,BA55,Summary!$D$5:$D$241,"&gt;="&amp;$A97,Summary!$D$5:$D$241,"&lt;"&amp;$A97+7,Summary!$G$5:$G$241,"Yes"))</f>
        <v>0</v>
      </c>
      <c r="BB97">
        <f>IF(BB55="","",COUNTIFS(Summary!$E$5:$E$241,BB55,Summary!$D$5:$D$241,"&gt;="&amp;$A97,Summary!$D$5:$D$241,"&lt;"&amp;$A97+7,Summary!$G$5:$G$241,"Yes"))</f>
        <v>0</v>
      </c>
      <c r="BC97">
        <f>IF(BC55="","",COUNTIFS(Summary!$E$5:$E$241,BC55,Summary!$D$5:$D$241,"&gt;="&amp;$A97,Summary!$D$5:$D$241,"&lt;"&amp;$A97+7,Summary!$G$5:$G$241,"Yes"))</f>
        <v>0</v>
      </c>
      <c r="BD97">
        <f>IF(BD55="","",COUNTIFS(Summary!$E$5:$E$241,BD55,Summary!$D$5:$D$241,"&gt;="&amp;$A97,Summary!$D$5:$D$241,"&lt;"&amp;$A97+7,Summary!$G$5:$G$241,"Yes"))</f>
        <v>0</v>
      </c>
      <c r="BE97">
        <f>IF(BE55="","",COUNTIFS(Summary!$E$5:$E$241,BE55,Summary!$D$5:$D$241,"&gt;="&amp;$A97,Summary!$D$5:$D$241,"&lt;"&amp;$A97+7,Summary!$G$5:$G$241,"Yes"))</f>
        <v>0</v>
      </c>
      <c r="BF97" s="28">
        <f>IF(BF55="","",COUNTIFS(Summary!$E$5:$E$241,BF55,Summary!$D$5:$D$241,"&gt;="&amp;$A97,Summary!$D$5:$D$241,"&lt;"&amp;$A97+7,Summary!$G$5:$G$241,"Yes"))</f>
        <v>0</v>
      </c>
    </row>
    <row r="98" spans="1:58">
      <c r="A98" s="18">
        <f t="shared" si="5"/>
        <v>46377</v>
      </c>
      <c r="B98" s="2" t="str">
        <f t="shared" si="4"/>
        <v>Dec 21</v>
      </c>
      <c r="C98">
        <f>IF(C55="","",COUNTIFS(Summary!$E$5:$E$241,C55,Summary!$D$5:$D$241,"&gt;="&amp;$A98,Summary!$D$5:$D$241,"&lt;"&amp;$A98+7,Summary!$G$5:$G$241,"Yes"))</f>
        <v>0</v>
      </c>
      <c r="D98">
        <f>IF(D55="","",COUNTIFS(Summary!$E$5:$E$241,D55,Summary!$D$5:$D$241,"&gt;="&amp;$A98,Summary!$D$5:$D$241,"&lt;"&amp;$A98+7,Summary!$G$5:$G$241,"Yes"))</f>
        <v>0</v>
      </c>
      <c r="E98">
        <f>IF(E55="","",COUNTIFS(Summary!$E$5:$E$241,E55,Summary!$D$5:$D$241,"&gt;="&amp;$A98,Summary!$D$5:$D$241,"&lt;"&amp;$A98+7,Summary!$G$5:$G$241,"Yes"))</f>
        <v>0</v>
      </c>
      <c r="F98">
        <f>IF(F55="","",COUNTIFS(Summary!$E$5:$E$241,F55,Summary!$D$5:$D$241,"&gt;="&amp;$A98,Summary!$D$5:$D$241,"&lt;"&amp;$A98+7,Summary!$G$5:$G$241,"Yes"))</f>
        <v>0</v>
      </c>
      <c r="G98">
        <f>IF(G55="","",COUNTIFS(Summary!$E$5:$E$241,G55,Summary!$D$5:$D$241,"&gt;="&amp;$A98,Summary!$D$5:$D$241,"&lt;"&amp;$A98+7,Summary!$G$5:$G$241,"Yes"))</f>
        <v>0</v>
      </c>
      <c r="H98">
        <f>IF(H55="","",COUNTIFS(Summary!$E$5:$E$241,H55,Summary!$D$5:$D$241,"&gt;="&amp;$A98,Summary!$D$5:$D$241,"&lt;"&amp;$A98+7,Summary!$G$5:$G$241,"Yes"))</f>
        <v>0</v>
      </c>
      <c r="I98">
        <f>IF(I55="","",COUNTIFS(Summary!$E$5:$E$241,I55,Summary!$D$5:$D$241,"&gt;="&amp;$A98,Summary!$D$5:$D$241,"&lt;"&amp;$A98+7,Summary!$G$5:$G$241,"Yes"))</f>
        <v>0</v>
      </c>
      <c r="J98">
        <f>IF(J55="","",COUNTIFS(Summary!$E$5:$E$241,J55,Summary!$D$5:$D$241,"&gt;="&amp;$A98,Summary!$D$5:$D$241,"&lt;"&amp;$A98+7,Summary!$G$5:$G$241,"Yes"))</f>
        <v>0</v>
      </c>
      <c r="K98">
        <f>IF(K55="","",COUNTIFS(Summary!$E$5:$E$241,K55,Summary!$D$5:$D$241,"&gt;="&amp;$A98,Summary!$D$5:$D$241,"&lt;"&amp;$A98+7,Summary!$G$5:$G$241,"Yes"))</f>
        <v>0</v>
      </c>
      <c r="L98">
        <f>IF(L55="","",COUNTIFS(Summary!$E$5:$E$241,L55,Summary!$D$5:$D$241,"&gt;="&amp;$A98,Summary!$D$5:$D$241,"&lt;"&amp;$A98+7,Summary!$G$5:$G$241,"Yes"))</f>
        <v>0</v>
      </c>
      <c r="M98">
        <f>IF(M55="","",COUNTIFS(Summary!$E$5:$E$241,M55,Summary!$D$5:$D$241,"&gt;="&amp;$A98,Summary!$D$5:$D$241,"&lt;"&amp;$A98+7,Summary!$G$5:$G$241,"Yes"))</f>
        <v>0</v>
      </c>
      <c r="N98">
        <f>IF(N55="","",COUNTIFS(Summary!$E$5:$E$241,N55,Summary!$D$5:$D$241,"&gt;="&amp;$A98,Summary!$D$5:$D$241,"&lt;"&amp;$A98+7,Summary!$G$5:$G$241,"Yes"))</f>
        <v>0</v>
      </c>
      <c r="O98">
        <f>IF(O55="","",COUNTIFS(Summary!$E$5:$E$241,O55,Summary!$D$5:$D$241,"&gt;="&amp;$A98,Summary!$D$5:$D$241,"&lt;"&amp;$A98+7,Summary!$G$5:$G$241,"Yes"))</f>
        <v>0</v>
      </c>
      <c r="P98">
        <f>IF(P55="","",COUNTIFS(Summary!$E$5:$E$241,P55,Summary!$D$5:$D$241,"&gt;="&amp;$A98,Summary!$D$5:$D$241,"&lt;"&amp;$A98+7,Summary!$G$5:$G$241,"Yes"))</f>
        <v>0</v>
      </c>
      <c r="Q98">
        <f>IF(Q55="","",COUNTIFS(Summary!$E$5:$E$241,Q55,Summary!$D$5:$D$241,"&gt;="&amp;$A98,Summary!$D$5:$D$241,"&lt;"&amp;$A98+7,Summary!$G$5:$G$241,"Yes"))</f>
        <v>0</v>
      </c>
      <c r="R98">
        <f>IF(R55="","",COUNTIFS(Summary!$E$5:$E$241,R55,Summary!$D$5:$D$241,"&gt;="&amp;$A98,Summary!$D$5:$D$241,"&lt;"&amp;$A98+7,Summary!$G$5:$G$241,"Yes"))</f>
        <v>0</v>
      </c>
      <c r="S98">
        <f>IF(S55="","",COUNTIFS(Summary!$E$5:$E$241,S55,Summary!$D$5:$D$241,"&gt;="&amp;$A98,Summary!$D$5:$D$241,"&lt;"&amp;$A98+7,Summary!$G$5:$G$241,"Yes"))</f>
        <v>0</v>
      </c>
      <c r="T98">
        <f>IF(T55="","",COUNTIFS(Summary!$E$5:$E$241,T55,Summary!$D$5:$D$241,"&gt;="&amp;$A98,Summary!$D$5:$D$241,"&lt;"&amp;$A98+7,Summary!$G$5:$G$241,"Yes"))</f>
        <v>0</v>
      </c>
      <c r="U98">
        <f>IF(U55="","",COUNTIFS(Summary!$E$5:$E$241,U55,Summary!$D$5:$D$241,"&gt;="&amp;$A98,Summary!$D$5:$D$241,"&lt;"&amp;$A98+7,Summary!$G$5:$G$241,"Yes"))</f>
        <v>0</v>
      </c>
      <c r="V98">
        <f>IF(V55="","",COUNTIFS(Summary!$E$5:$E$241,V55,Summary!$D$5:$D$241,"&gt;="&amp;$A98,Summary!$D$5:$D$241,"&lt;"&amp;$A98+7,Summary!$G$5:$G$241,"Yes"))</f>
        <v>0</v>
      </c>
      <c r="W98">
        <f>IF(W55="","",COUNTIFS(Summary!$E$5:$E$241,W55,Summary!$D$5:$D$241,"&gt;="&amp;$A98,Summary!$D$5:$D$241,"&lt;"&amp;$A98+7,Summary!$G$5:$G$241,"Yes"))</f>
        <v>0</v>
      </c>
      <c r="X98">
        <f>IF(X55="","",COUNTIFS(Summary!$E$5:$E$241,X55,Summary!$D$5:$D$241,"&gt;="&amp;$A98,Summary!$D$5:$D$241,"&lt;"&amp;$A98+7,Summary!$G$5:$G$241,"Yes"))</f>
        <v>0</v>
      </c>
      <c r="Y98">
        <f>IF(Y55="","",COUNTIFS(Summary!$E$5:$E$241,Y55,Summary!$D$5:$D$241,"&gt;="&amp;$A98,Summary!$D$5:$D$241,"&lt;"&amp;$A98+7,Summary!$G$5:$G$241,"Yes"))</f>
        <v>0</v>
      </c>
      <c r="Z98">
        <f>IF(Z55="","",COUNTIFS(Summary!$E$5:$E$241,Z55,Summary!$D$5:$D$241,"&gt;="&amp;$A98,Summary!$D$5:$D$241,"&lt;"&amp;$A98+7,Summary!$G$5:$G$241,"Yes"))</f>
        <v>0</v>
      </c>
      <c r="AA98">
        <f>IF(AA55="","",COUNTIFS(Summary!$E$5:$E$241,AA55,Summary!$D$5:$D$241,"&gt;="&amp;$A98,Summary!$D$5:$D$241,"&lt;"&amp;$A98+7,Summary!$G$5:$G$241,"Yes"))</f>
        <v>0</v>
      </c>
      <c r="AB98">
        <f>IF(AB55="","",COUNTIFS(Summary!$E$5:$E$241,AB55,Summary!$D$5:$D$241,"&gt;="&amp;$A98,Summary!$D$5:$D$241,"&lt;"&amp;$A98+7,Summary!$G$5:$G$241,"Yes"))</f>
        <v>0</v>
      </c>
      <c r="AC98">
        <f>IF(AC55="","",COUNTIFS(Summary!$E$5:$E$241,AC55,Summary!$D$5:$D$241,"&gt;="&amp;$A98,Summary!$D$5:$D$241,"&lt;"&amp;$A98+7,Summary!$G$5:$G$241,"Yes"))</f>
        <v>0</v>
      </c>
      <c r="AD98">
        <f>IF(AD55="","",COUNTIFS(Summary!$E$5:$E$241,AD55,Summary!$D$5:$D$241,"&gt;="&amp;$A98,Summary!$D$5:$D$241,"&lt;"&amp;$A98+7,Summary!$G$5:$G$241,"Yes"))</f>
        <v>0</v>
      </c>
      <c r="AE98">
        <f>IF(AE55="","",COUNTIFS(Summary!$E$5:$E$241,AE55,Summary!$D$5:$D$241,"&gt;="&amp;$A98,Summary!$D$5:$D$241,"&lt;"&amp;$A98+7,Summary!$G$5:$G$241,"Yes"))</f>
        <v>0</v>
      </c>
      <c r="AF98">
        <f>IF(AF55="","",COUNTIFS(Summary!$E$5:$E$241,AF55,Summary!$D$5:$D$241,"&gt;="&amp;$A98,Summary!$D$5:$D$241,"&lt;"&amp;$A98+7,Summary!$G$5:$G$241,"Yes"))</f>
        <v>0</v>
      </c>
      <c r="AG98">
        <f>IF(AG55="","",COUNTIFS(Summary!$E$5:$E$241,AG55,Summary!$D$5:$D$241,"&gt;="&amp;$A98,Summary!$D$5:$D$241,"&lt;"&amp;$A98+7,Summary!$G$5:$G$241,"Yes"))</f>
        <v>0</v>
      </c>
      <c r="AH98">
        <f>IF(AH55="","",COUNTIFS(Summary!$E$5:$E$241,AH55,Summary!$D$5:$D$241,"&gt;="&amp;$A98,Summary!$D$5:$D$241,"&lt;"&amp;$A98+7,Summary!$G$5:$G$241,"Yes"))</f>
        <v>0</v>
      </c>
      <c r="AI98">
        <f>IF(AI55="","",COUNTIFS(Summary!$E$5:$E$241,AI55,Summary!$D$5:$D$241,"&gt;="&amp;$A98,Summary!$D$5:$D$241,"&lt;"&amp;$A98+7,Summary!$G$5:$G$241,"Yes"))</f>
        <v>0</v>
      </c>
      <c r="AJ98">
        <f>IF(AJ55="","",COUNTIFS(Summary!$E$5:$E$241,AJ55,Summary!$D$5:$D$241,"&gt;="&amp;$A98,Summary!$D$5:$D$241,"&lt;"&amp;$A98+7,Summary!$G$5:$G$241,"Yes"))</f>
        <v>0</v>
      </c>
      <c r="AK98">
        <f>IF(AK55="","",COUNTIFS(Summary!$E$5:$E$241,AK55,Summary!$D$5:$D$241,"&gt;="&amp;$A98,Summary!$D$5:$D$241,"&lt;"&amp;$A98+7,Summary!$G$5:$G$241,"Yes"))</f>
        <v>0</v>
      </c>
      <c r="AL98">
        <f>IF(AL55="","",COUNTIFS(Summary!$E$5:$E$241,AL55,Summary!$D$5:$D$241,"&gt;="&amp;$A98,Summary!$D$5:$D$241,"&lt;"&amp;$A98+7,Summary!$G$5:$G$241,"Yes"))</f>
        <v>0</v>
      </c>
      <c r="AM98">
        <f>IF(AM55="","",COUNTIFS(Summary!$E$5:$E$241,AM55,Summary!$D$5:$D$241,"&gt;="&amp;$A98,Summary!$D$5:$D$241,"&lt;"&amp;$A98+7,Summary!$G$5:$G$241,"Yes"))</f>
        <v>0</v>
      </c>
      <c r="AN98">
        <f>IF(AN55="","",COUNTIFS(Summary!$E$5:$E$241,AN55,Summary!$D$5:$D$241,"&gt;="&amp;$A98,Summary!$D$5:$D$241,"&lt;"&amp;$A98+7,Summary!$G$5:$G$241,"Yes"))</f>
        <v>0</v>
      </c>
      <c r="AO98">
        <f>IF(AO55="","",COUNTIFS(Summary!$E$5:$E$241,AO55,Summary!$D$5:$D$241,"&gt;="&amp;$A98,Summary!$D$5:$D$241,"&lt;"&amp;$A98+7,Summary!$G$5:$G$241,"Yes"))</f>
        <v>0</v>
      </c>
      <c r="AP98">
        <f>IF(AP55="","",COUNTIFS(Summary!$E$5:$E$241,AP55,Summary!$D$5:$D$241,"&gt;="&amp;$A98,Summary!$D$5:$D$241,"&lt;"&amp;$A98+7,Summary!$G$5:$G$241,"Yes"))</f>
        <v>0</v>
      </c>
      <c r="AQ98">
        <f>IF(AQ55="","",COUNTIFS(Summary!$E$5:$E$241,AQ55,Summary!$D$5:$D$241,"&gt;="&amp;$A98,Summary!$D$5:$D$241,"&lt;"&amp;$A98+7,Summary!$G$5:$G$241,"Yes"))</f>
        <v>0</v>
      </c>
      <c r="AR98">
        <f>IF(AR55="","",COUNTIFS(Summary!$E$5:$E$241,AR55,Summary!$D$5:$D$241,"&gt;="&amp;$A98,Summary!$D$5:$D$241,"&lt;"&amp;$A98+7,Summary!$G$5:$G$241,"Yes"))</f>
        <v>0</v>
      </c>
      <c r="AS98">
        <f>IF(AS55="","",COUNTIFS(Summary!$E$5:$E$241,AS55,Summary!$D$5:$D$241,"&gt;="&amp;$A98,Summary!$D$5:$D$241,"&lt;"&amp;$A98+7,Summary!$G$5:$G$241,"Yes"))</f>
        <v>0</v>
      </c>
      <c r="AT98">
        <f>IF(AT55="","",COUNTIFS(Summary!$E$5:$E$241,AT55,Summary!$D$5:$D$241,"&gt;="&amp;$A98,Summary!$D$5:$D$241,"&lt;"&amp;$A98+7,Summary!$G$5:$G$241,"Yes"))</f>
        <v>0</v>
      </c>
      <c r="AU98">
        <f>IF(AU55="","",COUNTIFS(Summary!$E$5:$E$241,AU55,Summary!$D$5:$D$241,"&gt;="&amp;$A98,Summary!$D$5:$D$241,"&lt;"&amp;$A98+7,Summary!$G$5:$G$241,"Yes"))</f>
        <v>0</v>
      </c>
      <c r="AV98">
        <f>IF(AV55="","",COUNTIFS(Summary!$E$5:$E$241,AV55,Summary!$D$5:$D$241,"&gt;="&amp;$A98,Summary!$D$5:$D$241,"&lt;"&amp;$A98+7,Summary!$G$5:$G$241,"Yes"))</f>
        <v>0</v>
      </c>
      <c r="AW98">
        <f>IF(AW55="","",COUNTIFS(Summary!$E$5:$E$241,AW55,Summary!$D$5:$D$241,"&gt;="&amp;$A98,Summary!$D$5:$D$241,"&lt;"&amp;$A98+7,Summary!$G$5:$G$241,"Yes"))</f>
        <v>0</v>
      </c>
      <c r="AX98">
        <f>IF(AX55="","",COUNTIFS(Summary!$E$5:$E$241,AX55,Summary!$D$5:$D$241,"&gt;="&amp;$A98,Summary!$D$5:$D$241,"&lt;"&amp;$A98+7,Summary!$G$5:$G$241,"Yes"))</f>
        <v>0</v>
      </c>
      <c r="AY98">
        <f>IF(AY55="","",COUNTIFS(Summary!$E$5:$E$241,AY55,Summary!$D$5:$D$241,"&gt;="&amp;$A98,Summary!$D$5:$D$241,"&lt;"&amp;$A98+7,Summary!$G$5:$G$241,"Yes"))</f>
        <v>0</v>
      </c>
      <c r="AZ98">
        <f>IF(AZ55="","",COUNTIFS(Summary!$E$5:$E$241,AZ55,Summary!$D$5:$D$241,"&gt;="&amp;$A98,Summary!$D$5:$D$241,"&lt;"&amp;$A98+7,Summary!$G$5:$G$241,"Yes"))</f>
        <v>0</v>
      </c>
      <c r="BA98">
        <f>IF(BA55="","",COUNTIFS(Summary!$E$5:$E$241,BA55,Summary!$D$5:$D$241,"&gt;="&amp;$A98,Summary!$D$5:$D$241,"&lt;"&amp;$A98+7,Summary!$G$5:$G$241,"Yes"))</f>
        <v>0</v>
      </c>
      <c r="BB98">
        <f>IF(BB55="","",COUNTIFS(Summary!$E$5:$E$241,BB55,Summary!$D$5:$D$241,"&gt;="&amp;$A98,Summary!$D$5:$D$241,"&lt;"&amp;$A98+7,Summary!$G$5:$G$241,"Yes"))</f>
        <v>0</v>
      </c>
      <c r="BC98">
        <f>IF(BC55="","",COUNTIFS(Summary!$E$5:$E$241,BC55,Summary!$D$5:$D$241,"&gt;="&amp;$A98,Summary!$D$5:$D$241,"&lt;"&amp;$A98+7,Summary!$G$5:$G$241,"Yes"))</f>
        <v>0</v>
      </c>
      <c r="BD98">
        <f>IF(BD55="","",COUNTIFS(Summary!$E$5:$E$241,BD55,Summary!$D$5:$D$241,"&gt;="&amp;$A98,Summary!$D$5:$D$241,"&lt;"&amp;$A98+7,Summary!$G$5:$G$241,"Yes"))</f>
        <v>0</v>
      </c>
      <c r="BE98">
        <f>IF(BE55="","",COUNTIFS(Summary!$E$5:$E$241,BE55,Summary!$D$5:$D$241,"&gt;="&amp;$A98,Summary!$D$5:$D$241,"&lt;"&amp;$A98+7,Summary!$G$5:$G$241,"Yes"))</f>
        <v>0</v>
      </c>
      <c r="BF98" s="28">
        <f>IF(BF55="","",COUNTIFS(Summary!$E$5:$E$241,BF55,Summary!$D$5:$D$241,"&gt;="&amp;$A98,Summary!$D$5:$D$241,"&lt;"&amp;$A98+7,Summary!$G$5:$G$241,"Yes"))</f>
        <v>0</v>
      </c>
    </row>
    <row r="99" spans="1:58">
      <c r="A99" s="18">
        <f t="shared" si="5"/>
        <v>46384</v>
      </c>
      <c r="B99" s="2" t="str">
        <f t="shared" si="4"/>
        <v>Dec 28</v>
      </c>
      <c r="C99">
        <f>IF(C55="","",COUNTIFS(Summary!$E$5:$E$241,C55,Summary!$D$5:$D$241,"&gt;="&amp;$A99,Summary!$D$5:$D$241,"&lt;"&amp;$A99+7,Summary!$G$5:$G$241,"Yes"))</f>
        <v>0</v>
      </c>
      <c r="D99">
        <f>IF(D55="","",COUNTIFS(Summary!$E$5:$E$241,D55,Summary!$D$5:$D$241,"&gt;="&amp;$A99,Summary!$D$5:$D$241,"&lt;"&amp;$A99+7,Summary!$G$5:$G$241,"Yes"))</f>
        <v>0</v>
      </c>
      <c r="E99">
        <f>IF(E55="","",COUNTIFS(Summary!$E$5:$E$241,E55,Summary!$D$5:$D$241,"&gt;="&amp;$A99,Summary!$D$5:$D$241,"&lt;"&amp;$A99+7,Summary!$G$5:$G$241,"Yes"))</f>
        <v>0</v>
      </c>
      <c r="F99">
        <f>IF(F55="","",COUNTIFS(Summary!$E$5:$E$241,F55,Summary!$D$5:$D$241,"&gt;="&amp;$A99,Summary!$D$5:$D$241,"&lt;"&amp;$A99+7,Summary!$G$5:$G$241,"Yes"))</f>
        <v>0</v>
      </c>
      <c r="G99">
        <f>IF(G55="","",COUNTIFS(Summary!$E$5:$E$241,G55,Summary!$D$5:$D$241,"&gt;="&amp;$A99,Summary!$D$5:$D$241,"&lt;"&amp;$A99+7,Summary!$G$5:$G$241,"Yes"))</f>
        <v>0</v>
      </c>
      <c r="H99">
        <f>IF(H55="","",COUNTIFS(Summary!$E$5:$E$241,H55,Summary!$D$5:$D$241,"&gt;="&amp;$A99,Summary!$D$5:$D$241,"&lt;"&amp;$A99+7,Summary!$G$5:$G$241,"Yes"))</f>
        <v>0</v>
      </c>
      <c r="I99">
        <f>IF(I55="","",COUNTIFS(Summary!$E$5:$E$241,I55,Summary!$D$5:$D$241,"&gt;="&amp;$A99,Summary!$D$5:$D$241,"&lt;"&amp;$A99+7,Summary!$G$5:$G$241,"Yes"))</f>
        <v>0</v>
      </c>
      <c r="J99">
        <f>IF(J55="","",COUNTIFS(Summary!$E$5:$E$241,J55,Summary!$D$5:$D$241,"&gt;="&amp;$A99,Summary!$D$5:$D$241,"&lt;"&amp;$A99+7,Summary!$G$5:$G$241,"Yes"))</f>
        <v>0</v>
      </c>
      <c r="K99">
        <f>IF(K55="","",COUNTIFS(Summary!$E$5:$E$241,K55,Summary!$D$5:$D$241,"&gt;="&amp;$A99,Summary!$D$5:$D$241,"&lt;"&amp;$A99+7,Summary!$G$5:$G$241,"Yes"))</f>
        <v>0</v>
      </c>
      <c r="L99">
        <f>IF(L55="","",COUNTIFS(Summary!$E$5:$E$241,L55,Summary!$D$5:$D$241,"&gt;="&amp;$A99,Summary!$D$5:$D$241,"&lt;"&amp;$A99+7,Summary!$G$5:$G$241,"Yes"))</f>
        <v>0</v>
      </c>
      <c r="M99">
        <f>IF(M55="","",COUNTIFS(Summary!$E$5:$E$241,M55,Summary!$D$5:$D$241,"&gt;="&amp;$A99,Summary!$D$5:$D$241,"&lt;"&amp;$A99+7,Summary!$G$5:$G$241,"Yes"))</f>
        <v>0</v>
      </c>
      <c r="N99">
        <f>IF(N55="","",COUNTIFS(Summary!$E$5:$E$241,N55,Summary!$D$5:$D$241,"&gt;="&amp;$A99,Summary!$D$5:$D$241,"&lt;"&amp;$A99+7,Summary!$G$5:$G$241,"Yes"))</f>
        <v>0</v>
      </c>
      <c r="O99">
        <f>IF(O55="","",COUNTIFS(Summary!$E$5:$E$241,O55,Summary!$D$5:$D$241,"&gt;="&amp;$A99,Summary!$D$5:$D$241,"&lt;"&amp;$A99+7,Summary!$G$5:$G$241,"Yes"))</f>
        <v>0</v>
      </c>
      <c r="P99">
        <f>IF(P55="","",COUNTIFS(Summary!$E$5:$E$241,P55,Summary!$D$5:$D$241,"&gt;="&amp;$A99,Summary!$D$5:$D$241,"&lt;"&amp;$A99+7,Summary!$G$5:$G$241,"Yes"))</f>
        <v>0</v>
      </c>
      <c r="Q99">
        <f>IF(Q55="","",COUNTIFS(Summary!$E$5:$E$241,Q55,Summary!$D$5:$D$241,"&gt;="&amp;$A99,Summary!$D$5:$D$241,"&lt;"&amp;$A99+7,Summary!$G$5:$G$241,"Yes"))</f>
        <v>0</v>
      </c>
      <c r="R99">
        <f>IF(R55="","",COUNTIFS(Summary!$E$5:$E$241,R55,Summary!$D$5:$D$241,"&gt;="&amp;$A99,Summary!$D$5:$D$241,"&lt;"&amp;$A99+7,Summary!$G$5:$G$241,"Yes"))</f>
        <v>0</v>
      </c>
      <c r="S99">
        <f>IF(S55="","",COUNTIFS(Summary!$E$5:$E$241,S55,Summary!$D$5:$D$241,"&gt;="&amp;$A99,Summary!$D$5:$D$241,"&lt;"&amp;$A99+7,Summary!$G$5:$G$241,"Yes"))</f>
        <v>0</v>
      </c>
      <c r="T99">
        <f>IF(T55="","",COUNTIFS(Summary!$E$5:$E$241,T55,Summary!$D$5:$D$241,"&gt;="&amp;$A99,Summary!$D$5:$D$241,"&lt;"&amp;$A99+7,Summary!$G$5:$G$241,"Yes"))</f>
        <v>0</v>
      </c>
      <c r="U99">
        <f>IF(U55="","",COUNTIFS(Summary!$E$5:$E$241,U55,Summary!$D$5:$D$241,"&gt;="&amp;$A99,Summary!$D$5:$D$241,"&lt;"&amp;$A99+7,Summary!$G$5:$G$241,"Yes"))</f>
        <v>0</v>
      </c>
      <c r="V99">
        <f>IF(V55="","",COUNTIFS(Summary!$E$5:$E$241,V55,Summary!$D$5:$D$241,"&gt;="&amp;$A99,Summary!$D$5:$D$241,"&lt;"&amp;$A99+7,Summary!$G$5:$G$241,"Yes"))</f>
        <v>0</v>
      </c>
      <c r="W99">
        <f>IF(W55="","",COUNTIFS(Summary!$E$5:$E$241,W55,Summary!$D$5:$D$241,"&gt;="&amp;$A99,Summary!$D$5:$D$241,"&lt;"&amp;$A99+7,Summary!$G$5:$G$241,"Yes"))</f>
        <v>0</v>
      </c>
      <c r="X99">
        <f>IF(X55="","",COUNTIFS(Summary!$E$5:$E$241,X55,Summary!$D$5:$D$241,"&gt;="&amp;$A99,Summary!$D$5:$D$241,"&lt;"&amp;$A99+7,Summary!$G$5:$G$241,"Yes"))</f>
        <v>0</v>
      </c>
      <c r="Y99">
        <f>IF(Y55="","",COUNTIFS(Summary!$E$5:$E$241,Y55,Summary!$D$5:$D$241,"&gt;="&amp;$A99,Summary!$D$5:$D$241,"&lt;"&amp;$A99+7,Summary!$G$5:$G$241,"Yes"))</f>
        <v>0</v>
      </c>
      <c r="Z99">
        <f>IF(Z55="","",COUNTIFS(Summary!$E$5:$E$241,Z55,Summary!$D$5:$D$241,"&gt;="&amp;$A99,Summary!$D$5:$D$241,"&lt;"&amp;$A99+7,Summary!$G$5:$G$241,"Yes"))</f>
        <v>0</v>
      </c>
      <c r="AA99">
        <f>IF(AA55="","",COUNTIFS(Summary!$E$5:$E$241,AA55,Summary!$D$5:$D$241,"&gt;="&amp;$A99,Summary!$D$5:$D$241,"&lt;"&amp;$A99+7,Summary!$G$5:$G$241,"Yes"))</f>
        <v>0</v>
      </c>
      <c r="AB99">
        <f>IF(AB55="","",COUNTIFS(Summary!$E$5:$E$241,AB55,Summary!$D$5:$D$241,"&gt;="&amp;$A99,Summary!$D$5:$D$241,"&lt;"&amp;$A99+7,Summary!$G$5:$G$241,"Yes"))</f>
        <v>0</v>
      </c>
      <c r="AC99">
        <f>IF(AC55="","",COUNTIFS(Summary!$E$5:$E$241,AC55,Summary!$D$5:$D$241,"&gt;="&amp;$A99,Summary!$D$5:$D$241,"&lt;"&amp;$A99+7,Summary!$G$5:$G$241,"Yes"))</f>
        <v>0</v>
      </c>
      <c r="AD99">
        <f>IF(AD55="","",COUNTIFS(Summary!$E$5:$E$241,AD55,Summary!$D$5:$D$241,"&gt;="&amp;$A99,Summary!$D$5:$D$241,"&lt;"&amp;$A99+7,Summary!$G$5:$G$241,"Yes"))</f>
        <v>0</v>
      </c>
      <c r="AE99">
        <f>IF(AE55="","",COUNTIFS(Summary!$E$5:$E$241,AE55,Summary!$D$5:$D$241,"&gt;="&amp;$A99,Summary!$D$5:$D$241,"&lt;"&amp;$A99+7,Summary!$G$5:$G$241,"Yes"))</f>
        <v>0</v>
      </c>
      <c r="AF99">
        <f>IF(AF55="","",COUNTIFS(Summary!$E$5:$E$241,AF55,Summary!$D$5:$D$241,"&gt;="&amp;$A99,Summary!$D$5:$D$241,"&lt;"&amp;$A99+7,Summary!$G$5:$G$241,"Yes"))</f>
        <v>0</v>
      </c>
      <c r="AG99">
        <f>IF(AG55="","",COUNTIFS(Summary!$E$5:$E$241,AG55,Summary!$D$5:$D$241,"&gt;="&amp;$A99,Summary!$D$5:$D$241,"&lt;"&amp;$A99+7,Summary!$G$5:$G$241,"Yes"))</f>
        <v>0</v>
      </c>
      <c r="AH99">
        <f>IF(AH55="","",COUNTIFS(Summary!$E$5:$E$241,AH55,Summary!$D$5:$D$241,"&gt;="&amp;$A99,Summary!$D$5:$D$241,"&lt;"&amp;$A99+7,Summary!$G$5:$G$241,"Yes"))</f>
        <v>0</v>
      </c>
      <c r="AI99">
        <f>IF(AI55="","",COUNTIFS(Summary!$E$5:$E$241,AI55,Summary!$D$5:$D$241,"&gt;="&amp;$A99,Summary!$D$5:$D$241,"&lt;"&amp;$A99+7,Summary!$G$5:$G$241,"Yes"))</f>
        <v>0</v>
      </c>
      <c r="AJ99">
        <f>IF(AJ55="","",COUNTIFS(Summary!$E$5:$E$241,AJ55,Summary!$D$5:$D$241,"&gt;="&amp;$A99,Summary!$D$5:$D$241,"&lt;"&amp;$A99+7,Summary!$G$5:$G$241,"Yes"))</f>
        <v>0</v>
      </c>
      <c r="AK99">
        <f>IF(AK55="","",COUNTIFS(Summary!$E$5:$E$241,AK55,Summary!$D$5:$D$241,"&gt;="&amp;$A99,Summary!$D$5:$D$241,"&lt;"&amp;$A99+7,Summary!$G$5:$G$241,"Yes"))</f>
        <v>0</v>
      </c>
      <c r="AL99">
        <f>IF(AL55="","",COUNTIFS(Summary!$E$5:$E$241,AL55,Summary!$D$5:$D$241,"&gt;="&amp;$A99,Summary!$D$5:$D$241,"&lt;"&amp;$A99+7,Summary!$G$5:$G$241,"Yes"))</f>
        <v>0</v>
      </c>
      <c r="AM99">
        <f>IF(AM55="","",COUNTIFS(Summary!$E$5:$E$241,AM55,Summary!$D$5:$D$241,"&gt;="&amp;$A99,Summary!$D$5:$D$241,"&lt;"&amp;$A99+7,Summary!$G$5:$G$241,"Yes"))</f>
        <v>0</v>
      </c>
      <c r="AN99">
        <f>IF(AN55="","",COUNTIFS(Summary!$E$5:$E$241,AN55,Summary!$D$5:$D$241,"&gt;="&amp;$A99,Summary!$D$5:$D$241,"&lt;"&amp;$A99+7,Summary!$G$5:$G$241,"Yes"))</f>
        <v>0</v>
      </c>
      <c r="AO99">
        <f>IF(AO55="","",COUNTIFS(Summary!$E$5:$E$241,AO55,Summary!$D$5:$D$241,"&gt;="&amp;$A99,Summary!$D$5:$D$241,"&lt;"&amp;$A99+7,Summary!$G$5:$G$241,"Yes"))</f>
        <v>0</v>
      </c>
      <c r="AP99">
        <f>IF(AP55="","",COUNTIFS(Summary!$E$5:$E$241,AP55,Summary!$D$5:$D$241,"&gt;="&amp;$A99,Summary!$D$5:$D$241,"&lt;"&amp;$A99+7,Summary!$G$5:$G$241,"Yes"))</f>
        <v>0</v>
      </c>
      <c r="AQ99">
        <f>IF(AQ55="","",COUNTIFS(Summary!$E$5:$E$241,AQ55,Summary!$D$5:$D$241,"&gt;="&amp;$A99,Summary!$D$5:$D$241,"&lt;"&amp;$A99+7,Summary!$G$5:$G$241,"Yes"))</f>
        <v>0</v>
      </c>
      <c r="AR99">
        <f>IF(AR55="","",COUNTIFS(Summary!$E$5:$E$241,AR55,Summary!$D$5:$D$241,"&gt;="&amp;$A99,Summary!$D$5:$D$241,"&lt;"&amp;$A99+7,Summary!$G$5:$G$241,"Yes"))</f>
        <v>0</v>
      </c>
      <c r="AS99">
        <f>IF(AS55="","",COUNTIFS(Summary!$E$5:$E$241,AS55,Summary!$D$5:$D$241,"&gt;="&amp;$A99,Summary!$D$5:$D$241,"&lt;"&amp;$A99+7,Summary!$G$5:$G$241,"Yes"))</f>
        <v>0</v>
      </c>
      <c r="AT99">
        <f>IF(AT55="","",COUNTIFS(Summary!$E$5:$E$241,AT55,Summary!$D$5:$D$241,"&gt;="&amp;$A99,Summary!$D$5:$D$241,"&lt;"&amp;$A99+7,Summary!$G$5:$G$241,"Yes"))</f>
        <v>0</v>
      </c>
      <c r="AU99">
        <f>IF(AU55="","",COUNTIFS(Summary!$E$5:$E$241,AU55,Summary!$D$5:$D$241,"&gt;="&amp;$A99,Summary!$D$5:$D$241,"&lt;"&amp;$A99+7,Summary!$G$5:$G$241,"Yes"))</f>
        <v>0</v>
      </c>
      <c r="AV99">
        <f>IF(AV55="","",COUNTIFS(Summary!$E$5:$E$241,AV55,Summary!$D$5:$D$241,"&gt;="&amp;$A99,Summary!$D$5:$D$241,"&lt;"&amp;$A99+7,Summary!$G$5:$G$241,"Yes"))</f>
        <v>0</v>
      </c>
      <c r="AW99">
        <f>IF(AW55="","",COUNTIFS(Summary!$E$5:$E$241,AW55,Summary!$D$5:$D$241,"&gt;="&amp;$A99,Summary!$D$5:$D$241,"&lt;"&amp;$A99+7,Summary!$G$5:$G$241,"Yes"))</f>
        <v>0</v>
      </c>
      <c r="AX99">
        <f>IF(AX55="","",COUNTIFS(Summary!$E$5:$E$241,AX55,Summary!$D$5:$D$241,"&gt;="&amp;$A99,Summary!$D$5:$D$241,"&lt;"&amp;$A99+7,Summary!$G$5:$G$241,"Yes"))</f>
        <v>0</v>
      </c>
      <c r="AY99">
        <f>IF(AY55="","",COUNTIFS(Summary!$E$5:$E$241,AY55,Summary!$D$5:$D$241,"&gt;="&amp;$A99,Summary!$D$5:$D$241,"&lt;"&amp;$A99+7,Summary!$G$5:$G$241,"Yes"))</f>
        <v>0</v>
      </c>
      <c r="AZ99">
        <f>IF(AZ55="","",COUNTIFS(Summary!$E$5:$E$241,AZ55,Summary!$D$5:$D$241,"&gt;="&amp;$A99,Summary!$D$5:$D$241,"&lt;"&amp;$A99+7,Summary!$G$5:$G$241,"Yes"))</f>
        <v>0</v>
      </c>
      <c r="BA99">
        <f>IF(BA55="","",COUNTIFS(Summary!$E$5:$E$241,BA55,Summary!$D$5:$D$241,"&gt;="&amp;$A99,Summary!$D$5:$D$241,"&lt;"&amp;$A99+7,Summary!$G$5:$G$241,"Yes"))</f>
        <v>0</v>
      </c>
      <c r="BB99">
        <f>IF(BB55="","",COUNTIFS(Summary!$E$5:$E$241,BB55,Summary!$D$5:$D$241,"&gt;="&amp;$A99,Summary!$D$5:$D$241,"&lt;"&amp;$A99+7,Summary!$G$5:$G$241,"Yes"))</f>
        <v>0</v>
      </c>
      <c r="BC99">
        <f>IF(BC55="","",COUNTIFS(Summary!$E$5:$E$241,BC55,Summary!$D$5:$D$241,"&gt;="&amp;$A99,Summary!$D$5:$D$241,"&lt;"&amp;$A99+7,Summary!$G$5:$G$241,"Yes"))</f>
        <v>0</v>
      </c>
      <c r="BD99">
        <f>IF(BD55="","",COUNTIFS(Summary!$E$5:$E$241,BD55,Summary!$D$5:$D$241,"&gt;="&amp;$A99,Summary!$D$5:$D$241,"&lt;"&amp;$A99+7,Summary!$G$5:$G$241,"Yes"))</f>
        <v>0</v>
      </c>
      <c r="BE99">
        <f>IF(BE55="","",COUNTIFS(Summary!$E$5:$E$241,BE55,Summary!$D$5:$D$241,"&gt;="&amp;$A99,Summary!$D$5:$D$241,"&lt;"&amp;$A99+7,Summary!$G$5:$G$241,"Yes"))</f>
        <v>0</v>
      </c>
      <c r="BF99" s="28">
        <f>IF(BF55="","",COUNTIFS(Summary!$E$5:$E$241,BF55,Summary!$D$5:$D$241,"&gt;="&amp;$A99,Summary!$D$5:$D$241,"&lt;"&amp;$A99+7,Summary!$G$5:$G$241,"Yes"))</f>
        <v>0</v>
      </c>
    </row>
    <row r="100" spans="1:58">
      <c r="A100" s="18">
        <f t="shared" si="5"/>
        <v>46391</v>
      </c>
      <c r="B100" s="2" t="str">
        <f t="shared" si="4"/>
        <v>Jan 4</v>
      </c>
      <c r="C100">
        <f>IF(C55="","",COUNTIFS(Summary!$E$5:$E$241,C55,Summary!$D$5:$D$241,"&gt;="&amp;$A100,Summary!$D$5:$D$241,"&lt;"&amp;$A100+7,Summary!$G$5:$G$241,"Yes"))</f>
        <v>0</v>
      </c>
      <c r="D100">
        <f>IF(D55="","",COUNTIFS(Summary!$E$5:$E$241,D55,Summary!$D$5:$D$241,"&gt;="&amp;$A100,Summary!$D$5:$D$241,"&lt;"&amp;$A100+7,Summary!$G$5:$G$241,"Yes"))</f>
        <v>0</v>
      </c>
      <c r="E100">
        <f>IF(E55="","",COUNTIFS(Summary!$E$5:$E$241,E55,Summary!$D$5:$D$241,"&gt;="&amp;$A100,Summary!$D$5:$D$241,"&lt;"&amp;$A100+7,Summary!$G$5:$G$241,"Yes"))</f>
        <v>0</v>
      </c>
      <c r="F100">
        <f>IF(F55="","",COUNTIFS(Summary!$E$5:$E$241,F55,Summary!$D$5:$D$241,"&gt;="&amp;$A100,Summary!$D$5:$D$241,"&lt;"&amp;$A100+7,Summary!$G$5:$G$241,"Yes"))</f>
        <v>0</v>
      </c>
      <c r="G100">
        <f>IF(G55="","",COUNTIFS(Summary!$E$5:$E$241,G55,Summary!$D$5:$D$241,"&gt;="&amp;$A100,Summary!$D$5:$D$241,"&lt;"&amp;$A100+7,Summary!$G$5:$G$241,"Yes"))</f>
        <v>0</v>
      </c>
      <c r="H100">
        <f>IF(H55="","",COUNTIFS(Summary!$E$5:$E$241,H55,Summary!$D$5:$D$241,"&gt;="&amp;$A100,Summary!$D$5:$D$241,"&lt;"&amp;$A100+7,Summary!$G$5:$G$241,"Yes"))</f>
        <v>0</v>
      </c>
      <c r="I100">
        <f>IF(I55="","",COUNTIFS(Summary!$E$5:$E$241,I55,Summary!$D$5:$D$241,"&gt;="&amp;$A100,Summary!$D$5:$D$241,"&lt;"&amp;$A100+7,Summary!$G$5:$G$241,"Yes"))</f>
        <v>0</v>
      </c>
      <c r="J100">
        <f>IF(J55="","",COUNTIFS(Summary!$E$5:$E$241,J55,Summary!$D$5:$D$241,"&gt;="&amp;$A100,Summary!$D$5:$D$241,"&lt;"&amp;$A100+7,Summary!$G$5:$G$241,"Yes"))</f>
        <v>0</v>
      </c>
      <c r="K100">
        <f>IF(K55="","",COUNTIFS(Summary!$E$5:$E$241,K55,Summary!$D$5:$D$241,"&gt;="&amp;$A100,Summary!$D$5:$D$241,"&lt;"&amp;$A100+7,Summary!$G$5:$G$241,"Yes"))</f>
        <v>0</v>
      </c>
      <c r="L100">
        <f>IF(L55="","",COUNTIFS(Summary!$E$5:$E$241,L55,Summary!$D$5:$D$241,"&gt;="&amp;$A100,Summary!$D$5:$D$241,"&lt;"&amp;$A100+7,Summary!$G$5:$G$241,"Yes"))</f>
        <v>0</v>
      </c>
      <c r="M100">
        <f>IF(M55="","",COUNTIFS(Summary!$E$5:$E$241,M55,Summary!$D$5:$D$241,"&gt;="&amp;$A100,Summary!$D$5:$D$241,"&lt;"&amp;$A100+7,Summary!$G$5:$G$241,"Yes"))</f>
        <v>0</v>
      </c>
      <c r="N100">
        <f>IF(N55="","",COUNTIFS(Summary!$E$5:$E$241,N55,Summary!$D$5:$D$241,"&gt;="&amp;$A100,Summary!$D$5:$D$241,"&lt;"&amp;$A100+7,Summary!$G$5:$G$241,"Yes"))</f>
        <v>0</v>
      </c>
      <c r="O100">
        <f>IF(O55="","",COUNTIFS(Summary!$E$5:$E$241,O55,Summary!$D$5:$D$241,"&gt;="&amp;$A100,Summary!$D$5:$D$241,"&lt;"&amp;$A100+7,Summary!$G$5:$G$241,"Yes"))</f>
        <v>0</v>
      </c>
      <c r="P100">
        <f>IF(P55="","",COUNTIFS(Summary!$E$5:$E$241,P55,Summary!$D$5:$D$241,"&gt;="&amp;$A100,Summary!$D$5:$D$241,"&lt;"&amp;$A100+7,Summary!$G$5:$G$241,"Yes"))</f>
        <v>0</v>
      </c>
      <c r="Q100">
        <f>IF(Q55="","",COUNTIFS(Summary!$E$5:$E$241,Q55,Summary!$D$5:$D$241,"&gt;="&amp;$A100,Summary!$D$5:$D$241,"&lt;"&amp;$A100+7,Summary!$G$5:$G$241,"Yes"))</f>
        <v>0</v>
      </c>
      <c r="R100">
        <f>IF(R55="","",COUNTIFS(Summary!$E$5:$E$241,R55,Summary!$D$5:$D$241,"&gt;="&amp;$A100,Summary!$D$5:$D$241,"&lt;"&amp;$A100+7,Summary!$G$5:$G$241,"Yes"))</f>
        <v>0</v>
      </c>
      <c r="S100">
        <f>IF(S55="","",COUNTIFS(Summary!$E$5:$E$241,S55,Summary!$D$5:$D$241,"&gt;="&amp;$A100,Summary!$D$5:$D$241,"&lt;"&amp;$A100+7,Summary!$G$5:$G$241,"Yes"))</f>
        <v>0</v>
      </c>
      <c r="T100">
        <f>IF(T55="","",COUNTIFS(Summary!$E$5:$E$241,T55,Summary!$D$5:$D$241,"&gt;="&amp;$A100,Summary!$D$5:$D$241,"&lt;"&amp;$A100+7,Summary!$G$5:$G$241,"Yes"))</f>
        <v>0</v>
      </c>
      <c r="U100">
        <f>IF(U55="","",COUNTIFS(Summary!$E$5:$E$241,U55,Summary!$D$5:$D$241,"&gt;="&amp;$A100,Summary!$D$5:$D$241,"&lt;"&amp;$A100+7,Summary!$G$5:$G$241,"Yes"))</f>
        <v>0</v>
      </c>
      <c r="V100">
        <f>IF(V55="","",COUNTIFS(Summary!$E$5:$E$241,V55,Summary!$D$5:$D$241,"&gt;="&amp;$A100,Summary!$D$5:$D$241,"&lt;"&amp;$A100+7,Summary!$G$5:$G$241,"Yes"))</f>
        <v>0</v>
      </c>
      <c r="W100">
        <f>IF(W55="","",COUNTIFS(Summary!$E$5:$E$241,W55,Summary!$D$5:$D$241,"&gt;="&amp;$A100,Summary!$D$5:$D$241,"&lt;"&amp;$A100+7,Summary!$G$5:$G$241,"Yes"))</f>
        <v>0</v>
      </c>
      <c r="X100">
        <f>IF(X55="","",COUNTIFS(Summary!$E$5:$E$241,X55,Summary!$D$5:$D$241,"&gt;="&amp;$A100,Summary!$D$5:$D$241,"&lt;"&amp;$A100+7,Summary!$G$5:$G$241,"Yes"))</f>
        <v>0</v>
      </c>
      <c r="Y100">
        <f>IF(Y55="","",COUNTIFS(Summary!$E$5:$E$241,Y55,Summary!$D$5:$D$241,"&gt;="&amp;$A100,Summary!$D$5:$D$241,"&lt;"&amp;$A100+7,Summary!$G$5:$G$241,"Yes"))</f>
        <v>0</v>
      </c>
      <c r="Z100">
        <f>IF(Z55="","",COUNTIFS(Summary!$E$5:$E$241,Z55,Summary!$D$5:$D$241,"&gt;="&amp;$A100,Summary!$D$5:$D$241,"&lt;"&amp;$A100+7,Summary!$G$5:$G$241,"Yes"))</f>
        <v>0</v>
      </c>
      <c r="AA100">
        <f>IF(AA55="","",COUNTIFS(Summary!$E$5:$E$241,AA55,Summary!$D$5:$D$241,"&gt;="&amp;$A100,Summary!$D$5:$D$241,"&lt;"&amp;$A100+7,Summary!$G$5:$G$241,"Yes"))</f>
        <v>0</v>
      </c>
      <c r="AB100">
        <f>IF(AB55="","",COUNTIFS(Summary!$E$5:$E$241,AB55,Summary!$D$5:$D$241,"&gt;="&amp;$A100,Summary!$D$5:$D$241,"&lt;"&amp;$A100+7,Summary!$G$5:$G$241,"Yes"))</f>
        <v>0</v>
      </c>
      <c r="AC100">
        <f>IF(AC55="","",COUNTIFS(Summary!$E$5:$E$241,AC55,Summary!$D$5:$D$241,"&gt;="&amp;$A100,Summary!$D$5:$D$241,"&lt;"&amp;$A100+7,Summary!$G$5:$G$241,"Yes"))</f>
        <v>0</v>
      </c>
      <c r="AD100">
        <f>IF(AD55="","",COUNTIFS(Summary!$E$5:$E$241,AD55,Summary!$D$5:$D$241,"&gt;="&amp;$A100,Summary!$D$5:$D$241,"&lt;"&amp;$A100+7,Summary!$G$5:$G$241,"Yes"))</f>
        <v>0</v>
      </c>
      <c r="AE100">
        <f>IF(AE55="","",COUNTIFS(Summary!$E$5:$E$241,AE55,Summary!$D$5:$D$241,"&gt;="&amp;$A100,Summary!$D$5:$D$241,"&lt;"&amp;$A100+7,Summary!$G$5:$G$241,"Yes"))</f>
        <v>0</v>
      </c>
      <c r="AF100">
        <f>IF(AF55="","",COUNTIFS(Summary!$E$5:$E$241,AF55,Summary!$D$5:$D$241,"&gt;="&amp;$A100,Summary!$D$5:$D$241,"&lt;"&amp;$A100+7,Summary!$G$5:$G$241,"Yes"))</f>
        <v>0</v>
      </c>
      <c r="AG100">
        <f>IF(AG55="","",COUNTIFS(Summary!$E$5:$E$241,AG55,Summary!$D$5:$D$241,"&gt;="&amp;$A100,Summary!$D$5:$D$241,"&lt;"&amp;$A100+7,Summary!$G$5:$G$241,"Yes"))</f>
        <v>0</v>
      </c>
      <c r="AH100">
        <f>IF(AH55="","",COUNTIFS(Summary!$E$5:$E$241,AH55,Summary!$D$5:$D$241,"&gt;="&amp;$A100,Summary!$D$5:$D$241,"&lt;"&amp;$A100+7,Summary!$G$5:$G$241,"Yes"))</f>
        <v>0</v>
      </c>
      <c r="AI100">
        <f>IF(AI55="","",COUNTIFS(Summary!$E$5:$E$241,AI55,Summary!$D$5:$D$241,"&gt;="&amp;$A100,Summary!$D$5:$D$241,"&lt;"&amp;$A100+7,Summary!$G$5:$G$241,"Yes"))</f>
        <v>0</v>
      </c>
      <c r="AJ100">
        <f>IF(AJ55="","",COUNTIFS(Summary!$E$5:$E$241,AJ55,Summary!$D$5:$D$241,"&gt;="&amp;$A100,Summary!$D$5:$D$241,"&lt;"&amp;$A100+7,Summary!$G$5:$G$241,"Yes"))</f>
        <v>0</v>
      </c>
      <c r="AK100">
        <f>IF(AK55="","",COUNTIFS(Summary!$E$5:$E$241,AK55,Summary!$D$5:$D$241,"&gt;="&amp;$A100,Summary!$D$5:$D$241,"&lt;"&amp;$A100+7,Summary!$G$5:$G$241,"Yes"))</f>
        <v>0</v>
      </c>
      <c r="AL100">
        <f>IF(AL55="","",COUNTIFS(Summary!$E$5:$E$241,AL55,Summary!$D$5:$D$241,"&gt;="&amp;$A100,Summary!$D$5:$D$241,"&lt;"&amp;$A100+7,Summary!$G$5:$G$241,"Yes"))</f>
        <v>0</v>
      </c>
      <c r="AM100">
        <f>IF(AM55="","",COUNTIFS(Summary!$E$5:$E$241,AM55,Summary!$D$5:$D$241,"&gt;="&amp;$A100,Summary!$D$5:$D$241,"&lt;"&amp;$A100+7,Summary!$G$5:$G$241,"Yes"))</f>
        <v>0</v>
      </c>
      <c r="AN100">
        <f>IF(AN55="","",COUNTIFS(Summary!$E$5:$E$241,AN55,Summary!$D$5:$D$241,"&gt;="&amp;$A100,Summary!$D$5:$D$241,"&lt;"&amp;$A100+7,Summary!$G$5:$G$241,"Yes"))</f>
        <v>0</v>
      </c>
      <c r="AO100">
        <f>IF(AO55="","",COUNTIFS(Summary!$E$5:$E$241,AO55,Summary!$D$5:$D$241,"&gt;="&amp;$A100,Summary!$D$5:$D$241,"&lt;"&amp;$A100+7,Summary!$G$5:$G$241,"Yes"))</f>
        <v>0</v>
      </c>
      <c r="AP100">
        <f>IF(AP55="","",COUNTIFS(Summary!$E$5:$E$241,AP55,Summary!$D$5:$D$241,"&gt;="&amp;$A100,Summary!$D$5:$D$241,"&lt;"&amp;$A100+7,Summary!$G$5:$G$241,"Yes"))</f>
        <v>0</v>
      </c>
      <c r="AQ100">
        <f>IF(AQ55="","",COUNTIFS(Summary!$E$5:$E$241,AQ55,Summary!$D$5:$D$241,"&gt;="&amp;$A100,Summary!$D$5:$D$241,"&lt;"&amp;$A100+7,Summary!$G$5:$G$241,"Yes"))</f>
        <v>0</v>
      </c>
      <c r="AR100">
        <f>IF(AR55="","",COUNTIFS(Summary!$E$5:$E$241,AR55,Summary!$D$5:$D$241,"&gt;="&amp;$A100,Summary!$D$5:$D$241,"&lt;"&amp;$A100+7,Summary!$G$5:$G$241,"Yes"))</f>
        <v>0</v>
      </c>
      <c r="AS100">
        <f>IF(AS55="","",COUNTIFS(Summary!$E$5:$E$241,AS55,Summary!$D$5:$D$241,"&gt;="&amp;$A100,Summary!$D$5:$D$241,"&lt;"&amp;$A100+7,Summary!$G$5:$G$241,"Yes"))</f>
        <v>0</v>
      </c>
      <c r="AT100">
        <f>IF(AT55="","",COUNTIFS(Summary!$E$5:$E$241,AT55,Summary!$D$5:$D$241,"&gt;="&amp;$A100,Summary!$D$5:$D$241,"&lt;"&amp;$A100+7,Summary!$G$5:$G$241,"Yes"))</f>
        <v>0</v>
      </c>
      <c r="AU100">
        <f>IF(AU55="","",COUNTIFS(Summary!$E$5:$E$241,AU55,Summary!$D$5:$D$241,"&gt;="&amp;$A100,Summary!$D$5:$D$241,"&lt;"&amp;$A100+7,Summary!$G$5:$G$241,"Yes"))</f>
        <v>0</v>
      </c>
      <c r="AV100">
        <f>IF(AV55="","",COUNTIFS(Summary!$E$5:$E$241,AV55,Summary!$D$5:$D$241,"&gt;="&amp;$A100,Summary!$D$5:$D$241,"&lt;"&amp;$A100+7,Summary!$G$5:$G$241,"Yes"))</f>
        <v>0</v>
      </c>
      <c r="AW100">
        <f>IF(AW55="","",COUNTIFS(Summary!$E$5:$E$241,AW55,Summary!$D$5:$D$241,"&gt;="&amp;$A100,Summary!$D$5:$D$241,"&lt;"&amp;$A100+7,Summary!$G$5:$G$241,"Yes"))</f>
        <v>0</v>
      </c>
      <c r="AX100">
        <f>IF(AX55="","",COUNTIFS(Summary!$E$5:$E$241,AX55,Summary!$D$5:$D$241,"&gt;="&amp;$A100,Summary!$D$5:$D$241,"&lt;"&amp;$A100+7,Summary!$G$5:$G$241,"Yes"))</f>
        <v>0</v>
      </c>
      <c r="AY100">
        <f>IF(AY55="","",COUNTIFS(Summary!$E$5:$E$241,AY55,Summary!$D$5:$D$241,"&gt;="&amp;$A100,Summary!$D$5:$D$241,"&lt;"&amp;$A100+7,Summary!$G$5:$G$241,"Yes"))</f>
        <v>0</v>
      </c>
      <c r="AZ100">
        <f>IF(AZ55="","",COUNTIFS(Summary!$E$5:$E$241,AZ55,Summary!$D$5:$D$241,"&gt;="&amp;$A100,Summary!$D$5:$D$241,"&lt;"&amp;$A100+7,Summary!$G$5:$G$241,"Yes"))</f>
        <v>0</v>
      </c>
      <c r="BA100">
        <f>IF(BA55="","",COUNTIFS(Summary!$E$5:$E$241,BA55,Summary!$D$5:$D$241,"&gt;="&amp;$A100,Summary!$D$5:$D$241,"&lt;"&amp;$A100+7,Summary!$G$5:$G$241,"Yes"))</f>
        <v>0</v>
      </c>
      <c r="BB100">
        <f>IF(BB55="","",COUNTIFS(Summary!$E$5:$E$241,BB55,Summary!$D$5:$D$241,"&gt;="&amp;$A100,Summary!$D$5:$D$241,"&lt;"&amp;$A100+7,Summary!$G$5:$G$241,"Yes"))</f>
        <v>0</v>
      </c>
      <c r="BC100">
        <f>IF(BC55="","",COUNTIFS(Summary!$E$5:$E$241,BC55,Summary!$D$5:$D$241,"&gt;="&amp;$A100,Summary!$D$5:$D$241,"&lt;"&amp;$A100+7,Summary!$G$5:$G$241,"Yes"))</f>
        <v>0</v>
      </c>
      <c r="BD100">
        <f>IF(BD55="","",COUNTIFS(Summary!$E$5:$E$241,BD55,Summary!$D$5:$D$241,"&gt;="&amp;$A100,Summary!$D$5:$D$241,"&lt;"&amp;$A100+7,Summary!$G$5:$G$241,"Yes"))</f>
        <v>0</v>
      </c>
      <c r="BE100">
        <f>IF(BE55="","",COUNTIFS(Summary!$E$5:$E$241,BE55,Summary!$D$5:$D$241,"&gt;="&amp;$A100,Summary!$D$5:$D$241,"&lt;"&amp;$A100+7,Summary!$G$5:$G$241,"Yes"))</f>
        <v>0</v>
      </c>
      <c r="BF100" s="28">
        <f>IF(BF55="","",COUNTIFS(Summary!$E$5:$E$241,BF55,Summary!$D$5:$D$241,"&gt;="&amp;$A100,Summary!$D$5:$D$241,"&lt;"&amp;$A100+7,Summary!$G$5:$G$241,"Yes"))</f>
        <v>0</v>
      </c>
    </row>
    <row r="101" spans="1:58">
      <c r="A101" s="12" t="s">
        <v>1281</v>
      </c>
      <c r="B101" s="13"/>
      <c r="C101" s="13">
        <f t="shared" ref="C101:AH101" si="6">SUM(C56:C100)</f>
        <v>2</v>
      </c>
      <c r="D101" s="13">
        <f t="shared" si="6"/>
        <v>1</v>
      </c>
      <c r="E101" s="13">
        <f t="shared" si="6"/>
        <v>0</v>
      </c>
      <c r="F101" s="13">
        <f t="shared" si="6"/>
        <v>0</v>
      </c>
      <c r="G101" s="13">
        <f t="shared" si="6"/>
        <v>1</v>
      </c>
      <c r="H101" s="13">
        <f t="shared" si="6"/>
        <v>2</v>
      </c>
      <c r="I101" s="13">
        <f t="shared" si="6"/>
        <v>1</v>
      </c>
      <c r="J101" s="13">
        <f t="shared" si="6"/>
        <v>0</v>
      </c>
      <c r="K101" s="13">
        <f t="shared" si="6"/>
        <v>2</v>
      </c>
      <c r="L101" s="13">
        <f t="shared" si="6"/>
        <v>1</v>
      </c>
      <c r="M101" s="13">
        <f t="shared" si="6"/>
        <v>4</v>
      </c>
      <c r="N101" s="13">
        <f t="shared" si="6"/>
        <v>0</v>
      </c>
      <c r="O101" s="13">
        <f t="shared" si="6"/>
        <v>0</v>
      </c>
      <c r="P101" s="13">
        <f t="shared" si="6"/>
        <v>0</v>
      </c>
      <c r="Q101" s="13">
        <f t="shared" si="6"/>
        <v>5</v>
      </c>
      <c r="R101" s="13">
        <f t="shared" si="6"/>
        <v>1</v>
      </c>
      <c r="S101" s="13">
        <f t="shared" si="6"/>
        <v>3</v>
      </c>
      <c r="T101" s="13">
        <f t="shared" si="6"/>
        <v>0</v>
      </c>
      <c r="U101" s="13">
        <f t="shared" si="6"/>
        <v>0</v>
      </c>
      <c r="V101" s="13">
        <f t="shared" si="6"/>
        <v>0</v>
      </c>
      <c r="W101" s="13">
        <f t="shared" si="6"/>
        <v>0</v>
      </c>
      <c r="X101" s="13">
        <f t="shared" si="6"/>
        <v>0</v>
      </c>
      <c r="Y101" s="13">
        <f t="shared" si="6"/>
        <v>1</v>
      </c>
      <c r="Z101" s="13">
        <f t="shared" si="6"/>
        <v>0</v>
      </c>
      <c r="AA101" s="13">
        <f t="shared" si="6"/>
        <v>0</v>
      </c>
      <c r="AB101" s="13">
        <f t="shared" si="6"/>
        <v>0</v>
      </c>
      <c r="AC101" s="13">
        <f t="shared" si="6"/>
        <v>0</v>
      </c>
      <c r="AD101" s="13">
        <f t="shared" si="6"/>
        <v>0</v>
      </c>
      <c r="AE101" s="13">
        <f t="shared" si="6"/>
        <v>0</v>
      </c>
      <c r="AF101" s="13">
        <f t="shared" si="6"/>
        <v>0</v>
      </c>
      <c r="AG101" s="13">
        <f t="shared" si="6"/>
        <v>0</v>
      </c>
      <c r="AH101" s="13">
        <f t="shared" si="6"/>
        <v>0</v>
      </c>
      <c r="AI101" s="13">
        <f t="shared" ref="AI101:BF101" si="7">SUM(AI56:AI100)</f>
        <v>0</v>
      </c>
      <c r="AJ101" s="13">
        <f t="shared" si="7"/>
        <v>0</v>
      </c>
      <c r="AK101" s="13">
        <f t="shared" si="7"/>
        <v>0</v>
      </c>
      <c r="AL101" s="13">
        <f t="shared" si="7"/>
        <v>0</v>
      </c>
      <c r="AM101" s="13">
        <f t="shared" si="7"/>
        <v>0</v>
      </c>
      <c r="AN101" s="13">
        <f t="shared" si="7"/>
        <v>0</v>
      </c>
      <c r="AO101" s="13">
        <f t="shared" si="7"/>
        <v>0</v>
      </c>
      <c r="AP101" s="13">
        <f t="shared" si="7"/>
        <v>0</v>
      </c>
      <c r="AQ101" s="13">
        <f t="shared" si="7"/>
        <v>0</v>
      </c>
      <c r="AR101" s="13">
        <f t="shared" si="7"/>
        <v>0</v>
      </c>
      <c r="AS101" s="13">
        <f t="shared" si="7"/>
        <v>0</v>
      </c>
      <c r="AT101" s="13">
        <f t="shared" si="7"/>
        <v>0</v>
      </c>
      <c r="AU101" s="13">
        <f t="shared" si="7"/>
        <v>0</v>
      </c>
      <c r="AV101" s="13">
        <f t="shared" si="7"/>
        <v>0</v>
      </c>
      <c r="AW101" s="13">
        <f t="shared" si="7"/>
        <v>0</v>
      </c>
      <c r="AX101" s="13">
        <f t="shared" si="7"/>
        <v>0</v>
      </c>
      <c r="AY101" s="13">
        <f t="shared" si="7"/>
        <v>0</v>
      </c>
      <c r="AZ101" s="13">
        <f t="shared" si="7"/>
        <v>0</v>
      </c>
      <c r="BA101" s="13">
        <f t="shared" si="7"/>
        <v>0</v>
      </c>
      <c r="BB101" s="13">
        <f t="shared" si="7"/>
        <v>0</v>
      </c>
      <c r="BC101" s="13">
        <f t="shared" si="7"/>
        <v>0</v>
      </c>
      <c r="BD101" s="13">
        <f t="shared" si="7"/>
        <v>0</v>
      </c>
      <c r="BE101" s="13">
        <f t="shared" si="7"/>
        <v>0</v>
      </c>
      <c r="BF101" s="14">
        <f t="shared" si="7"/>
        <v>0</v>
      </c>
    </row>
    <row r="103" spans="1:58" ht="27.6">
      <c r="A103" s="8" t="s">
        <v>1283</v>
      </c>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row>
    <row r="104" spans="1:58" ht="41.4">
      <c r="A104" s="9"/>
      <c r="B104" s="10" t="s">
        <v>1257</v>
      </c>
      <c r="C104" s="10" t="str">
        <f>Settings!B4</f>
        <v>Ref. leak/ Low charge</v>
      </c>
      <c r="D104" s="10" t="str">
        <f>Settings!B5</f>
        <v>Doors</v>
      </c>
      <c r="E104" s="10" t="str">
        <f>Settings!B6</f>
        <v>Doors</v>
      </c>
      <c r="F104" s="10" t="str">
        <f>Settings!B7</f>
        <v>Doors</v>
      </c>
      <c r="G104" s="10" t="str">
        <f>Settings!B8</f>
        <v>Doors</v>
      </c>
      <c r="H104" s="10" t="str">
        <f>Settings!B9</f>
        <v>Doors</v>
      </c>
      <c r="I104" s="10" t="str">
        <f>Settings!B10</f>
        <v>Doors</v>
      </c>
      <c r="J104" s="10" t="str">
        <f>Settings!B11</f>
        <v>Drain tube blocked</v>
      </c>
      <c r="K104" s="10" t="str">
        <f>Settings!B12</f>
        <v>Wrong / Loose wiring</v>
      </c>
      <c r="L104" s="10" t="str">
        <f>Settings!B13</f>
        <v>Communication problem</v>
      </c>
      <c r="M104" s="10" t="str">
        <f>Settings!B14</f>
        <v>High Store RH</v>
      </c>
      <c r="N104" s="10" t="str">
        <f>Settings!B15</f>
        <v>Enclosure Seal</v>
      </c>
      <c r="O104" s="10" t="str">
        <f>Settings!B16</f>
        <v>Component Failure</v>
      </c>
      <c r="P104" s="10" t="str">
        <f>Settings!B17</f>
        <v>Defrost Sync</v>
      </c>
      <c r="Q104" s="10" t="str">
        <f>Settings!B18</f>
        <v>False Alarm</v>
      </c>
      <c r="R104" s="10" t="str">
        <f>Settings!B19</f>
        <v>Setpoint change</v>
      </c>
      <c r="S104" s="10" t="str">
        <f>Settings!B20</f>
        <v>Overstocking</v>
      </c>
      <c r="T104" s="10" t="str">
        <f>Settings!B21</f>
        <v>Case End Seal</v>
      </c>
      <c r="U104" s="10" t="str">
        <f>Settings!B22</f>
        <v>Return Air blocked</v>
      </c>
      <c r="V104" s="10" t="str">
        <f>Settings!B23</f>
        <v>Unidentified air leak</v>
      </c>
      <c r="W104" s="10" t="str">
        <f>Settings!B24</f>
        <v>Freedom</v>
      </c>
      <c r="X104" s="10" t="str">
        <f>Settings!B25</f>
        <v>Heavy case load</v>
      </c>
      <c r="Y104" s="10" t="str">
        <f>Settings!B26</f>
        <v>DG Installation issue</v>
      </c>
      <c r="Z104" s="10" t="str">
        <f>Settings!B27</f>
        <v>Unknown</v>
      </c>
      <c r="AA104" s="10" t="str">
        <f>Settings!B28</f>
        <v>Program change - Hussmann</v>
      </c>
      <c r="AB104" s="10" t="str">
        <f>Settings!B29</f>
        <v>Wrong program</v>
      </c>
      <c r="AC104" s="10">
        <f>Settings!B30</f>
        <v>0</v>
      </c>
      <c r="AD104" s="10">
        <f>Settings!B31</f>
        <v>0</v>
      </c>
      <c r="AE104" s="10">
        <f>Settings!B32</f>
        <v>0</v>
      </c>
      <c r="AF104" s="10">
        <f>Settings!B33</f>
        <v>0</v>
      </c>
      <c r="AG104" s="10">
        <f>Settings!B34</f>
        <v>0</v>
      </c>
      <c r="AH104" s="10">
        <f>Settings!B35</f>
        <v>0</v>
      </c>
      <c r="AI104" s="10">
        <f>Settings!B36</f>
        <v>0</v>
      </c>
      <c r="AJ104" s="10">
        <f>Settings!B37</f>
        <v>0</v>
      </c>
      <c r="AK104" s="10">
        <f>Settings!B38</f>
        <v>0</v>
      </c>
      <c r="AL104" s="10">
        <f>Settings!B39</f>
        <v>0</v>
      </c>
      <c r="AM104" s="10">
        <f>Settings!B40</f>
        <v>0</v>
      </c>
      <c r="AN104" s="10">
        <f>Settings!B41</f>
        <v>0</v>
      </c>
      <c r="AO104" s="10">
        <f>Settings!B42</f>
        <v>0</v>
      </c>
      <c r="AP104" s="10">
        <f>Settings!B43</f>
        <v>0</v>
      </c>
      <c r="AQ104" s="10">
        <f>Settings!B44</f>
        <v>0</v>
      </c>
      <c r="AR104" s="10">
        <f>Settings!B45</f>
        <v>0</v>
      </c>
      <c r="AS104" s="10">
        <f>Settings!B46</f>
        <v>0</v>
      </c>
      <c r="AT104" s="10">
        <f>Settings!B47</f>
        <v>0</v>
      </c>
      <c r="AU104" s="10">
        <f>Settings!B48</f>
        <v>0</v>
      </c>
      <c r="AV104" s="10">
        <f>Settings!B49</f>
        <v>0</v>
      </c>
      <c r="AW104" s="10">
        <f>Settings!B50</f>
        <v>0</v>
      </c>
      <c r="AX104" s="10">
        <f>Settings!B51</f>
        <v>0</v>
      </c>
      <c r="AY104" s="10">
        <f>Settings!B52</f>
        <v>0</v>
      </c>
      <c r="AZ104" s="10">
        <f>Settings!B53</f>
        <v>0</v>
      </c>
      <c r="BA104" s="10">
        <f>Settings!B54</f>
        <v>0</v>
      </c>
      <c r="BB104" s="10">
        <f>Settings!B55</f>
        <v>0</v>
      </c>
      <c r="BC104" s="10">
        <f>Settings!B56</f>
        <v>0</v>
      </c>
      <c r="BD104" s="10">
        <f>Settings!B57</f>
        <v>0</v>
      </c>
      <c r="BE104" s="10">
        <f>Settings!B58</f>
        <v>0</v>
      </c>
      <c r="BF104" s="11">
        <f>Settings!B59</f>
        <v>0</v>
      </c>
    </row>
    <row r="105" spans="1:58" ht="41.4">
      <c r="A105" s="83" t="s">
        <v>1280</v>
      </c>
      <c r="B105" s="84" t="s">
        <v>1139</v>
      </c>
      <c r="C105" s="84" t="str">
        <f>Settings!A4</f>
        <v>Ref. leak/ Low charge</v>
      </c>
      <c r="D105" s="84" t="str">
        <f>Settings!A5</f>
        <v>Door Torque</v>
      </c>
      <c r="E105" s="84" t="str">
        <f>Settings!A6</f>
        <v>Door Gasket</v>
      </c>
      <c r="F105" s="84" t="str">
        <f>Settings!A7</f>
        <v>Door frame heater</v>
      </c>
      <c r="G105" s="84" t="str">
        <f>Settings!A8</f>
        <v>Door Torsion rod</v>
      </c>
      <c r="H105" s="84" t="str">
        <f>Settings!A9</f>
        <v>Door not closed (Overnight)</v>
      </c>
      <c r="I105" s="84" t="str">
        <f>Settings!A10</f>
        <v>Door - general</v>
      </c>
      <c r="J105" s="84" t="str">
        <f>Settings!A11</f>
        <v>Drain tube blocked</v>
      </c>
      <c r="K105" s="84" t="str">
        <f>Settings!A12</f>
        <v>Wrong / Loose wiring</v>
      </c>
      <c r="L105" s="84" t="str">
        <f>Settings!A13</f>
        <v>Communication problem</v>
      </c>
      <c r="M105" s="84" t="str">
        <f>Settings!A14</f>
        <v>High Store RH</v>
      </c>
      <c r="N105" s="84" t="str">
        <f>Settings!A15</f>
        <v>Enclosure Seal</v>
      </c>
      <c r="O105" s="84" t="str">
        <f>Settings!A16</f>
        <v>Component Failure</v>
      </c>
      <c r="P105" s="84" t="str">
        <f>Settings!A17</f>
        <v>Defrost Sync</v>
      </c>
      <c r="Q105" s="84" t="str">
        <f>Settings!A18</f>
        <v>False Alarm</v>
      </c>
      <c r="R105" s="84" t="str">
        <f>Settings!A19</f>
        <v>Setpoint change</v>
      </c>
      <c r="S105" s="84" t="str">
        <f>Settings!A20</f>
        <v>Overstocking</v>
      </c>
      <c r="T105" s="84" t="str">
        <f>Settings!A21</f>
        <v>Case End Seal</v>
      </c>
      <c r="U105" s="84" t="str">
        <f>Settings!A22</f>
        <v>Return Air blocked</v>
      </c>
      <c r="V105" s="84" t="str">
        <f>Settings!A23</f>
        <v>Unidentified air leak</v>
      </c>
      <c r="W105" s="84" t="str">
        <f>Settings!A24</f>
        <v>Freedom</v>
      </c>
      <c r="X105" s="84" t="str">
        <f>Settings!A25</f>
        <v>Heavy case load</v>
      </c>
      <c r="Y105" s="84" t="str">
        <f>Settings!A26</f>
        <v>DG Installation issue</v>
      </c>
      <c r="Z105" s="84" t="str">
        <f>Settings!A27</f>
        <v>Unknown</v>
      </c>
      <c r="AA105" s="84" t="str">
        <f>Settings!A28</f>
        <v>Program change - Hussmann</v>
      </c>
      <c r="AB105" s="84" t="str">
        <f>Settings!A29</f>
        <v>Wrong program</v>
      </c>
      <c r="AC105" s="84">
        <f>Settings!A30</f>
        <v>0</v>
      </c>
      <c r="AD105" s="84">
        <f>Settings!A31</f>
        <v>0</v>
      </c>
      <c r="AE105" s="84">
        <f>Settings!A32</f>
        <v>0</v>
      </c>
      <c r="AF105" s="84">
        <f>Settings!A33</f>
        <v>0</v>
      </c>
      <c r="AG105" s="84">
        <f>Settings!A34</f>
        <v>0</v>
      </c>
      <c r="AH105" s="84">
        <f>Settings!A35</f>
        <v>0</v>
      </c>
      <c r="AI105" s="84">
        <f>Settings!A36</f>
        <v>0</v>
      </c>
      <c r="AJ105" s="84">
        <f>Settings!A37</f>
        <v>0</v>
      </c>
      <c r="AK105" s="84">
        <f>Settings!A38</f>
        <v>0</v>
      </c>
      <c r="AL105" s="84">
        <f>Settings!A39</f>
        <v>0</v>
      </c>
      <c r="AM105" s="84">
        <f>Settings!A40</f>
        <v>0</v>
      </c>
      <c r="AN105" s="84">
        <f>Settings!A41</f>
        <v>0</v>
      </c>
      <c r="AO105" s="84">
        <f>Settings!A42</f>
        <v>0</v>
      </c>
      <c r="AP105" s="84">
        <f>Settings!A43</f>
        <v>0</v>
      </c>
      <c r="AQ105" s="84">
        <f>Settings!A44</f>
        <v>0</v>
      </c>
      <c r="AR105" s="84">
        <f>Settings!A45</f>
        <v>0</v>
      </c>
      <c r="AS105" s="84">
        <f>Settings!A46</f>
        <v>0</v>
      </c>
      <c r="AT105" s="84">
        <f>Settings!A47</f>
        <v>0</v>
      </c>
      <c r="AU105" s="84">
        <f>Settings!A48</f>
        <v>0</v>
      </c>
      <c r="AV105" s="84">
        <f>Settings!A49</f>
        <v>0</v>
      </c>
      <c r="AW105" s="84">
        <f>Settings!A50</f>
        <v>0</v>
      </c>
      <c r="AX105" s="84">
        <f>Settings!A51</f>
        <v>0</v>
      </c>
      <c r="AY105" s="84">
        <f>Settings!A52</f>
        <v>0</v>
      </c>
      <c r="AZ105" s="84">
        <f>Settings!A53</f>
        <v>0</v>
      </c>
      <c r="BA105" s="84">
        <f>Settings!A54</f>
        <v>0</v>
      </c>
      <c r="BB105" s="84">
        <f>Settings!A55</f>
        <v>0</v>
      </c>
      <c r="BC105" s="84">
        <f>Settings!A56</f>
        <v>0</v>
      </c>
      <c r="BD105" s="84">
        <f>Settings!A57</f>
        <v>0</v>
      </c>
      <c r="BE105" s="84">
        <f>Settings!A58</f>
        <v>0</v>
      </c>
      <c r="BF105" s="85">
        <f>Settings!A59</f>
        <v>0</v>
      </c>
    </row>
    <row r="106" spans="1:58">
      <c r="A106" s="70">
        <f>MIN(Summary!$A$5:$A$241)-WEEKDAY(MIN(Summary!$A$5:$A$241),2)+1</f>
        <v>46090.344340277778</v>
      </c>
      <c r="B106" s="2" t="str">
        <f t="shared" ref="B106:B150" si="8">TEXT(A106,"mmm d")</f>
        <v>Mar 9</v>
      </c>
      <c r="C106">
        <f>IF(C105="","",COUNTIFS(Summary!$E$5:$E$241,C105,Summary!$A$5:$A$241,"&gt;="&amp;$A106,Summary!$A$5:$A$241,"&lt;"&amp;$A106+7))</f>
        <v>0</v>
      </c>
      <c r="D106">
        <f>IF(D105="","",COUNTIFS(Summary!$E$5:$E$241,D105,Summary!$A$5:$A$241,"&gt;="&amp;$A106,Summary!$A$5:$A$241,"&lt;"&amp;$A106+7))</f>
        <v>1</v>
      </c>
      <c r="E106">
        <f>IF(E105="","",COUNTIFS(Summary!$E$5:$E$241,E105,Summary!$A$5:$A$241,"&gt;="&amp;$A106,Summary!$A$5:$A$241,"&lt;"&amp;$A106+7))</f>
        <v>0</v>
      </c>
      <c r="F106">
        <f>IF(F105="","",COUNTIFS(Summary!$E$5:$E$241,F105,Summary!$A$5:$A$241,"&gt;="&amp;$A106,Summary!$A$5:$A$241,"&lt;"&amp;$A106+7))</f>
        <v>0</v>
      </c>
      <c r="G106">
        <f>IF(G105="","",COUNTIFS(Summary!$E$5:$E$241,G105,Summary!$A$5:$A$241,"&gt;="&amp;$A106,Summary!$A$5:$A$241,"&lt;"&amp;$A106+7))</f>
        <v>0</v>
      </c>
      <c r="H106">
        <f>IF(H105="","",COUNTIFS(Summary!$E$5:$E$241,H105,Summary!$A$5:$A$241,"&gt;="&amp;$A106,Summary!$A$5:$A$241,"&lt;"&amp;$A106+7))</f>
        <v>0</v>
      </c>
      <c r="I106">
        <f>IF(I105="","",COUNTIFS(Summary!$E$5:$E$241,I105,Summary!$A$5:$A$241,"&gt;="&amp;$A106,Summary!$A$5:$A$241,"&lt;"&amp;$A106+7))</f>
        <v>0</v>
      </c>
      <c r="J106">
        <f>IF(J105="","",COUNTIFS(Summary!$E$5:$E$241,J105,Summary!$A$5:$A$241,"&gt;="&amp;$A106,Summary!$A$5:$A$241,"&lt;"&amp;$A106+7))</f>
        <v>2</v>
      </c>
      <c r="K106">
        <f>IF(K105="","",COUNTIFS(Summary!$E$5:$E$241,K105,Summary!$A$5:$A$241,"&gt;="&amp;$A106,Summary!$A$5:$A$241,"&lt;"&amp;$A106+7))</f>
        <v>0</v>
      </c>
      <c r="L106">
        <f>IF(L105="","",COUNTIFS(Summary!$E$5:$E$241,L105,Summary!$A$5:$A$241,"&gt;="&amp;$A106,Summary!$A$5:$A$241,"&lt;"&amp;$A106+7))</f>
        <v>0</v>
      </c>
      <c r="M106">
        <f>IF(M105="","",COUNTIFS(Summary!$E$5:$E$241,M105,Summary!$A$5:$A$241,"&gt;="&amp;$A106,Summary!$A$5:$A$241,"&lt;"&amp;$A106+7))</f>
        <v>1</v>
      </c>
      <c r="N106">
        <f>IF(N105="","",COUNTIFS(Summary!$E$5:$E$241,N105,Summary!$A$5:$A$241,"&gt;="&amp;$A106,Summary!$A$5:$A$241,"&lt;"&amp;$A106+7))</f>
        <v>0</v>
      </c>
      <c r="O106">
        <f>IF(O105="","",COUNTIFS(Summary!$E$5:$E$241,O105,Summary!$A$5:$A$241,"&gt;="&amp;$A106,Summary!$A$5:$A$241,"&lt;"&amp;$A106+7))</f>
        <v>0</v>
      </c>
      <c r="P106">
        <f>IF(P105="","",COUNTIFS(Summary!$E$5:$E$241,P105,Summary!$A$5:$A$241,"&gt;="&amp;$A106,Summary!$A$5:$A$241,"&lt;"&amp;$A106+7))</f>
        <v>0</v>
      </c>
      <c r="Q106">
        <f>IF(Q105="","",COUNTIFS(Summary!$E$5:$E$241,Q105,Summary!$A$5:$A$241,"&gt;="&amp;$A106,Summary!$A$5:$A$241,"&lt;"&amp;$A106+7))</f>
        <v>0</v>
      </c>
      <c r="R106">
        <f>IF(R105="","",COUNTIFS(Summary!$E$5:$E$241,R105,Summary!$A$5:$A$241,"&gt;="&amp;$A106,Summary!$A$5:$A$241,"&lt;"&amp;$A106+7))</f>
        <v>0</v>
      </c>
      <c r="S106">
        <f>IF(S105="","",COUNTIFS(Summary!$E$5:$E$241,S105,Summary!$A$5:$A$241,"&gt;="&amp;$A106,Summary!$A$5:$A$241,"&lt;"&amp;$A106+7))</f>
        <v>0</v>
      </c>
      <c r="T106">
        <f>IF(T105="","",COUNTIFS(Summary!$E$5:$E$241,T105,Summary!$A$5:$A$241,"&gt;="&amp;$A106,Summary!$A$5:$A$241,"&lt;"&amp;$A106+7))</f>
        <v>0</v>
      </c>
      <c r="U106">
        <f>IF(U105="","",COUNTIFS(Summary!$E$5:$E$241,U105,Summary!$A$5:$A$241,"&gt;="&amp;$A106,Summary!$A$5:$A$241,"&lt;"&amp;$A106+7))</f>
        <v>0</v>
      </c>
      <c r="V106">
        <f>IF(V105="","",COUNTIFS(Summary!$E$5:$E$241,V105,Summary!$A$5:$A$241,"&gt;="&amp;$A106,Summary!$A$5:$A$241,"&lt;"&amp;$A106+7))</f>
        <v>0</v>
      </c>
      <c r="W106">
        <f>IF(W105="","",COUNTIFS(Summary!$E$5:$E$241,W105,Summary!$A$5:$A$241,"&gt;="&amp;$A106,Summary!$A$5:$A$241,"&lt;"&amp;$A106+7))</f>
        <v>0</v>
      </c>
      <c r="X106">
        <f>IF(X105="","",COUNTIFS(Summary!$E$5:$E$241,X105,Summary!$A$5:$A$241,"&gt;="&amp;$A106,Summary!$A$5:$A$241,"&lt;"&amp;$A106+7))</f>
        <v>0</v>
      </c>
      <c r="Y106">
        <f>IF(Y105="","",COUNTIFS(Summary!$E$5:$E$241,Y105,Summary!$A$5:$A$241,"&gt;="&amp;$A106,Summary!$A$5:$A$241,"&lt;"&amp;$A106+7))</f>
        <v>0</v>
      </c>
      <c r="Z106">
        <f>IF(Z105="","",COUNTIFS(Summary!$E$5:$E$241,Z105,Summary!$A$5:$A$241,"&gt;="&amp;$A106,Summary!$A$5:$A$241,"&lt;"&amp;$A106+7))</f>
        <v>0</v>
      </c>
      <c r="AA106">
        <f>IF(AA105="","",COUNTIFS(Summary!$E$5:$E$241,AA105,Summary!$A$5:$A$241,"&gt;="&amp;$A106,Summary!$A$5:$A$241,"&lt;"&amp;$A106+7))</f>
        <v>0</v>
      </c>
      <c r="AB106">
        <f>IF(AB105="","",COUNTIFS(Summary!$E$5:$E$241,AB105,Summary!$A$5:$A$241,"&gt;="&amp;$A106,Summary!$A$5:$A$241,"&lt;"&amp;$A106+7))</f>
        <v>0</v>
      </c>
      <c r="AC106">
        <f>IF(AC105="","",COUNTIFS(Summary!$E$5:$E$241,AC105,Summary!$A$5:$A$241,"&gt;="&amp;$A106,Summary!$A$5:$A$241,"&lt;"&amp;$A106+7))</f>
        <v>0</v>
      </c>
      <c r="AD106">
        <f>IF(AD105="","",COUNTIFS(Summary!$E$5:$E$241,AD105,Summary!$A$5:$A$241,"&gt;="&amp;$A106,Summary!$A$5:$A$241,"&lt;"&amp;$A106+7))</f>
        <v>0</v>
      </c>
      <c r="AE106">
        <f>IF(AE105="","",COUNTIFS(Summary!$E$5:$E$241,AE105,Summary!$A$5:$A$241,"&gt;="&amp;$A106,Summary!$A$5:$A$241,"&lt;"&amp;$A106+7))</f>
        <v>0</v>
      </c>
      <c r="AF106">
        <f>IF(AF105="","",COUNTIFS(Summary!$E$5:$E$241,AF105,Summary!$A$5:$A$241,"&gt;="&amp;$A106,Summary!$A$5:$A$241,"&lt;"&amp;$A106+7))</f>
        <v>0</v>
      </c>
      <c r="AG106">
        <f>IF(AG105="","",COUNTIFS(Summary!$E$5:$E$241,AG105,Summary!$A$5:$A$241,"&gt;="&amp;$A106,Summary!$A$5:$A$241,"&lt;"&amp;$A106+7))</f>
        <v>0</v>
      </c>
      <c r="AH106">
        <f>IF(AH105="","",COUNTIFS(Summary!$E$5:$E$241,AH105,Summary!$A$5:$A$241,"&gt;="&amp;$A106,Summary!$A$5:$A$241,"&lt;"&amp;$A106+7))</f>
        <v>0</v>
      </c>
      <c r="AI106">
        <f>IF(AI105="","",COUNTIFS(Summary!$E$5:$E$241,AI105,Summary!$A$5:$A$241,"&gt;="&amp;$A106,Summary!$A$5:$A$241,"&lt;"&amp;$A106+7))</f>
        <v>0</v>
      </c>
      <c r="AJ106">
        <f>IF(AJ105="","",COUNTIFS(Summary!$E$5:$E$241,AJ105,Summary!$A$5:$A$241,"&gt;="&amp;$A106,Summary!$A$5:$A$241,"&lt;"&amp;$A106+7))</f>
        <v>0</v>
      </c>
      <c r="AK106">
        <f>IF(AK105="","",COUNTIFS(Summary!$E$5:$E$241,AK105,Summary!$A$5:$A$241,"&gt;="&amp;$A106,Summary!$A$5:$A$241,"&lt;"&amp;$A106+7))</f>
        <v>0</v>
      </c>
      <c r="AL106">
        <f>IF(AL105="","",COUNTIFS(Summary!$E$5:$E$241,AL105,Summary!$A$5:$A$241,"&gt;="&amp;$A106,Summary!$A$5:$A$241,"&lt;"&amp;$A106+7))</f>
        <v>0</v>
      </c>
      <c r="AM106">
        <f>IF(AM105="","",COUNTIFS(Summary!$E$5:$E$241,AM105,Summary!$A$5:$A$241,"&gt;="&amp;$A106,Summary!$A$5:$A$241,"&lt;"&amp;$A106+7))</f>
        <v>0</v>
      </c>
      <c r="AN106">
        <f>IF(AN105="","",COUNTIFS(Summary!$E$5:$E$241,AN105,Summary!$A$5:$A$241,"&gt;="&amp;$A106,Summary!$A$5:$A$241,"&lt;"&amp;$A106+7))</f>
        <v>0</v>
      </c>
      <c r="AO106">
        <f>IF(AO105="","",COUNTIFS(Summary!$E$5:$E$241,AO105,Summary!$A$5:$A$241,"&gt;="&amp;$A106,Summary!$A$5:$A$241,"&lt;"&amp;$A106+7))</f>
        <v>0</v>
      </c>
      <c r="AP106">
        <f>IF(AP105="","",COUNTIFS(Summary!$E$5:$E$241,AP105,Summary!$A$5:$A$241,"&gt;="&amp;$A106,Summary!$A$5:$A$241,"&lt;"&amp;$A106+7))</f>
        <v>0</v>
      </c>
      <c r="AQ106">
        <f>IF(AQ105="","",COUNTIFS(Summary!$E$5:$E$241,AQ105,Summary!$A$5:$A$241,"&gt;="&amp;$A106,Summary!$A$5:$A$241,"&lt;"&amp;$A106+7))</f>
        <v>0</v>
      </c>
      <c r="AR106">
        <f>IF(AR105="","",COUNTIFS(Summary!$E$5:$E$241,AR105,Summary!$A$5:$A$241,"&gt;="&amp;$A106,Summary!$A$5:$A$241,"&lt;"&amp;$A106+7))</f>
        <v>0</v>
      </c>
      <c r="AS106">
        <f>IF(AS105="","",COUNTIFS(Summary!$E$5:$E$241,AS105,Summary!$A$5:$A$241,"&gt;="&amp;$A106,Summary!$A$5:$A$241,"&lt;"&amp;$A106+7))</f>
        <v>0</v>
      </c>
      <c r="AT106">
        <f>IF(AT105="","",COUNTIFS(Summary!$E$5:$E$241,AT105,Summary!$A$5:$A$241,"&gt;="&amp;$A106,Summary!$A$5:$A$241,"&lt;"&amp;$A106+7))</f>
        <v>0</v>
      </c>
      <c r="AU106">
        <f>IF(AU105="","",COUNTIFS(Summary!$E$5:$E$241,AU105,Summary!$A$5:$A$241,"&gt;="&amp;$A106,Summary!$A$5:$A$241,"&lt;"&amp;$A106+7))</f>
        <v>0</v>
      </c>
      <c r="AV106">
        <f>IF(AV105="","",COUNTIFS(Summary!$E$5:$E$241,AV105,Summary!$A$5:$A$241,"&gt;="&amp;$A106,Summary!$A$5:$A$241,"&lt;"&amp;$A106+7))</f>
        <v>0</v>
      </c>
      <c r="AW106">
        <f>IF(AW105="","",COUNTIFS(Summary!$E$5:$E$241,AW105,Summary!$A$5:$A$241,"&gt;="&amp;$A106,Summary!$A$5:$A$241,"&lt;"&amp;$A106+7))</f>
        <v>0</v>
      </c>
      <c r="AX106">
        <f>IF(AX105="","",COUNTIFS(Summary!$E$5:$E$241,AX105,Summary!$A$5:$A$241,"&gt;="&amp;$A106,Summary!$A$5:$A$241,"&lt;"&amp;$A106+7))</f>
        <v>0</v>
      </c>
      <c r="AY106">
        <f>IF(AY105="","",COUNTIFS(Summary!$E$5:$E$241,AY105,Summary!$A$5:$A$241,"&gt;="&amp;$A106,Summary!$A$5:$A$241,"&lt;"&amp;$A106+7))</f>
        <v>0</v>
      </c>
      <c r="AZ106">
        <f>IF(AZ105="","",COUNTIFS(Summary!$E$5:$E$241,AZ105,Summary!$A$5:$A$241,"&gt;="&amp;$A106,Summary!$A$5:$A$241,"&lt;"&amp;$A106+7))</f>
        <v>0</v>
      </c>
      <c r="BA106">
        <f>IF(BA105="","",COUNTIFS(Summary!$E$5:$E$241,BA105,Summary!$A$5:$A$241,"&gt;="&amp;$A106,Summary!$A$5:$A$241,"&lt;"&amp;$A106+7))</f>
        <v>0</v>
      </c>
      <c r="BB106">
        <f>IF(BB105="","",COUNTIFS(Summary!$E$5:$E$241,BB105,Summary!$A$5:$A$241,"&gt;="&amp;$A106,Summary!$A$5:$A$241,"&lt;"&amp;$A106+7))</f>
        <v>0</v>
      </c>
      <c r="BC106">
        <f>IF(BC105="","",COUNTIFS(Summary!$E$5:$E$241,BC105,Summary!$A$5:$A$241,"&gt;="&amp;$A106,Summary!$A$5:$A$241,"&lt;"&amp;$A106+7))</f>
        <v>0</v>
      </c>
      <c r="BD106">
        <f>IF(BD105="","",COUNTIFS(Summary!$E$5:$E$241,BD105,Summary!$A$5:$A$241,"&gt;="&amp;$A106,Summary!$A$5:$A$241,"&lt;"&amp;$A106+7))</f>
        <v>0</v>
      </c>
      <c r="BE106">
        <f>IF(BE105="","",COUNTIFS(Summary!$E$5:$E$241,BE105,Summary!$A$5:$A$241,"&gt;="&amp;$A106,Summary!$A$5:$A$241,"&lt;"&amp;$A106+7))</f>
        <v>0</v>
      </c>
      <c r="BF106" s="28">
        <f>IF(BF105="","",COUNTIFS(Summary!$E$5:$E$241,BF105,Summary!$A$5:$A$241,"&gt;="&amp;$A106,Summary!$A$5:$A$241,"&lt;"&amp;$A106+7))</f>
        <v>0</v>
      </c>
    </row>
    <row r="107" spans="1:58">
      <c r="A107" s="18">
        <f t="shared" ref="A107:A150" si="9">A106+7</f>
        <v>46097.344340277778</v>
      </c>
      <c r="B107" s="2" t="str">
        <f t="shared" si="8"/>
        <v>Mar 16</v>
      </c>
      <c r="C107">
        <f>IF(C105="","",COUNTIFS(Summary!$E$5:$E$241,C105,Summary!$A$5:$A$241,"&gt;="&amp;$A107,Summary!$A$5:$A$241,"&lt;"&amp;$A107+7))</f>
        <v>1</v>
      </c>
      <c r="D107">
        <f>IF(D105="","",COUNTIFS(Summary!$E$5:$E$241,D105,Summary!$A$5:$A$241,"&gt;="&amp;$A107,Summary!$A$5:$A$241,"&lt;"&amp;$A107+7))</f>
        <v>0</v>
      </c>
      <c r="E107">
        <f>IF(E105="","",COUNTIFS(Summary!$E$5:$E$241,E105,Summary!$A$5:$A$241,"&gt;="&amp;$A107,Summary!$A$5:$A$241,"&lt;"&amp;$A107+7))</f>
        <v>0</v>
      </c>
      <c r="F107">
        <f>IF(F105="","",COUNTIFS(Summary!$E$5:$E$241,F105,Summary!$A$5:$A$241,"&gt;="&amp;$A107,Summary!$A$5:$A$241,"&lt;"&amp;$A107+7))</f>
        <v>0</v>
      </c>
      <c r="G107">
        <f>IF(G105="","",COUNTIFS(Summary!$E$5:$E$241,G105,Summary!$A$5:$A$241,"&gt;="&amp;$A107,Summary!$A$5:$A$241,"&lt;"&amp;$A107+7))</f>
        <v>0</v>
      </c>
      <c r="H107">
        <f>IF(H105="","",COUNTIFS(Summary!$E$5:$E$241,H105,Summary!$A$5:$A$241,"&gt;="&amp;$A107,Summary!$A$5:$A$241,"&lt;"&amp;$A107+7))</f>
        <v>0</v>
      </c>
      <c r="I107">
        <f>IF(I105="","",COUNTIFS(Summary!$E$5:$E$241,I105,Summary!$A$5:$A$241,"&gt;="&amp;$A107,Summary!$A$5:$A$241,"&lt;"&amp;$A107+7))</f>
        <v>0</v>
      </c>
      <c r="J107">
        <f>IF(J105="","",COUNTIFS(Summary!$E$5:$E$241,J105,Summary!$A$5:$A$241,"&gt;="&amp;$A107,Summary!$A$5:$A$241,"&lt;"&amp;$A107+7))</f>
        <v>0</v>
      </c>
      <c r="K107">
        <f>IF(K105="","",COUNTIFS(Summary!$E$5:$E$241,K105,Summary!$A$5:$A$241,"&gt;="&amp;$A107,Summary!$A$5:$A$241,"&lt;"&amp;$A107+7))</f>
        <v>0</v>
      </c>
      <c r="L107">
        <f>IF(L105="","",COUNTIFS(Summary!$E$5:$E$241,L105,Summary!$A$5:$A$241,"&gt;="&amp;$A107,Summary!$A$5:$A$241,"&lt;"&amp;$A107+7))</f>
        <v>1</v>
      </c>
      <c r="M107">
        <f>IF(M105="","",COUNTIFS(Summary!$E$5:$E$241,M105,Summary!$A$5:$A$241,"&gt;="&amp;$A107,Summary!$A$5:$A$241,"&lt;"&amp;$A107+7))</f>
        <v>0</v>
      </c>
      <c r="N107">
        <f>IF(N105="","",COUNTIFS(Summary!$E$5:$E$241,N105,Summary!$A$5:$A$241,"&gt;="&amp;$A107,Summary!$A$5:$A$241,"&lt;"&amp;$A107+7))</f>
        <v>1</v>
      </c>
      <c r="O107">
        <f>IF(O105="","",COUNTIFS(Summary!$E$5:$E$241,O105,Summary!$A$5:$A$241,"&gt;="&amp;$A107,Summary!$A$5:$A$241,"&lt;"&amp;$A107+7))</f>
        <v>0</v>
      </c>
      <c r="P107">
        <f>IF(P105="","",COUNTIFS(Summary!$E$5:$E$241,P105,Summary!$A$5:$A$241,"&gt;="&amp;$A107,Summary!$A$5:$A$241,"&lt;"&amp;$A107+7))</f>
        <v>0</v>
      </c>
      <c r="Q107">
        <f>IF(Q105="","",COUNTIFS(Summary!$E$5:$E$241,Q105,Summary!$A$5:$A$241,"&gt;="&amp;$A107,Summary!$A$5:$A$241,"&lt;"&amp;$A107+7))</f>
        <v>0</v>
      </c>
      <c r="R107">
        <f>IF(R105="","",COUNTIFS(Summary!$E$5:$E$241,R105,Summary!$A$5:$A$241,"&gt;="&amp;$A107,Summary!$A$5:$A$241,"&lt;"&amp;$A107+7))</f>
        <v>0</v>
      </c>
      <c r="S107">
        <f>IF(S105="","",COUNTIFS(Summary!$E$5:$E$241,S105,Summary!$A$5:$A$241,"&gt;="&amp;$A107,Summary!$A$5:$A$241,"&lt;"&amp;$A107+7))</f>
        <v>0</v>
      </c>
      <c r="T107">
        <f>IF(T105="","",COUNTIFS(Summary!$E$5:$E$241,T105,Summary!$A$5:$A$241,"&gt;="&amp;$A107,Summary!$A$5:$A$241,"&lt;"&amp;$A107+7))</f>
        <v>0</v>
      </c>
      <c r="U107">
        <f>IF(U105="","",COUNTIFS(Summary!$E$5:$E$241,U105,Summary!$A$5:$A$241,"&gt;="&amp;$A107,Summary!$A$5:$A$241,"&lt;"&amp;$A107+7))</f>
        <v>0</v>
      </c>
      <c r="V107">
        <f>IF(V105="","",COUNTIFS(Summary!$E$5:$E$241,V105,Summary!$A$5:$A$241,"&gt;="&amp;$A107,Summary!$A$5:$A$241,"&lt;"&amp;$A107+7))</f>
        <v>0</v>
      </c>
      <c r="W107">
        <f>IF(W105="","",COUNTIFS(Summary!$E$5:$E$241,W105,Summary!$A$5:$A$241,"&gt;="&amp;$A107,Summary!$A$5:$A$241,"&lt;"&amp;$A107+7))</f>
        <v>0</v>
      </c>
      <c r="X107">
        <f>IF(X105="","",COUNTIFS(Summary!$E$5:$E$241,X105,Summary!$A$5:$A$241,"&gt;="&amp;$A107,Summary!$A$5:$A$241,"&lt;"&amp;$A107+7))</f>
        <v>0</v>
      </c>
      <c r="Y107">
        <f>IF(Y105="","",COUNTIFS(Summary!$E$5:$E$241,Y105,Summary!$A$5:$A$241,"&gt;="&amp;$A107,Summary!$A$5:$A$241,"&lt;"&amp;$A107+7))</f>
        <v>0</v>
      </c>
      <c r="Z107">
        <f>IF(Z105="","",COUNTIFS(Summary!$E$5:$E$241,Z105,Summary!$A$5:$A$241,"&gt;="&amp;$A107,Summary!$A$5:$A$241,"&lt;"&amp;$A107+7))</f>
        <v>0</v>
      </c>
      <c r="AA107">
        <f>IF(AA105="","",COUNTIFS(Summary!$E$5:$E$241,AA105,Summary!$A$5:$A$241,"&gt;="&amp;$A107,Summary!$A$5:$A$241,"&lt;"&amp;$A107+7))</f>
        <v>0</v>
      </c>
      <c r="AB107">
        <f>IF(AB105="","",COUNTIFS(Summary!$E$5:$E$241,AB105,Summary!$A$5:$A$241,"&gt;="&amp;$A107,Summary!$A$5:$A$241,"&lt;"&amp;$A107+7))</f>
        <v>0</v>
      </c>
      <c r="AC107">
        <f>IF(AC105="","",COUNTIFS(Summary!$E$5:$E$241,AC105,Summary!$A$5:$A$241,"&gt;="&amp;$A107,Summary!$A$5:$A$241,"&lt;"&amp;$A107+7))</f>
        <v>0</v>
      </c>
      <c r="AD107">
        <f>IF(AD105="","",COUNTIFS(Summary!$E$5:$E$241,AD105,Summary!$A$5:$A$241,"&gt;="&amp;$A107,Summary!$A$5:$A$241,"&lt;"&amp;$A107+7))</f>
        <v>0</v>
      </c>
      <c r="AE107">
        <f>IF(AE105="","",COUNTIFS(Summary!$E$5:$E$241,AE105,Summary!$A$5:$A$241,"&gt;="&amp;$A107,Summary!$A$5:$A$241,"&lt;"&amp;$A107+7))</f>
        <v>0</v>
      </c>
      <c r="AF107">
        <f>IF(AF105="","",COUNTIFS(Summary!$E$5:$E$241,AF105,Summary!$A$5:$A$241,"&gt;="&amp;$A107,Summary!$A$5:$A$241,"&lt;"&amp;$A107+7))</f>
        <v>0</v>
      </c>
      <c r="AG107">
        <f>IF(AG105="","",COUNTIFS(Summary!$E$5:$E$241,AG105,Summary!$A$5:$A$241,"&gt;="&amp;$A107,Summary!$A$5:$A$241,"&lt;"&amp;$A107+7))</f>
        <v>0</v>
      </c>
      <c r="AH107">
        <f>IF(AH105="","",COUNTIFS(Summary!$E$5:$E$241,AH105,Summary!$A$5:$A$241,"&gt;="&amp;$A107,Summary!$A$5:$A$241,"&lt;"&amp;$A107+7))</f>
        <v>0</v>
      </c>
      <c r="AI107">
        <f>IF(AI105="","",COUNTIFS(Summary!$E$5:$E$241,AI105,Summary!$A$5:$A$241,"&gt;="&amp;$A107,Summary!$A$5:$A$241,"&lt;"&amp;$A107+7))</f>
        <v>0</v>
      </c>
      <c r="AJ107">
        <f>IF(AJ105="","",COUNTIFS(Summary!$E$5:$E$241,AJ105,Summary!$A$5:$A$241,"&gt;="&amp;$A107,Summary!$A$5:$A$241,"&lt;"&amp;$A107+7))</f>
        <v>0</v>
      </c>
      <c r="AK107">
        <f>IF(AK105="","",COUNTIFS(Summary!$E$5:$E$241,AK105,Summary!$A$5:$A$241,"&gt;="&amp;$A107,Summary!$A$5:$A$241,"&lt;"&amp;$A107+7))</f>
        <v>0</v>
      </c>
      <c r="AL107">
        <f>IF(AL105="","",COUNTIFS(Summary!$E$5:$E$241,AL105,Summary!$A$5:$A$241,"&gt;="&amp;$A107,Summary!$A$5:$A$241,"&lt;"&amp;$A107+7))</f>
        <v>0</v>
      </c>
      <c r="AM107">
        <f>IF(AM105="","",COUNTIFS(Summary!$E$5:$E$241,AM105,Summary!$A$5:$A$241,"&gt;="&amp;$A107,Summary!$A$5:$A$241,"&lt;"&amp;$A107+7))</f>
        <v>0</v>
      </c>
      <c r="AN107">
        <f>IF(AN105="","",COUNTIFS(Summary!$E$5:$E$241,AN105,Summary!$A$5:$A$241,"&gt;="&amp;$A107,Summary!$A$5:$A$241,"&lt;"&amp;$A107+7))</f>
        <v>0</v>
      </c>
      <c r="AO107">
        <f>IF(AO105="","",COUNTIFS(Summary!$E$5:$E$241,AO105,Summary!$A$5:$A$241,"&gt;="&amp;$A107,Summary!$A$5:$A$241,"&lt;"&amp;$A107+7))</f>
        <v>0</v>
      </c>
      <c r="AP107">
        <f>IF(AP105="","",COUNTIFS(Summary!$E$5:$E$241,AP105,Summary!$A$5:$A$241,"&gt;="&amp;$A107,Summary!$A$5:$A$241,"&lt;"&amp;$A107+7))</f>
        <v>0</v>
      </c>
      <c r="AQ107">
        <f>IF(AQ105="","",COUNTIFS(Summary!$E$5:$E$241,AQ105,Summary!$A$5:$A$241,"&gt;="&amp;$A107,Summary!$A$5:$A$241,"&lt;"&amp;$A107+7))</f>
        <v>0</v>
      </c>
      <c r="AR107">
        <f>IF(AR105="","",COUNTIFS(Summary!$E$5:$E$241,AR105,Summary!$A$5:$A$241,"&gt;="&amp;$A107,Summary!$A$5:$A$241,"&lt;"&amp;$A107+7))</f>
        <v>0</v>
      </c>
      <c r="AS107">
        <f>IF(AS105="","",COUNTIFS(Summary!$E$5:$E$241,AS105,Summary!$A$5:$A$241,"&gt;="&amp;$A107,Summary!$A$5:$A$241,"&lt;"&amp;$A107+7))</f>
        <v>0</v>
      </c>
      <c r="AT107">
        <f>IF(AT105="","",COUNTIFS(Summary!$E$5:$E$241,AT105,Summary!$A$5:$A$241,"&gt;="&amp;$A107,Summary!$A$5:$A$241,"&lt;"&amp;$A107+7))</f>
        <v>0</v>
      </c>
      <c r="AU107">
        <f>IF(AU105="","",COUNTIFS(Summary!$E$5:$E$241,AU105,Summary!$A$5:$A$241,"&gt;="&amp;$A107,Summary!$A$5:$A$241,"&lt;"&amp;$A107+7))</f>
        <v>0</v>
      </c>
      <c r="AV107">
        <f>IF(AV105="","",COUNTIFS(Summary!$E$5:$E$241,AV105,Summary!$A$5:$A$241,"&gt;="&amp;$A107,Summary!$A$5:$A$241,"&lt;"&amp;$A107+7))</f>
        <v>0</v>
      </c>
      <c r="AW107">
        <f>IF(AW105="","",COUNTIFS(Summary!$E$5:$E$241,AW105,Summary!$A$5:$A$241,"&gt;="&amp;$A107,Summary!$A$5:$A$241,"&lt;"&amp;$A107+7))</f>
        <v>0</v>
      </c>
      <c r="AX107">
        <f>IF(AX105="","",COUNTIFS(Summary!$E$5:$E$241,AX105,Summary!$A$5:$A$241,"&gt;="&amp;$A107,Summary!$A$5:$A$241,"&lt;"&amp;$A107+7))</f>
        <v>0</v>
      </c>
      <c r="AY107">
        <f>IF(AY105="","",COUNTIFS(Summary!$E$5:$E$241,AY105,Summary!$A$5:$A$241,"&gt;="&amp;$A107,Summary!$A$5:$A$241,"&lt;"&amp;$A107+7))</f>
        <v>0</v>
      </c>
      <c r="AZ107">
        <f>IF(AZ105="","",COUNTIFS(Summary!$E$5:$E$241,AZ105,Summary!$A$5:$A$241,"&gt;="&amp;$A107,Summary!$A$5:$A$241,"&lt;"&amp;$A107+7))</f>
        <v>0</v>
      </c>
      <c r="BA107">
        <f>IF(BA105="","",COUNTIFS(Summary!$E$5:$E$241,BA105,Summary!$A$5:$A$241,"&gt;="&amp;$A107,Summary!$A$5:$A$241,"&lt;"&amp;$A107+7))</f>
        <v>0</v>
      </c>
      <c r="BB107">
        <f>IF(BB105="","",COUNTIFS(Summary!$E$5:$E$241,BB105,Summary!$A$5:$A$241,"&gt;="&amp;$A107,Summary!$A$5:$A$241,"&lt;"&amp;$A107+7))</f>
        <v>0</v>
      </c>
      <c r="BC107">
        <f>IF(BC105="","",COUNTIFS(Summary!$E$5:$E$241,BC105,Summary!$A$5:$A$241,"&gt;="&amp;$A107,Summary!$A$5:$A$241,"&lt;"&amp;$A107+7))</f>
        <v>0</v>
      </c>
      <c r="BD107">
        <f>IF(BD105="","",COUNTIFS(Summary!$E$5:$E$241,BD105,Summary!$A$5:$A$241,"&gt;="&amp;$A107,Summary!$A$5:$A$241,"&lt;"&amp;$A107+7))</f>
        <v>0</v>
      </c>
      <c r="BE107">
        <f>IF(BE105="","",COUNTIFS(Summary!$E$5:$E$241,BE105,Summary!$A$5:$A$241,"&gt;="&amp;$A107,Summary!$A$5:$A$241,"&lt;"&amp;$A107+7))</f>
        <v>0</v>
      </c>
      <c r="BF107" s="28">
        <f>IF(BF105="","",COUNTIFS(Summary!$E$5:$E$241,BF105,Summary!$A$5:$A$241,"&gt;="&amp;$A107,Summary!$A$5:$A$241,"&lt;"&amp;$A107+7))</f>
        <v>0</v>
      </c>
    </row>
    <row r="108" spans="1:58">
      <c r="A108" s="18">
        <f t="shared" si="9"/>
        <v>46104.344340277778</v>
      </c>
      <c r="B108" s="2" t="str">
        <f t="shared" si="8"/>
        <v>Mar 23</v>
      </c>
      <c r="C108">
        <f>IF(C105="","",COUNTIFS(Summary!$E$5:$E$241,C105,Summary!$A$5:$A$241,"&gt;="&amp;$A108,Summary!$A$5:$A$241,"&lt;"&amp;$A108+7))</f>
        <v>0</v>
      </c>
      <c r="D108">
        <f>IF(D105="","",COUNTIFS(Summary!$E$5:$E$241,D105,Summary!$A$5:$A$241,"&gt;="&amp;$A108,Summary!$A$5:$A$241,"&lt;"&amp;$A108+7))</f>
        <v>0</v>
      </c>
      <c r="E108">
        <f>IF(E105="","",COUNTIFS(Summary!$E$5:$E$241,E105,Summary!$A$5:$A$241,"&gt;="&amp;$A108,Summary!$A$5:$A$241,"&lt;"&amp;$A108+7))</f>
        <v>0</v>
      </c>
      <c r="F108">
        <f>IF(F105="","",COUNTIFS(Summary!$E$5:$E$241,F105,Summary!$A$5:$A$241,"&gt;="&amp;$A108,Summary!$A$5:$A$241,"&lt;"&amp;$A108+7))</f>
        <v>0</v>
      </c>
      <c r="G108">
        <f>IF(G105="","",COUNTIFS(Summary!$E$5:$E$241,G105,Summary!$A$5:$A$241,"&gt;="&amp;$A108,Summary!$A$5:$A$241,"&lt;"&amp;$A108+7))</f>
        <v>0</v>
      </c>
      <c r="H108">
        <f>IF(H105="","",COUNTIFS(Summary!$E$5:$E$241,H105,Summary!$A$5:$A$241,"&gt;="&amp;$A108,Summary!$A$5:$A$241,"&lt;"&amp;$A108+7))</f>
        <v>0</v>
      </c>
      <c r="I108">
        <f>IF(I105="","",COUNTIFS(Summary!$E$5:$E$241,I105,Summary!$A$5:$A$241,"&gt;="&amp;$A108,Summary!$A$5:$A$241,"&lt;"&amp;$A108+7))</f>
        <v>0</v>
      </c>
      <c r="J108">
        <f>IF(J105="","",COUNTIFS(Summary!$E$5:$E$241,J105,Summary!$A$5:$A$241,"&gt;="&amp;$A108,Summary!$A$5:$A$241,"&lt;"&amp;$A108+7))</f>
        <v>0</v>
      </c>
      <c r="K108">
        <f>IF(K105="","",COUNTIFS(Summary!$E$5:$E$241,K105,Summary!$A$5:$A$241,"&gt;="&amp;$A108,Summary!$A$5:$A$241,"&lt;"&amp;$A108+7))</f>
        <v>0</v>
      </c>
      <c r="L108">
        <f>IF(L105="","",COUNTIFS(Summary!$E$5:$E$241,L105,Summary!$A$5:$A$241,"&gt;="&amp;$A108,Summary!$A$5:$A$241,"&lt;"&amp;$A108+7))</f>
        <v>1</v>
      </c>
      <c r="M108">
        <f>IF(M105="","",COUNTIFS(Summary!$E$5:$E$241,M105,Summary!$A$5:$A$241,"&gt;="&amp;$A108,Summary!$A$5:$A$241,"&lt;"&amp;$A108+7))</f>
        <v>0</v>
      </c>
      <c r="N108">
        <f>IF(N105="","",COUNTIFS(Summary!$E$5:$E$241,N105,Summary!$A$5:$A$241,"&gt;="&amp;$A108,Summary!$A$5:$A$241,"&lt;"&amp;$A108+7))</f>
        <v>0</v>
      </c>
      <c r="O108">
        <f>IF(O105="","",COUNTIFS(Summary!$E$5:$E$241,O105,Summary!$A$5:$A$241,"&gt;="&amp;$A108,Summary!$A$5:$A$241,"&lt;"&amp;$A108+7))</f>
        <v>1</v>
      </c>
      <c r="P108">
        <f>IF(P105="","",COUNTIFS(Summary!$E$5:$E$241,P105,Summary!$A$5:$A$241,"&gt;="&amp;$A108,Summary!$A$5:$A$241,"&lt;"&amp;$A108+7))</f>
        <v>0</v>
      </c>
      <c r="Q108">
        <f>IF(Q105="","",COUNTIFS(Summary!$E$5:$E$241,Q105,Summary!$A$5:$A$241,"&gt;="&amp;$A108,Summary!$A$5:$A$241,"&lt;"&amp;$A108+7))</f>
        <v>0</v>
      </c>
      <c r="R108">
        <f>IF(R105="","",COUNTIFS(Summary!$E$5:$E$241,R105,Summary!$A$5:$A$241,"&gt;="&amp;$A108,Summary!$A$5:$A$241,"&lt;"&amp;$A108+7))</f>
        <v>0</v>
      </c>
      <c r="S108">
        <f>IF(S105="","",COUNTIFS(Summary!$E$5:$E$241,S105,Summary!$A$5:$A$241,"&gt;="&amp;$A108,Summary!$A$5:$A$241,"&lt;"&amp;$A108+7))</f>
        <v>0</v>
      </c>
      <c r="T108">
        <f>IF(T105="","",COUNTIFS(Summary!$E$5:$E$241,T105,Summary!$A$5:$A$241,"&gt;="&amp;$A108,Summary!$A$5:$A$241,"&lt;"&amp;$A108+7))</f>
        <v>0</v>
      </c>
      <c r="U108">
        <f>IF(U105="","",COUNTIFS(Summary!$E$5:$E$241,U105,Summary!$A$5:$A$241,"&gt;="&amp;$A108,Summary!$A$5:$A$241,"&lt;"&amp;$A108+7))</f>
        <v>0</v>
      </c>
      <c r="V108">
        <f>IF(V105="","",COUNTIFS(Summary!$E$5:$E$241,V105,Summary!$A$5:$A$241,"&gt;="&amp;$A108,Summary!$A$5:$A$241,"&lt;"&amp;$A108+7))</f>
        <v>0</v>
      </c>
      <c r="W108">
        <f>IF(W105="","",COUNTIFS(Summary!$E$5:$E$241,W105,Summary!$A$5:$A$241,"&gt;="&amp;$A108,Summary!$A$5:$A$241,"&lt;"&amp;$A108+7))</f>
        <v>0</v>
      </c>
      <c r="X108">
        <f>IF(X105="","",COUNTIFS(Summary!$E$5:$E$241,X105,Summary!$A$5:$A$241,"&gt;="&amp;$A108,Summary!$A$5:$A$241,"&lt;"&amp;$A108+7))</f>
        <v>0</v>
      </c>
      <c r="Y108">
        <f>IF(Y105="","",COUNTIFS(Summary!$E$5:$E$241,Y105,Summary!$A$5:$A$241,"&gt;="&amp;$A108,Summary!$A$5:$A$241,"&lt;"&amp;$A108+7))</f>
        <v>0</v>
      </c>
      <c r="Z108">
        <f>IF(Z105="","",COUNTIFS(Summary!$E$5:$E$241,Z105,Summary!$A$5:$A$241,"&gt;="&amp;$A108,Summary!$A$5:$A$241,"&lt;"&amp;$A108+7))</f>
        <v>0</v>
      </c>
      <c r="AA108">
        <f>IF(AA105="","",COUNTIFS(Summary!$E$5:$E$241,AA105,Summary!$A$5:$A$241,"&gt;="&amp;$A108,Summary!$A$5:$A$241,"&lt;"&amp;$A108+7))</f>
        <v>0</v>
      </c>
      <c r="AB108">
        <f>IF(AB105="","",COUNTIFS(Summary!$E$5:$E$241,AB105,Summary!$A$5:$A$241,"&gt;="&amp;$A108,Summary!$A$5:$A$241,"&lt;"&amp;$A108+7))</f>
        <v>1</v>
      </c>
      <c r="AC108">
        <f>IF(AC105="","",COUNTIFS(Summary!$E$5:$E$241,AC105,Summary!$A$5:$A$241,"&gt;="&amp;$A108,Summary!$A$5:$A$241,"&lt;"&amp;$A108+7))</f>
        <v>0</v>
      </c>
      <c r="AD108">
        <f>IF(AD105="","",COUNTIFS(Summary!$E$5:$E$241,AD105,Summary!$A$5:$A$241,"&gt;="&amp;$A108,Summary!$A$5:$A$241,"&lt;"&amp;$A108+7))</f>
        <v>0</v>
      </c>
      <c r="AE108">
        <f>IF(AE105="","",COUNTIFS(Summary!$E$5:$E$241,AE105,Summary!$A$5:$A$241,"&gt;="&amp;$A108,Summary!$A$5:$A$241,"&lt;"&amp;$A108+7))</f>
        <v>0</v>
      </c>
      <c r="AF108">
        <f>IF(AF105="","",COUNTIFS(Summary!$E$5:$E$241,AF105,Summary!$A$5:$A$241,"&gt;="&amp;$A108,Summary!$A$5:$A$241,"&lt;"&amp;$A108+7))</f>
        <v>0</v>
      </c>
      <c r="AG108">
        <f>IF(AG105="","",COUNTIFS(Summary!$E$5:$E$241,AG105,Summary!$A$5:$A$241,"&gt;="&amp;$A108,Summary!$A$5:$A$241,"&lt;"&amp;$A108+7))</f>
        <v>0</v>
      </c>
      <c r="AH108">
        <f>IF(AH105="","",COUNTIFS(Summary!$E$5:$E$241,AH105,Summary!$A$5:$A$241,"&gt;="&amp;$A108,Summary!$A$5:$A$241,"&lt;"&amp;$A108+7))</f>
        <v>0</v>
      </c>
      <c r="AI108">
        <f>IF(AI105="","",COUNTIFS(Summary!$E$5:$E$241,AI105,Summary!$A$5:$A$241,"&gt;="&amp;$A108,Summary!$A$5:$A$241,"&lt;"&amp;$A108+7))</f>
        <v>0</v>
      </c>
      <c r="AJ108">
        <f>IF(AJ105="","",COUNTIFS(Summary!$E$5:$E$241,AJ105,Summary!$A$5:$A$241,"&gt;="&amp;$A108,Summary!$A$5:$A$241,"&lt;"&amp;$A108+7))</f>
        <v>0</v>
      </c>
      <c r="AK108">
        <f>IF(AK105="","",COUNTIFS(Summary!$E$5:$E$241,AK105,Summary!$A$5:$A$241,"&gt;="&amp;$A108,Summary!$A$5:$A$241,"&lt;"&amp;$A108+7))</f>
        <v>0</v>
      </c>
      <c r="AL108">
        <f>IF(AL105="","",COUNTIFS(Summary!$E$5:$E$241,AL105,Summary!$A$5:$A$241,"&gt;="&amp;$A108,Summary!$A$5:$A$241,"&lt;"&amp;$A108+7))</f>
        <v>0</v>
      </c>
      <c r="AM108">
        <f>IF(AM105="","",COUNTIFS(Summary!$E$5:$E$241,AM105,Summary!$A$5:$A$241,"&gt;="&amp;$A108,Summary!$A$5:$A$241,"&lt;"&amp;$A108+7))</f>
        <v>0</v>
      </c>
      <c r="AN108">
        <f>IF(AN105="","",COUNTIFS(Summary!$E$5:$E$241,AN105,Summary!$A$5:$A$241,"&gt;="&amp;$A108,Summary!$A$5:$A$241,"&lt;"&amp;$A108+7))</f>
        <v>0</v>
      </c>
      <c r="AO108">
        <f>IF(AO105="","",COUNTIFS(Summary!$E$5:$E$241,AO105,Summary!$A$5:$A$241,"&gt;="&amp;$A108,Summary!$A$5:$A$241,"&lt;"&amp;$A108+7))</f>
        <v>0</v>
      </c>
      <c r="AP108">
        <f>IF(AP105="","",COUNTIFS(Summary!$E$5:$E$241,AP105,Summary!$A$5:$A$241,"&gt;="&amp;$A108,Summary!$A$5:$A$241,"&lt;"&amp;$A108+7))</f>
        <v>0</v>
      </c>
      <c r="AQ108">
        <f>IF(AQ105="","",COUNTIFS(Summary!$E$5:$E$241,AQ105,Summary!$A$5:$A$241,"&gt;="&amp;$A108,Summary!$A$5:$A$241,"&lt;"&amp;$A108+7))</f>
        <v>0</v>
      </c>
      <c r="AR108">
        <f>IF(AR105="","",COUNTIFS(Summary!$E$5:$E$241,AR105,Summary!$A$5:$A$241,"&gt;="&amp;$A108,Summary!$A$5:$A$241,"&lt;"&amp;$A108+7))</f>
        <v>0</v>
      </c>
      <c r="AS108">
        <f>IF(AS105="","",COUNTIFS(Summary!$E$5:$E$241,AS105,Summary!$A$5:$A$241,"&gt;="&amp;$A108,Summary!$A$5:$A$241,"&lt;"&amp;$A108+7))</f>
        <v>0</v>
      </c>
      <c r="AT108">
        <f>IF(AT105="","",COUNTIFS(Summary!$E$5:$E$241,AT105,Summary!$A$5:$A$241,"&gt;="&amp;$A108,Summary!$A$5:$A$241,"&lt;"&amp;$A108+7))</f>
        <v>0</v>
      </c>
      <c r="AU108">
        <f>IF(AU105="","",COUNTIFS(Summary!$E$5:$E$241,AU105,Summary!$A$5:$A$241,"&gt;="&amp;$A108,Summary!$A$5:$A$241,"&lt;"&amp;$A108+7))</f>
        <v>0</v>
      </c>
      <c r="AV108">
        <f>IF(AV105="","",COUNTIFS(Summary!$E$5:$E$241,AV105,Summary!$A$5:$A$241,"&gt;="&amp;$A108,Summary!$A$5:$A$241,"&lt;"&amp;$A108+7))</f>
        <v>0</v>
      </c>
      <c r="AW108">
        <f>IF(AW105="","",COUNTIFS(Summary!$E$5:$E$241,AW105,Summary!$A$5:$A$241,"&gt;="&amp;$A108,Summary!$A$5:$A$241,"&lt;"&amp;$A108+7))</f>
        <v>0</v>
      </c>
      <c r="AX108">
        <f>IF(AX105="","",COUNTIFS(Summary!$E$5:$E$241,AX105,Summary!$A$5:$A$241,"&gt;="&amp;$A108,Summary!$A$5:$A$241,"&lt;"&amp;$A108+7))</f>
        <v>0</v>
      </c>
      <c r="AY108">
        <f>IF(AY105="","",COUNTIFS(Summary!$E$5:$E$241,AY105,Summary!$A$5:$A$241,"&gt;="&amp;$A108,Summary!$A$5:$A$241,"&lt;"&amp;$A108+7))</f>
        <v>0</v>
      </c>
      <c r="AZ108">
        <f>IF(AZ105="","",COUNTIFS(Summary!$E$5:$E$241,AZ105,Summary!$A$5:$A$241,"&gt;="&amp;$A108,Summary!$A$5:$A$241,"&lt;"&amp;$A108+7))</f>
        <v>0</v>
      </c>
      <c r="BA108">
        <f>IF(BA105="","",COUNTIFS(Summary!$E$5:$E$241,BA105,Summary!$A$5:$A$241,"&gt;="&amp;$A108,Summary!$A$5:$A$241,"&lt;"&amp;$A108+7))</f>
        <v>0</v>
      </c>
      <c r="BB108">
        <f>IF(BB105="","",COUNTIFS(Summary!$E$5:$E$241,BB105,Summary!$A$5:$A$241,"&gt;="&amp;$A108,Summary!$A$5:$A$241,"&lt;"&amp;$A108+7))</f>
        <v>0</v>
      </c>
      <c r="BC108">
        <f>IF(BC105="","",COUNTIFS(Summary!$E$5:$E$241,BC105,Summary!$A$5:$A$241,"&gt;="&amp;$A108,Summary!$A$5:$A$241,"&lt;"&amp;$A108+7))</f>
        <v>0</v>
      </c>
      <c r="BD108">
        <f>IF(BD105="","",COUNTIFS(Summary!$E$5:$E$241,BD105,Summary!$A$5:$A$241,"&gt;="&amp;$A108,Summary!$A$5:$A$241,"&lt;"&amp;$A108+7))</f>
        <v>0</v>
      </c>
      <c r="BE108">
        <f>IF(BE105="","",COUNTIFS(Summary!$E$5:$E$241,BE105,Summary!$A$5:$A$241,"&gt;="&amp;$A108,Summary!$A$5:$A$241,"&lt;"&amp;$A108+7))</f>
        <v>0</v>
      </c>
      <c r="BF108" s="28">
        <f>IF(BF105="","",COUNTIFS(Summary!$E$5:$E$241,BF105,Summary!$A$5:$A$241,"&gt;="&amp;$A108,Summary!$A$5:$A$241,"&lt;"&amp;$A108+7))</f>
        <v>0</v>
      </c>
    </row>
    <row r="109" spans="1:58">
      <c r="A109" s="18">
        <f t="shared" si="9"/>
        <v>46111.344340277778</v>
      </c>
      <c r="B109" s="2" t="str">
        <f t="shared" si="8"/>
        <v>Mar 30</v>
      </c>
      <c r="C109">
        <f>IF(C105="","",COUNTIFS(Summary!$E$5:$E$241,C105,Summary!$A$5:$A$241,"&gt;="&amp;$A109,Summary!$A$5:$A$241,"&lt;"&amp;$A109+7))</f>
        <v>0</v>
      </c>
      <c r="D109">
        <f>IF(D105="","",COUNTIFS(Summary!$E$5:$E$241,D105,Summary!$A$5:$A$241,"&gt;="&amp;$A109,Summary!$A$5:$A$241,"&lt;"&amp;$A109+7))</f>
        <v>0</v>
      </c>
      <c r="E109">
        <f>IF(E105="","",COUNTIFS(Summary!$E$5:$E$241,E105,Summary!$A$5:$A$241,"&gt;="&amp;$A109,Summary!$A$5:$A$241,"&lt;"&amp;$A109+7))</f>
        <v>0</v>
      </c>
      <c r="F109">
        <f>IF(F105="","",COUNTIFS(Summary!$E$5:$E$241,F105,Summary!$A$5:$A$241,"&gt;="&amp;$A109,Summary!$A$5:$A$241,"&lt;"&amp;$A109+7))</f>
        <v>0</v>
      </c>
      <c r="G109">
        <f>IF(G105="","",COUNTIFS(Summary!$E$5:$E$241,G105,Summary!$A$5:$A$241,"&gt;="&amp;$A109,Summary!$A$5:$A$241,"&lt;"&amp;$A109+7))</f>
        <v>0</v>
      </c>
      <c r="H109">
        <f>IF(H105="","",COUNTIFS(Summary!$E$5:$E$241,H105,Summary!$A$5:$A$241,"&gt;="&amp;$A109,Summary!$A$5:$A$241,"&lt;"&amp;$A109+7))</f>
        <v>0</v>
      </c>
      <c r="I109">
        <f>IF(I105="","",COUNTIFS(Summary!$E$5:$E$241,I105,Summary!$A$5:$A$241,"&gt;="&amp;$A109,Summary!$A$5:$A$241,"&lt;"&amp;$A109+7))</f>
        <v>0</v>
      </c>
      <c r="J109">
        <f>IF(J105="","",COUNTIFS(Summary!$E$5:$E$241,J105,Summary!$A$5:$A$241,"&gt;="&amp;$A109,Summary!$A$5:$A$241,"&lt;"&amp;$A109+7))</f>
        <v>0</v>
      </c>
      <c r="K109">
        <f>IF(K105="","",COUNTIFS(Summary!$E$5:$E$241,K105,Summary!$A$5:$A$241,"&gt;="&amp;$A109,Summary!$A$5:$A$241,"&lt;"&amp;$A109+7))</f>
        <v>3</v>
      </c>
      <c r="L109">
        <f>IF(L105="","",COUNTIFS(Summary!$E$5:$E$241,L105,Summary!$A$5:$A$241,"&gt;="&amp;$A109,Summary!$A$5:$A$241,"&lt;"&amp;$A109+7))</f>
        <v>0</v>
      </c>
      <c r="M109">
        <f>IF(M105="","",COUNTIFS(Summary!$E$5:$E$241,M105,Summary!$A$5:$A$241,"&gt;="&amp;$A109,Summary!$A$5:$A$241,"&lt;"&amp;$A109+7))</f>
        <v>1</v>
      </c>
      <c r="N109">
        <f>IF(N105="","",COUNTIFS(Summary!$E$5:$E$241,N105,Summary!$A$5:$A$241,"&gt;="&amp;$A109,Summary!$A$5:$A$241,"&lt;"&amp;$A109+7))</f>
        <v>0</v>
      </c>
      <c r="O109">
        <f>IF(O105="","",COUNTIFS(Summary!$E$5:$E$241,O105,Summary!$A$5:$A$241,"&gt;="&amp;$A109,Summary!$A$5:$A$241,"&lt;"&amp;$A109+7))</f>
        <v>0</v>
      </c>
      <c r="P109">
        <f>IF(P105="","",COUNTIFS(Summary!$E$5:$E$241,P105,Summary!$A$5:$A$241,"&gt;="&amp;$A109,Summary!$A$5:$A$241,"&lt;"&amp;$A109+7))</f>
        <v>0</v>
      </c>
      <c r="Q109">
        <f>IF(Q105="","",COUNTIFS(Summary!$E$5:$E$241,Q105,Summary!$A$5:$A$241,"&gt;="&amp;$A109,Summary!$A$5:$A$241,"&lt;"&amp;$A109+7))</f>
        <v>0</v>
      </c>
      <c r="R109">
        <f>IF(R105="","",COUNTIFS(Summary!$E$5:$E$241,R105,Summary!$A$5:$A$241,"&gt;="&amp;$A109,Summary!$A$5:$A$241,"&lt;"&amp;$A109+7))</f>
        <v>0</v>
      </c>
      <c r="S109">
        <f>IF(S105="","",COUNTIFS(Summary!$E$5:$E$241,S105,Summary!$A$5:$A$241,"&gt;="&amp;$A109,Summary!$A$5:$A$241,"&lt;"&amp;$A109+7))</f>
        <v>0</v>
      </c>
      <c r="T109">
        <f>IF(T105="","",COUNTIFS(Summary!$E$5:$E$241,T105,Summary!$A$5:$A$241,"&gt;="&amp;$A109,Summary!$A$5:$A$241,"&lt;"&amp;$A109+7))</f>
        <v>0</v>
      </c>
      <c r="U109">
        <f>IF(U105="","",COUNTIFS(Summary!$E$5:$E$241,U105,Summary!$A$5:$A$241,"&gt;="&amp;$A109,Summary!$A$5:$A$241,"&lt;"&amp;$A109+7))</f>
        <v>0</v>
      </c>
      <c r="V109">
        <f>IF(V105="","",COUNTIFS(Summary!$E$5:$E$241,V105,Summary!$A$5:$A$241,"&gt;="&amp;$A109,Summary!$A$5:$A$241,"&lt;"&amp;$A109+7))</f>
        <v>0</v>
      </c>
      <c r="W109">
        <f>IF(W105="","",COUNTIFS(Summary!$E$5:$E$241,W105,Summary!$A$5:$A$241,"&gt;="&amp;$A109,Summary!$A$5:$A$241,"&lt;"&amp;$A109+7))</f>
        <v>0</v>
      </c>
      <c r="X109">
        <f>IF(X105="","",COUNTIFS(Summary!$E$5:$E$241,X105,Summary!$A$5:$A$241,"&gt;="&amp;$A109,Summary!$A$5:$A$241,"&lt;"&amp;$A109+7))</f>
        <v>0</v>
      </c>
      <c r="Y109">
        <f>IF(Y105="","",COUNTIFS(Summary!$E$5:$E$241,Y105,Summary!$A$5:$A$241,"&gt;="&amp;$A109,Summary!$A$5:$A$241,"&lt;"&amp;$A109+7))</f>
        <v>0</v>
      </c>
      <c r="Z109">
        <f>IF(Z105="","",COUNTIFS(Summary!$E$5:$E$241,Z105,Summary!$A$5:$A$241,"&gt;="&amp;$A109,Summary!$A$5:$A$241,"&lt;"&amp;$A109+7))</f>
        <v>0</v>
      </c>
      <c r="AA109">
        <f>IF(AA105="","",COUNTIFS(Summary!$E$5:$E$241,AA105,Summary!$A$5:$A$241,"&gt;="&amp;$A109,Summary!$A$5:$A$241,"&lt;"&amp;$A109+7))</f>
        <v>0</v>
      </c>
      <c r="AB109">
        <f>IF(AB105="","",COUNTIFS(Summary!$E$5:$E$241,AB105,Summary!$A$5:$A$241,"&gt;="&amp;$A109,Summary!$A$5:$A$241,"&lt;"&amp;$A109+7))</f>
        <v>0</v>
      </c>
      <c r="AC109">
        <f>IF(AC105="","",COUNTIFS(Summary!$E$5:$E$241,AC105,Summary!$A$5:$A$241,"&gt;="&amp;$A109,Summary!$A$5:$A$241,"&lt;"&amp;$A109+7))</f>
        <v>0</v>
      </c>
      <c r="AD109">
        <f>IF(AD105="","",COUNTIFS(Summary!$E$5:$E$241,AD105,Summary!$A$5:$A$241,"&gt;="&amp;$A109,Summary!$A$5:$A$241,"&lt;"&amp;$A109+7))</f>
        <v>0</v>
      </c>
      <c r="AE109">
        <f>IF(AE105="","",COUNTIFS(Summary!$E$5:$E$241,AE105,Summary!$A$5:$A$241,"&gt;="&amp;$A109,Summary!$A$5:$A$241,"&lt;"&amp;$A109+7))</f>
        <v>0</v>
      </c>
      <c r="AF109">
        <f>IF(AF105="","",COUNTIFS(Summary!$E$5:$E$241,AF105,Summary!$A$5:$A$241,"&gt;="&amp;$A109,Summary!$A$5:$A$241,"&lt;"&amp;$A109+7))</f>
        <v>0</v>
      </c>
      <c r="AG109">
        <f>IF(AG105="","",COUNTIFS(Summary!$E$5:$E$241,AG105,Summary!$A$5:$A$241,"&gt;="&amp;$A109,Summary!$A$5:$A$241,"&lt;"&amp;$A109+7))</f>
        <v>0</v>
      </c>
      <c r="AH109">
        <f>IF(AH105="","",COUNTIFS(Summary!$E$5:$E$241,AH105,Summary!$A$5:$A$241,"&gt;="&amp;$A109,Summary!$A$5:$A$241,"&lt;"&amp;$A109+7))</f>
        <v>0</v>
      </c>
      <c r="AI109">
        <f>IF(AI105="","",COUNTIFS(Summary!$E$5:$E$241,AI105,Summary!$A$5:$A$241,"&gt;="&amp;$A109,Summary!$A$5:$A$241,"&lt;"&amp;$A109+7))</f>
        <v>0</v>
      </c>
      <c r="AJ109">
        <f>IF(AJ105="","",COUNTIFS(Summary!$E$5:$E$241,AJ105,Summary!$A$5:$A$241,"&gt;="&amp;$A109,Summary!$A$5:$A$241,"&lt;"&amp;$A109+7))</f>
        <v>0</v>
      </c>
      <c r="AK109">
        <f>IF(AK105="","",COUNTIFS(Summary!$E$5:$E$241,AK105,Summary!$A$5:$A$241,"&gt;="&amp;$A109,Summary!$A$5:$A$241,"&lt;"&amp;$A109+7))</f>
        <v>0</v>
      </c>
      <c r="AL109">
        <f>IF(AL105="","",COUNTIFS(Summary!$E$5:$E$241,AL105,Summary!$A$5:$A$241,"&gt;="&amp;$A109,Summary!$A$5:$A$241,"&lt;"&amp;$A109+7))</f>
        <v>0</v>
      </c>
      <c r="AM109">
        <f>IF(AM105="","",COUNTIFS(Summary!$E$5:$E$241,AM105,Summary!$A$5:$A$241,"&gt;="&amp;$A109,Summary!$A$5:$A$241,"&lt;"&amp;$A109+7))</f>
        <v>0</v>
      </c>
      <c r="AN109">
        <f>IF(AN105="","",COUNTIFS(Summary!$E$5:$E$241,AN105,Summary!$A$5:$A$241,"&gt;="&amp;$A109,Summary!$A$5:$A$241,"&lt;"&amp;$A109+7))</f>
        <v>0</v>
      </c>
      <c r="AO109">
        <f>IF(AO105="","",COUNTIFS(Summary!$E$5:$E$241,AO105,Summary!$A$5:$A$241,"&gt;="&amp;$A109,Summary!$A$5:$A$241,"&lt;"&amp;$A109+7))</f>
        <v>0</v>
      </c>
      <c r="AP109">
        <f>IF(AP105="","",COUNTIFS(Summary!$E$5:$E$241,AP105,Summary!$A$5:$A$241,"&gt;="&amp;$A109,Summary!$A$5:$A$241,"&lt;"&amp;$A109+7))</f>
        <v>0</v>
      </c>
      <c r="AQ109">
        <f>IF(AQ105="","",COUNTIFS(Summary!$E$5:$E$241,AQ105,Summary!$A$5:$A$241,"&gt;="&amp;$A109,Summary!$A$5:$A$241,"&lt;"&amp;$A109+7))</f>
        <v>0</v>
      </c>
      <c r="AR109">
        <f>IF(AR105="","",COUNTIFS(Summary!$E$5:$E$241,AR105,Summary!$A$5:$A$241,"&gt;="&amp;$A109,Summary!$A$5:$A$241,"&lt;"&amp;$A109+7))</f>
        <v>0</v>
      </c>
      <c r="AS109">
        <f>IF(AS105="","",COUNTIFS(Summary!$E$5:$E$241,AS105,Summary!$A$5:$A$241,"&gt;="&amp;$A109,Summary!$A$5:$A$241,"&lt;"&amp;$A109+7))</f>
        <v>0</v>
      </c>
      <c r="AT109">
        <f>IF(AT105="","",COUNTIFS(Summary!$E$5:$E$241,AT105,Summary!$A$5:$A$241,"&gt;="&amp;$A109,Summary!$A$5:$A$241,"&lt;"&amp;$A109+7))</f>
        <v>0</v>
      </c>
      <c r="AU109">
        <f>IF(AU105="","",COUNTIFS(Summary!$E$5:$E$241,AU105,Summary!$A$5:$A$241,"&gt;="&amp;$A109,Summary!$A$5:$A$241,"&lt;"&amp;$A109+7))</f>
        <v>0</v>
      </c>
      <c r="AV109">
        <f>IF(AV105="","",COUNTIFS(Summary!$E$5:$E$241,AV105,Summary!$A$5:$A$241,"&gt;="&amp;$A109,Summary!$A$5:$A$241,"&lt;"&amp;$A109+7))</f>
        <v>0</v>
      </c>
      <c r="AW109">
        <f>IF(AW105="","",COUNTIFS(Summary!$E$5:$E$241,AW105,Summary!$A$5:$A$241,"&gt;="&amp;$A109,Summary!$A$5:$A$241,"&lt;"&amp;$A109+7))</f>
        <v>0</v>
      </c>
      <c r="AX109">
        <f>IF(AX105="","",COUNTIFS(Summary!$E$5:$E$241,AX105,Summary!$A$5:$A$241,"&gt;="&amp;$A109,Summary!$A$5:$A$241,"&lt;"&amp;$A109+7))</f>
        <v>0</v>
      </c>
      <c r="AY109">
        <f>IF(AY105="","",COUNTIFS(Summary!$E$5:$E$241,AY105,Summary!$A$5:$A$241,"&gt;="&amp;$A109,Summary!$A$5:$A$241,"&lt;"&amp;$A109+7))</f>
        <v>0</v>
      </c>
      <c r="AZ109">
        <f>IF(AZ105="","",COUNTIFS(Summary!$E$5:$E$241,AZ105,Summary!$A$5:$A$241,"&gt;="&amp;$A109,Summary!$A$5:$A$241,"&lt;"&amp;$A109+7))</f>
        <v>0</v>
      </c>
      <c r="BA109">
        <f>IF(BA105="","",COUNTIFS(Summary!$E$5:$E$241,BA105,Summary!$A$5:$A$241,"&gt;="&amp;$A109,Summary!$A$5:$A$241,"&lt;"&amp;$A109+7))</f>
        <v>0</v>
      </c>
      <c r="BB109">
        <f>IF(BB105="","",COUNTIFS(Summary!$E$5:$E$241,BB105,Summary!$A$5:$A$241,"&gt;="&amp;$A109,Summary!$A$5:$A$241,"&lt;"&amp;$A109+7))</f>
        <v>0</v>
      </c>
      <c r="BC109">
        <f>IF(BC105="","",COUNTIFS(Summary!$E$5:$E$241,BC105,Summary!$A$5:$A$241,"&gt;="&amp;$A109,Summary!$A$5:$A$241,"&lt;"&amp;$A109+7))</f>
        <v>0</v>
      </c>
      <c r="BD109">
        <f>IF(BD105="","",COUNTIFS(Summary!$E$5:$E$241,BD105,Summary!$A$5:$A$241,"&gt;="&amp;$A109,Summary!$A$5:$A$241,"&lt;"&amp;$A109+7))</f>
        <v>0</v>
      </c>
      <c r="BE109">
        <f>IF(BE105="","",COUNTIFS(Summary!$E$5:$E$241,BE105,Summary!$A$5:$A$241,"&gt;="&amp;$A109,Summary!$A$5:$A$241,"&lt;"&amp;$A109+7))</f>
        <v>0</v>
      </c>
      <c r="BF109" s="28">
        <f>IF(BF105="","",COUNTIFS(Summary!$E$5:$E$241,BF105,Summary!$A$5:$A$241,"&gt;="&amp;$A109,Summary!$A$5:$A$241,"&lt;"&amp;$A109+7))</f>
        <v>0</v>
      </c>
    </row>
    <row r="110" spans="1:58">
      <c r="A110" s="18">
        <f t="shared" si="9"/>
        <v>46118.344340277778</v>
      </c>
      <c r="B110" s="2" t="str">
        <f t="shared" si="8"/>
        <v>Apr 6</v>
      </c>
      <c r="C110">
        <f>IF(C105="","",COUNTIFS(Summary!$E$5:$E$241,C105,Summary!$A$5:$A$241,"&gt;="&amp;$A110,Summary!$A$5:$A$241,"&lt;"&amp;$A110+7))</f>
        <v>2</v>
      </c>
      <c r="D110">
        <f>IF(D105="","",COUNTIFS(Summary!$E$5:$E$241,D105,Summary!$A$5:$A$241,"&gt;="&amp;$A110,Summary!$A$5:$A$241,"&lt;"&amp;$A110+7))</f>
        <v>1</v>
      </c>
      <c r="E110">
        <f>IF(E105="","",COUNTIFS(Summary!$E$5:$E$241,E105,Summary!$A$5:$A$241,"&gt;="&amp;$A110,Summary!$A$5:$A$241,"&lt;"&amp;$A110+7))</f>
        <v>0</v>
      </c>
      <c r="F110">
        <f>IF(F105="","",COUNTIFS(Summary!$E$5:$E$241,F105,Summary!$A$5:$A$241,"&gt;="&amp;$A110,Summary!$A$5:$A$241,"&lt;"&amp;$A110+7))</f>
        <v>0</v>
      </c>
      <c r="G110">
        <f>IF(G105="","",COUNTIFS(Summary!$E$5:$E$241,G105,Summary!$A$5:$A$241,"&gt;="&amp;$A110,Summary!$A$5:$A$241,"&lt;"&amp;$A110+7))</f>
        <v>0</v>
      </c>
      <c r="H110">
        <f>IF(H105="","",COUNTIFS(Summary!$E$5:$E$241,H105,Summary!$A$5:$A$241,"&gt;="&amp;$A110,Summary!$A$5:$A$241,"&lt;"&amp;$A110+7))</f>
        <v>0</v>
      </c>
      <c r="I110">
        <f>IF(I105="","",COUNTIFS(Summary!$E$5:$E$241,I105,Summary!$A$5:$A$241,"&gt;="&amp;$A110,Summary!$A$5:$A$241,"&lt;"&amp;$A110+7))</f>
        <v>0</v>
      </c>
      <c r="J110">
        <f>IF(J105="","",COUNTIFS(Summary!$E$5:$E$241,J105,Summary!$A$5:$A$241,"&gt;="&amp;$A110,Summary!$A$5:$A$241,"&lt;"&amp;$A110+7))</f>
        <v>0</v>
      </c>
      <c r="K110">
        <f>IF(K105="","",COUNTIFS(Summary!$E$5:$E$241,K105,Summary!$A$5:$A$241,"&gt;="&amp;$A110,Summary!$A$5:$A$241,"&lt;"&amp;$A110+7))</f>
        <v>1</v>
      </c>
      <c r="L110">
        <f>IF(L105="","",COUNTIFS(Summary!$E$5:$E$241,L105,Summary!$A$5:$A$241,"&gt;="&amp;$A110,Summary!$A$5:$A$241,"&lt;"&amp;$A110+7))</f>
        <v>1</v>
      </c>
      <c r="M110">
        <f>IF(M105="","",COUNTIFS(Summary!$E$5:$E$241,M105,Summary!$A$5:$A$241,"&gt;="&amp;$A110,Summary!$A$5:$A$241,"&lt;"&amp;$A110+7))</f>
        <v>0</v>
      </c>
      <c r="N110">
        <f>IF(N105="","",COUNTIFS(Summary!$E$5:$E$241,N105,Summary!$A$5:$A$241,"&gt;="&amp;$A110,Summary!$A$5:$A$241,"&lt;"&amp;$A110+7))</f>
        <v>0</v>
      </c>
      <c r="O110">
        <f>IF(O105="","",COUNTIFS(Summary!$E$5:$E$241,O105,Summary!$A$5:$A$241,"&gt;="&amp;$A110,Summary!$A$5:$A$241,"&lt;"&amp;$A110+7))</f>
        <v>2</v>
      </c>
      <c r="P110">
        <f>IF(P105="","",COUNTIFS(Summary!$E$5:$E$241,P105,Summary!$A$5:$A$241,"&gt;="&amp;$A110,Summary!$A$5:$A$241,"&lt;"&amp;$A110+7))</f>
        <v>1</v>
      </c>
      <c r="Q110">
        <f>IF(Q105="","",COUNTIFS(Summary!$E$5:$E$241,Q105,Summary!$A$5:$A$241,"&gt;="&amp;$A110,Summary!$A$5:$A$241,"&lt;"&amp;$A110+7))</f>
        <v>1</v>
      </c>
      <c r="R110">
        <f>IF(R105="","",COUNTIFS(Summary!$E$5:$E$241,R105,Summary!$A$5:$A$241,"&gt;="&amp;$A110,Summary!$A$5:$A$241,"&lt;"&amp;$A110+7))</f>
        <v>0</v>
      </c>
      <c r="S110">
        <f>IF(S105="","",COUNTIFS(Summary!$E$5:$E$241,S105,Summary!$A$5:$A$241,"&gt;="&amp;$A110,Summary!$A$5:$A$241,"&lt;"&amp;$A110+7))</f>
        <v>0</v>
      </c>
      <c r="T110">
        <f>IF(T105="","",COUNTIFS(Summary!$E$5:$E$241,T105,Summary!$A$5:$A$241,"&gt;="&amp;$A110,Summary!$A$5:$A$241,"&lt;"&amp;$A110+7))</f>
        <v>0</v>
      </c>
      <c r="U110">
        <f>IF(U105="","",COUNTIFS(Summary!$E$5:$E$241,U105,Summary!$A$5:$A$241,"&gt;="&amp;$A110,Summary!$A$5:$A$241,"&lt;"&amp;$A110+7))</f>
        <v>0</v>
      </c>
      <c r="V110">
        <f>IF(V105="","",COUNTIFS(Summary!$E$5:$E$241,V105,Summary!$A$5:$A$241,"&gt;="&amp;$A110,Summary!$A$5:$A$241,"&lt;"&amp;$A110+7))</f>
        <v>0</v>
      </c>
      <c r="W110">
        <f>IF(W105="","",COUNTIFS(Summary!$E$5:$E$241,W105,Summary!$A$5:$A$241,"&gt;="&amp;$A110,Summary!$A$5:$A$241,"&lt;"&amp;$A110+7))</f>
        <v>0</v>
      </c>
      <c r="X110">
        <f>IF(X105="","",COUNTIFS(Summary!$E$5:$E$241,X105,Summary!$A$5:$A$241,"&gt;="&amp;$A110,Summary!$A$5:$A$241,"&lt;"&amp;$A110+7))</f>
        <v>0</v>
      </c>
      <c r="Y110">
        <f>IF(Y105="","",COUNTIFS(Summary!$E$5:$E$241,Y105,Summary!$A$5:$A$241,"&gt;="&amp;$A110,Summary!$A$5:$A$241,"&lt;"&amp;$A110+7))</f>
        <v>0</v>
      </c>
      <c r="Z110">
        <f>IF(Z105="","",COUNTIFS(Summary!$E$5:$E$241,Z105,Summary!$A$5:$A$241,"&gt;="&amp;$A110,Summary!$A$5:$A$241,"&lt;"&amp;$A110+7))</f>
        <v>0</v>
      </c>
      <c r="AA110">
        <f>IF(AA105="","",COUNTIFS(Summary!$E$5:$E$241,AA105,Summary!$A$5:$A$241,"&gt;="&amp;$A110,Summary!$A$5:$A$241,"&lt;"&amp;$A110+7))</f>
        <v>0</v>
      </c>
      <c r="AB110">
        <f>IF(AB105="","",COUNTIFS(Summary!$E$5:$E$241,AB105,Summary!$A$5:$A$241,"&gt;="&amp;$A110,Summary!$A$5:$A$241,"&lt;"&amp;$A110+7))</f>
        <v>0</v>
      </c>
      <c r="AC110">
        <f>IF(AC105="","",COUNTIFS(Summary!$E$5:$E$241,AC105,Summary!$A$5:$A$241,"&gt;="&amp;$A110,Summary!$A$5:$A$241,"&lt;"&amp;$A110+7))</f>
        <v>0</v>
      </c>
      <c r="AD110">
        <f>IF(AD105="","",COUNTIFS(Summary!$E$5:$E$241,AD105,Summary!$A$5:$A$241,"&gt;="&amp;$A110,Summary!$A$5:$A$241,"&lt;"&amp;$A110+7))</f>
        <v>0</v>
      </c>
      <c r="AE110">
        <f>IF(AE105="","",COUNTIFS(Summary!$E$5:$E$241,AE105,Summary!$A$5:$A$241,"&gt;="&amp;$A110,Summary!$A$5:$A$241,"&lt;"&amp;$A110+7))</f>
        <v>0</v>
      </c>
      <c r="AF110">
        <f>IF(AF105="","",COUNTIFS(Summary!$E$5:$E$241,AF105,Summary!$A$5:$A$241,"&gt;="&amp;$A110,Summary!$A$5:$A$241,"&lt;"&amp;$A110+7))</f>
        <v>0</v>
      </c>
      <c r="AG110">
        <f>IF(AG105="","",COUNTIFS(Summary!$E$5:$E$241,AG105,Summary!$A$5:$A$241,"&gt;="&amp;$A110,Summary!$A$5:$A$241,"&lt;"&amp;$A110+7))</f>
        <v>0</v>
      </c>
      <c r="AH110">
        <f>IF(AH105="","",COUNTIFS(Summary!$E$5:$E$241,AH105,Summary!$A$5:$A$241,"&gt;="&amp;$A110,Summary!$A$5:$A$241,"&lt;"&amp;$A110+7))</f>
        <v>0</v>
      </c>
      <c r="AI110">
        <f>IF(AI105="","",COUNTIFS(Summary!$E$5:$E$241,AI105,Summary!$A$5:$A$241,"&gt;="&amp;$A110,Summary!$A$5:$A$241,"&lt;"&amp;$A110+7))</f>
        <v>0</v>
      </c>
      <c r="AJ110">
        <f>IF(AJ105="","",COUNTIFS(Summary!$E$5:$E$241,AJ105,Summary!$A$5:$A$241,"&gt;="&amp;$A110,Summary!$A$5:$A$241,"&lt;"&amp;$A110+7))</f>
        <v>0</v>
      </c>
      <c r="AK110">
        <f>IF(AK105="","",COUNTIFS(Summary!$E$5:$E$241,AK105,Summary!$A$5:$A$241,"&gt;="&amp;$A110,Summary!$A$5:$A$241,"&lt;"&amp;$A110+7))</f>
        <v>0</v>
      </c>
      <c r="AL110">
        <f>IF(AL105="","",COUNTIFS(Summary!$E$5:$E$241,AL105,Summary!$A$5:$A$241,"&gt;="&amp;$A110,Summary!$A$5:$A$241,"&lt;"&amp;$A110+7))</f>
        <v>0</v>
      </c>
      <c r="AM110">
        <f>IF(AM105="","",COUNTIFS(Summary!$E$5:$E$241,AM105,Summary!$A$5:$A$241,"&gt;="&amp;$A110,Summary!$A$5:$A$241,"&lt;"&amp;$A110+7))</f>
        <v>0</v>
      </c>
      <c r="AN110">
        <f>IF(AN105="","",COUNTIFS(Summary!$E$5:$E$241,AN105,Summary!$A$5:$A$241,"&gt;="&amp;$A110,Summary!$A$5:$A$241,"&lt;"&amp;$A110+7))</f>
        <v>0</v>
      </c>
      <c r="AO110">
        <f>IF(AO105="","",COUNTIFS(Summary!$E$5:$E$241,AO105,Summary!$A$5:$A$241,"&gt;="&amp;$A110,Summary!$A$5:$A$241,"&lt;"&amp;$A110+7))</f>
        <v>0</v>
      </c>
      <c r="AP110">
        <f>IF(AP105="","",COUNTIFS(Summary!$E$5:$E$241,AP105,Summary!$A$5:$A$241,"&gt;="&amp;$A110,Summary!$A$5:$A$241,"&lt;"&amp;$A110+7))</f>
        <v>0</v>
      </c>
      <c r="AQ110">
        <f>IF(AQ105="","",COUNTIFS(Summary!$E$5:$E$241,AQ105,Summary!$A$5:$A$241,"&gt;="&amp;$A110,Summary!$A$5:$A$241,"&lt;"&amp;$A110+7))</f>
        <v>0</v>
      </c>
      <c r="AR110">
        <f>IF(AR105="","",COUNTIFS(Summary!$E$5:$E$241,AR105,Summary!$A$5:$A$241,"&gt;="&amp;$A110,Summary!$A$5:$A$241,"&lt;"&amp;$A110+7))</f>
        <v>0</v>
      </c>
      <c r="AS110">
        <f>IF(AS105="","",COUNTIFS(Summary!$E$5:$E$241,AS105,Summary!$A$5:$A$241,"&gt;="&amp;$A110,Summary!$A$5:$A$241,"&lt;"&amp;$A110+7))</f>
        <v>0</v>
      </c>
      <c r="AT110">
        <f>IF(AT105="","",COUNTIFS(Summary!$E$5:$E$241,AT105,Summary!$A$5:$A$241,"&gt;="&amp;$A110,Summary!$A$5:$A$241,"&lt;"&amp;$A110+7))</f>
        <v>0</v>
      </c>
      <c r="AU110">
        <f>IF(AU105="","",COUNTIFS(Summary!$E$5:$E$241,AU105,Summary!$A$5:$A$241,"&gt;="&amp;$A110,Summary!$A$5:$A$241,"&lt;"&amp;$A110+7))</f>
        <v>0</v>
      </c>
      <c r="AV110">
        <f>IF(AV105="","",COUNTIFS(Summary!$E$5:$E$241,AV105,Summary!$A$5:$A$241,"&gt;="&amp;$A110,Summary!$A$5:$A$241,"&lt;"&amp;$A110+7))</f>
        <v>0</v>
      </c>
      <c r="AW110">
        <f>IF(AW105="","",COUNTIFS(Summary!$E$5:$E$241,AW105,Summary!$A$5:$A$241,"&gt;="&amp;$A110,Summary!$A$5:$A$241,"&lt;"&amp;$A110+7))</f>
        <v>0</v>
      </c>
      <c r="AX110">
        <f>IF(AX105="","",COUNTIFS(Summary!$E$5:$E$241,AX105,Summary!$A$5:$A$241,"&gt;="&amp;$A110,Summary!$A$5:$A$241,"&lt;"&amp;$A110+7))</f>
        <v>0</v>
      </c>
      <c r="AY110">
        <f>IF(AY105="","",COUNTIFS(Summary!$E$5:$E$241,AY105,Summary!$A$5:$A$241,"&gt;="&amp;$A110,Summary!$A$5:$A$241,"&lt;"&amp;$A110+7))</f>
        <v>0</v>
      </c>
      <c r="AZ110">
        <f>IF(AZ105="","",COUNTIFS(Summary!$E$5:$E$241,AZ105,Summary!$A$5:$A$241,"&gt;="&amp;$A110,Summary!$A$5:$A$241,"&lt;"&amp;$A110+7))</f>
        <v>0</v>
      </c>
      <c r="BA110">
        <f>IF(BA105="","",COUNTIFS(Summary!$E$5:$E$241,BA105,Summary!$A$5:$A$241,"&gt;="&amp;$A110,Summary!$A$5:$A$241,"&lt;"&amp;$A110+7))</f>
        <v>0</v>
      </c>
      <c r="BB110">
        <f>IF(BB105="","",COUNTIFS(Summary!$E$5:$E$241,BB105,Summary!$A$5:$A$241,"&gt;="&amp;$A110,Summary!$A$5:$A$241,"&lt;"&amp;$A110+7))</f>
        <v>0</v>
      </c>
      <c r="BC110">
        <f>IF(BC105="","",COUNTIFS(Summary!$E$5:$E$241,BC105,Summary!$A$5:$A$241,"&gt;="&amp;$A110,Summary!$A$5:$A$241,"&lt;"&amp;$A110+7))</f>
        <v>0</v>
      </c>
      <c r="BD110">
        <f>IF(BD105="","",COUNTIFS(Summary!$E$5:$E$241,BD105,Summary!$A$5:$A$241,"&gt;="&amp;$A110,Summary!$A$5:$A$241,"&lt;"&amp;$A110+7))</f>
        <v>0</v>
      </c>
      <c r="BE110">
        <f>IF(BE105="","",COUNTIFS(Summary!$E$5:$E$241,BE105,Summary!$A$5:$A$241,"&gt;="&amp;$A110,Summary!$A$5:$A$241,"&lt;"&amp;$A110+7))</f>
        <v>0</v>
      </c>
      <c r="BF110" s="28">
        <f>IF(BF105="","",COUNTIFS(Summary!$E$5:$E$241,BF105,Summary!$A$5:$A$241,"&gt;="&amp;$A110,Summary!$A$5:$A$241,"&lt;"&amp;$A110+7))</f>
        <v>0</v>
      </c>
    </row>
    <row r="111" spans="1:58">
      <c r="A111" s="18">
        <f t="shared" si="9"/>
        <v>46125.344340277778</v>
      </c>
      <c r="B111" s="2" t="str">
        <f t="shared" si="8"/>
        <v>Apr 13</v>
      </c>
      <c r="C111">
        <f>IF(C105="","",COUNTIFS(Summary!$E$5:$E$241,C105,Summary!$A$5:$A$241,"&gt;="&amp;$A111,Summary!$A$5:$A$241,"&lt;"&amp;$A111+7))</f>
        <v>2</v>
      </c>
      <c r="D111">
        <f>IF(D105="","",COUNTIFS(Summary!$E$5:$E$241,D105,Summary!$A$5:$A$241,"&gt;="&amp;$A111,Summary!$A$5:$A$241,"&lt;"&amp;$A111+7))</f>
        <v>1</v>
      </c>
      <c r="E111">
        <f>IF(E105="","",COUNTIFS(Summary!$E$5:$E$241,E105,Summary!$A$5:$A$241,"&gt;="&amp;$A111,Summary!$A$5:$A$241,"&lt;"&amp;$A111+7))</f>
        <v>0</v>
      </c>
      <c r="F111">
        <f>IF(F105="","",COUNTIFS(Summary!$E$5:$E$241,F105,Summary!$A$5:$A$241,"&gt;="&amp;$A111,Summary!$A$5:$A$241,"&lt;"&amp;$A111+7))</f>
        <v>0</v>
      </c>
      <c r="G111">
        <f>IF(G105="","",COUNTIFS(Summary!$E$5:$E$241,G105,Summary!$A$5:$A$241,"&gt;="&amp;$A111,Summary!$A$5:$A$241,"&lt;"&amp;$A111+7))</f>
        <v>0</v>
      </c>
      <c r="H111">
        <f>IF(H105="","",COUNTIFS(Summary!$E$5:$E$241,H105,Summary!$A$5:$A$241,"&gt;="&amp;$A111,Summary!$A$5:$A$241,"&lt;"&amp;$A111+7))</f>
        <v>0</v>
      </c>
      <c r="I111">
        <f>IF(I105="","",COUNTIFS(Summary!$E$5:$E$241,I105,Summary!$A$5:$A$241,"&gt;="&amp;$A111,Summary!$A$5:$A$241,"&lt;"&amp;$A111+7))</f>
        <v>3</v>
      </c>
      <c r="J111">
        <f>IF(J105="","",COUNTIFS(Summary!$E$5:$E$241,J105,Summary!$A$5:$A$241,"&gt;="&amp;$A111,Summary!$A$5:$A$241,"&lt;"&amp;$A111+7))</f>
        <v>1</v>
      </c>
      <c r="K111">
        <f>IF(K105="","",COUNTIFS(Summary!$E$5:$E$241,K105,Summary!$A$5:$A$241,"&gt;="&amp;$A111,Summary!$A$5:$A$241,"&lt;"&amp;$A111+7))</f>
        <v>1</v>
      </c>
      <c r="L111">
        <f>IF(L105="","",COUNTIFS(Summary!$E$5:$E$241,L105,Summary!$A$5:$A$241,"&gt;="&amp;$A111,Summary!$A$5:$A$241,"&lt;"&amp;$A111+7))</f>
        <v>0</v>
      </c>
      <c r="M111">
        <f>IF(M105="","",COUNTIFS(Summary!$E$5:$E$241,M105,Summary!$A$5:$A$241,"&gt;="&amp;$A111,Summary!$A$5:$A$241,"&lt;"&amp;$A111+7))</f>
        <v>1</v>
      </c>
      <c r="N111">
        <f>IF(N105="","",COUNTIFS(Summary!$E$5:$E$241,N105,Summary!$A$5:$A$241,"&gt;="&amp;$A111,Summary!$A$5:$A$241,"&lt;"&amp;$A111+7))</f>
        <v>0</v>
      </c>
      <c r="O111">
        <f>IF(O105="","",COUNTIFS(Summary!$E$5:$E$241,O105,Summary!$A$5:$A$241,"&gt;="&amp;$A111,Summary!$A$5:$A$241,"&lt;"&amp;$A111+7))</f>
        <v>0</v>
      </c>
      <c r="P111">
        <f>IF(P105="","",COUNTIFS(Summary!$E$5:$E$241,P105,Summary!$A$5:$A$241,"&gt;="&amp;$A111,Summary!$A$5:$A$241,"&lt;"&amp;$A111+7))</f>
        <v>2</v>
      </c>
      <c r="Q111">
        <f>IF(Q105="","",COUNTIFS(Summary!$E$5:$E$241,Q105,Summary!$A$5:$A$241,"&gt;="&amp;$A111,Summary!$A$5:$A$241,"&lt;"&amp;$A111+7))</f>
        <v>2</v>
      </c>
      <c r="R111">
        <f>IF(R105="","",COUNTIFS(Summary!$E$5:$E$241,R105,Summary!$A$5:$A$241,"&gt;="&amp;$A111,Summary!$A$5:$A$241,"&lt;"&amp;$A111+7))</f>
        <v>0</v>
      </c>
      <c r="S111">
        <f>IF(S105="","",COUNTIFS(Summary!$E$5:$E$241,S105,Summary!$A$5:$A$241,"&gt;="&amp;$A111,Summary!$A$5:$A$241,"&lt;"&amp;$A111+7))</f>
        <v>0</v>
      </c>
      <c r="T111">
        <f>IF(T105="","",COUNTIFS(Summary!$E$5:$E$241,T105,Summary!$A$5:$A$241,"&gt;="&amp;$A111,Summary!$A$5:$A$241,"&lt;"&amp;$A111+7))</f>
        <v>0</v>
      </c>
      <c r="U111">
        <f>IF(U105="","",COUNTIFS(Summary!$E$5:$E$241,U105,Summary!$A$5:$A$241,"&gt;="&amp;$A111,Summary!$A$5:$A$241,"&lt;"&amp;$A111+7))</f>
        <v>1</v>
      </c>
      <c r="V111">
        <f>IF(V105="","",COUNTIFS(Summary!$E$5:$E$241,V105,Summary!$A$5:$A$241,"&gt;="&amp;$A111,Summary!$A$5:$A$241,"&lt;"&amp;$A111+7))</f>
        <v>0</v>
      </c>
      <c r="W111">
        <f>IF(W105="","",COUNTIFS(Summary!$E$5:$E$241,W105,Summary!$A$5:$A$241,"&gt;="&amp;$A111,Summary!$A$5:$A$241,"&lt;"&amp;$A111+7))</f>
        <v>1</v>
      </c>
      <c r="X111">
        <f>IF(X105="","",COUNTIFS(Summary!$E$5:$E$241,X105,Summary!$A$5:$A$241,"&gt;="&amp;$A111,Summary!$A$5:$A$241,"&lt;"&amp;$A111+7))</f>
        <v>0</v>
      </c>
      <c r="Y111">
        <f>IF(Y105="","",COUNTIFS(Summary!$E$5:$E$241,Y105,Summary!$A$5:$A$241,"&gt;="&amp;$A111,Summary!$A$5:$A$241,"&lt;"&amp;$A111+7))</f>
        <v>0</v>
      </c>
      <c r="Z111">
        <f>IF(Z105="","",COUNTIFS(Summary!$E$5:$E$241,Z105,Summary!$A$5:$A$241,"&gt;="&amp;$A111,Summary!$A$5:$A$241,"&lt;"&amp;$A111+7))</f>
        <v>1</v>
      </c>
      <c r="AA111">
        <f>IF(AA105="","",COUNTIFS(Summary!$E$5:$E$241,AA105,Summary!$A$5:$A$241,"&gt;="&amp;$A111,Summary!$A$5:$A$241,"&lt;"&amp;$A111+7))</f>
        <v>0</v>
      </c>
      <c r="AB111">
        <f>IF(AB105="","",COUNTIFS(Summary!$E$5:$E$241,AB105,Summary!$A$5:$A$241,"&gt;="&amp;$A111,Summary!$A$5:$A$241,"&lt;"&amp;$A111+7))</f>
        <v>0</v>
      </c>
      <c r="AC111">
        <f>IF(AC105="","",COUNTIFS(Summary!$E$5:$E$241,AC105,Summary!$A$5:$A$241,"&gt;="&amp;$A111,Summary!$A$5:$A$241,"&lt;"&amp;$A111+7))</f>
        <v>0</v>
      </c>
      <c r="AD111">
        <f>IF(AD105="","",COUNTIFS(Summary!$E$5:$E$241,AD105,Summary!$A$5:$A$241,"&gt;="&amp;$A111,Summary!$A$5:$A$241,"&lt;"&amp;$A111+7))</f>
        <v>0</v>
      </c>
      <c r="AE111">
        <f>IF(AE105="","",COUNTIFS(Summary!$E$5:$E$241,AE105,Summary!$A$5:$A$241,"&gt;="&amp;$A111,Summary!$A$5:$A$241,"&lt;"&amp;$A111+7))</f>
        <v>0</v>
      </c>
      <c r="AF111">
        <f>IF(AF105="","",COUNTIFS(Summary!$E$5:$E$241,AF105,Summary!$A$5:$A$241,"&gt;="&amp;$A111,Summary!$A$5:$A$241,"&lt;"&amp;$A111+7))</f>
        <v>0</v>
      </c>
      <c r="AG111">
        <f>IF(AG105="","",COUNTIFS(Summary!$E$5:$E$241,AG105,Summary!$A$5:$A$241,"&gt;="&amp;$A111,Summary!$A$5:$A$241,"&lt;"&amp;$A111+7))</f>
        <v>0</v>
      </c>
      <c r="AH111">
        <f>IF(AH105="","",COUNTIFS(Summary!$E$5:$E$241,AH105,Summary!$A$5:$A$241,"&gt;="&amp;$A111,Summary!$A$5:$A$241,"&lt;"&amp;$A111+7))</f>
        <v>0</v>
      </c>
      <c r="AI111">
        <f>IF(AI105="","",COUNTIFS(Summary!$E$5:$E$241,AI105,Summary!$A$5:$A$241,"&gt;="&amp;$A111,Summary!$A$5:$A$241,"&lt;"&amp;$A111+7))</f>
        <v>0</v>
      </c>
      <c r="AJ111">
        <f>IF(AJ105="","",COUNTIFS(Summary!$E$5:$E$241,AJ105,Summary!$A$5:$A$241,"&gt;="&amp;$A111,Summary!$A$5:$A$241,"&lt;"&amp;$A111+7))</f>
        <v>0</v>
      </c>
      <c r="AK111">
        <f>IF(AK105="","",COUNTIFS(Summary!$E$5:$E$241,AK105,Summary!$A$5:$A$241,"&gt;="&amp;$A111,Summary!$A$5:$A$241,"&lt;"&amp;$A111+7))</f>
        <v>0</v>
      </c>
      <c r="AL111">
        <f>IF(AL105="","",COUNTIFS(Summary!$E$5:$E$241,AL105,Summary!$A$5:$A$241,"&gt;="&amp;$A111,Summary!$A$5:$A$241,"&lt;"&amp;$A111+7))</f>
        <v>0</v>
      </c>
      <c r="AM111">
        <f>IF(AM105="","",COUNTIFS(Summary!$E$5:$E$241,AM105,Summary!$A$5:$A$241,"&gt;="&amp;$A111,Summary!$A$5:$A$241,"&lt;"&amp;$A111+7))</f>
        <v>0</v>
      </c>
      <c r="AN111">
        <f>IF(AN105="","",COUNTIFS(Summary!$E$5:$E$241,AN105,Summary!$A$5:$A$241,"&gt;="&amp;$A111,Summary!$A$5:$A$241,"&lt;"&amp;$A111+7))</f>
        <v>0</v>
      </c>
      <c r="AO111">
        <f>IF(AO105="","",COUNTIFS(Summary!$E$5:$E$241,AO105,Summary!$A$5:$A$241,"&gt;="&amp;$A111,Summary!$A$5:$A$241,"&lt;"&amp;$A111+7))</f>
        <v>0</v>
      </c>
      <c r="AP111">
        <f>IF(AP105="","",COUNTIFS(Summary!$E$5:$E$241,AP105,Summary!$A$5:$A$241,"&gt;="&amp;$A111,Summary!$A$5:$A$241,"&lt;"&amp;$A111+7))</f>
        <v>0</v>
      </c>
      <c r="AQ111">
        <f>IF(AQ105="","",COUNTIFS(Summary!$E$5:$E$241,AQ105,Summary!$A$5:$A$241,"&gt;="&amp;$A111,Summary!$A$5:$A$241,"&lt;"&amp;$A111+7))</f>
        <v>0</v>
      </c>
      <c r="AR111">
        <f>IF(AR105="","",COUNTIFS(Summary!$E$5:$E$241,AR105,Summary!$A$5:$A$241,"&gt;="&amp;$A111,Summary!$A$5:$A$241,"&lt;"&amp;$A111+7))</f>
        <v>0</v>
      </c>
      <c r="AS111">
        <f>IF(AS105="","",COUNTIFS(Summary!$E$5:$E$241,AS105,Summary!$A$5:$A$241,"&gt;="&amp;$A111,Summary!$A$5:$A$241,"&lt;"&amp;$A111+7))</f>
        <v>0</v>
      </c>
      <c r="AT111">
        <f>IF(AT105="","",COUNTIFS(Summary!$E$5:$E$241,AT105,Summary!$A$5:$A$241,"&gt;="&amp;$A111,Summary!$A$5:$A$241,"&lt;"&amp;$A111+7))</f>
        <v>0</v>
      </c>
      <c r="AU111">
        <f>IF(AU105="","",COUNTIFS(Summary!$E$5:$E$241,AU105,Summary!$A$5:$A$241,"&gt;="&amp;$A111,Summary!$A$5:$A$241,"&lt;"&amp;$A111+7))</f>
        <v>0</v>
      </c>
      <c r="AV111">
        <f>IF(AV105="","",COUNTIFS(Summary!$E$5:$E$241,AV105,Summary!$A$5:$A$241,"&gt;="&amp;$A111,Summary!$A$5:$A$241,"&lt;"&amp;$A111+7))</f>
        <v>0</v>
      </c>
      <c r="AW111">
        <f>IF(AW105="","",COUNTIFS(Summary!$E$5:$E$241,AW105,Summary!$A$5:$A$241,"&gt;="&amp;$A111,Summary!$A$5:$A$241,"&lt;"&amp;$A111+7))</f>
        <v>0</v>
      </c>
      <c r="AX111">
        <f>IF(AX105="","",COUNTIFS(Summary!$E$5:$E$241,AX105,Summary!$A$5:$A$241,"&gt;="&amp;$A111,Summary!$A$5:$A$241,"&lt;"&amp;$A111+7))</f>
        <v>0</v>
      </c>
      <c r="AY111">
        <f>IF(AY105="","",COUNTIFS(Summary!$E$5:$E$241,AY105,Summary!$A$5:$A$241,"&gt;="&amp;$A111,Summary!$A$5:$A$241,"&lt;"&amp;$A111+7))</f>
        <v>0</v>
      </c>
      <c r="AZ111">
        <f>IF(AZ105="","",COUNTIFS(Summary!$E$5:$E$241,AZ105,Summary!$A$5:$A$241,"&gt;="&amp;$A111,Summary!$A$5:$A$241,"&lt;"&amp;$A111+7))</f>
        <v>0</v>
      </c>
      <c r="BA111">
        <f>IF(BA105="","",COUNTIFS(Summary!$E$5:$E$241,BA105,Summary!$A$5:$A$241,"&gt;="&amp;$A111,Summary!$A$5:$A$241,"&lt;"&amp;$A111+7))</f>
        <v>0</v>
      </c>
      <c r="BB111">
        <f>IF(BB105="","",COUNTIFS(Summary!$E$5:$E$241,BB105,Summary!$A$5:$A$241,"&gt;="&amp;$A111,Summary!$A$5:$A$241,"&lt;"&amp;$A111+7))</f>
        <v>0</v>
      </c>
      <c r="BC111">
        <f>IF(BC105="","",COUNTIFS(Summary!$E$5:$E$241,BC105,Summary!$A$5:$A$241,"&gt;="&amp;$A111,Summary!$A$5:$A$241,"&lt;"&amp;$A111+7))</f>
        <v>0</v>
      </c>
      <c r="BD111">
        <f>IF(BD105="","",COUNTIFS(Summary!$E$5:$E$241,BD105,Summary!$A$5:$A$241,"&gt;="&amp;$A111,Summary!$A$5:$A$241,"&lt;"&amp;$A111+7))</f>
        <v>0</v>
      </c>
      <c r="BE111">
        <f>IF(BE105="","",COUNTIFS(Summary!$E$5:$E$241,BE105,Summary!$A$5:$A$241,"&gt;="&amp;$A111,Summary!$A$5:$A$241,"&lt;"&amp;$A111+7))</f>
        <v>0</v>
      </c>
      <c r="BF111" s="28">
        <f>IF(BF105="","",COUNTIFS(Summary!$E$5:$E$241,BF105,Summary!$A$5:$A$241,"&gt;="&amp;$A111,Summary!$A$5:$A$241,"&lt;"&amp;$A111+7))</f>
        <v>0</v>
      </c>
    </row>
    <row r="112" spans="1:58">
      <c r="A112" s="18">
        <f t="shared" si="9"/>
        <v>46132.344340277778</v>
      </c>
      <c r="B112" s="2" t="str">
        <f t="shared" si="8"/>
        <v>Apr 20</v>
      </c>
      <c r="C112">
        <f>IF(C105="","",COUNTIFS(Summary!$E$5:$E$241,C105,Summary!$A$5:$A$241,"&gt;="&amp;$A112,Summary!$A$5:$A$241,"&lt;"&amp;$A112+7))</f>
        <v>1</v>
      </c>
      <c r="D112">
        <f>IF(D105="","",COUNTIFS(Summary!$E$5:$E$241,D105,Summary!$A$5:$A$241,"&gt;="&amp;$A112,Summary!$A$5:$A$241,"&lt;"&amp;$A112+7))</f>
        <v>0</v>
      </c>
      <c r="E112">
        <f>IF(E105="","",COUNTIFS(Summary!$E$5:$E$241,E105,Summary!$A$5:$A$241,"&gt;="&amp;$A112,Summary!$A$5:$A$241,"&lt;"&amp;$A112+7))</f>
        <v>0</v>
      </c>
      <c r="F112">
        <f>IF(F105="","",COUNTIFS(Summary!$E$5:$E$241,F105,Summary!$A$5:$A$241,"&gt;="&amp;$A112,Summary!$A$5:$A$241,"&lt;"&amp;$A112+7))</f>
        <v>0</v>
      </c>
      <c r="G112">
        <f>IF(G105="","",COUNTIFS(Summary!$E$5:$E$241,G105,Summary!$A$5:$A$241,"&gt;="&amp;$A112,Summary!$A$5:$A$241,"&lt;"&amp;$A112+7))</f>
        <v>0</v>
      </c>
      <c r="H112">
        <f>IF(H105="","",COUNTIFS(Summary!$E$5:$E$241,H105,Summary!$A$5:$A$241,"&gt;="&amp;$A112,Summary!$A$5:$A$241,"&lt;"&amp;$A112+7))</f>
        <v>0</v>
      </c>
      <c r="I112">
        <f>IF(I105="","",COUNTIFS(Summary!$E$5:$E$241,I105,Summary!$A$5:$A$241,"&gt;="&amp;$A112,Summary!$A$5:$A$241,"&lt;"&amp;$A112+7))</f>
        <v>0</v>
      </c>
      <c r="J112">
        <f>IF(J105="","",COUNTIFS(Summary!$E$5:$E$241,J105,Summary!$A$5:$A$241,"&gt;="&amp;$A112,Summary!$A$5:$A$241,"&lt;"&amp;$A112+7))</f>
        <v>0</v>
      </c>
      <c r="K112">
        <f>IF(K105="","",COUNTIFS(Summary!$E$5:$E$241,K105,Summary!$A$5:$A$241,"&gt;="&amp;$A112,Summary!$A$5:$A$241,"&lt;"&amp;$A112+7))</f>
        <v>0</v>
      </c>
      <c r="L112">
        <f>IF(L105="","",COUNTIFS(Summary!$E$5:$E$241,L105,Summary!$A$5:$A$241,"&gt;="&amp;$A112,Summary!$A$5:$A$241,"&lt;"&amp;$A112+7))</f>
        <v>1</v>
      </c>
      <c r="M112">
        <f>IF(M105="","",COUNTIFS(Summary!$E$5:$E$241,M105,Summary!$A$5:$A$241,"&gt;="&amp;$A112,Summary!$A$5:$A$241,"&lt;"&amp;$A112+7))</f>
        <v>1</v>
      </c>
      <c r="N112">
        <f>IF(N105="","",COUNTIFS(Summary!$E$5:$E$241,N105,Summary!$A$5:$A$241,"&gt;="&amp;$A112,Summary!$A$5:$A$241,"&lt;"&amp;$A112+7))</f>
        <v>2</v>
      </c>
      <c r="O112">
        <f>IF(O105="","",COUNTIFS(Summary!$E$5:$E$241,O105,Summary!$A$5:$A$241,"&gt;="&amp;$A112,Summary!$A$5:$A$241,"&lt;"&amp;$A112+7))</f>
        <v>1</v>
      </c>
      <c r="P112">
        <f>IF(P105="","",COUNTIFS(Summary!$E$5:$E$241,P105,Summary!$A$5:$A$241,"&gt;="&amp;$A112,Summary!$A$5:$A$241,"&lt;"&amp;$A112+7))</f>
        <v>0</v>
      </c>
      <c r="Q112">
        <f>IF(Q105="","",COUNTIFS(Summary!$E$5:$E$241,Q105,Summary!$A$5:$A$241,"&gt;="&amp;$A112,Summary!$A$5:$A$241,"&lt;"&amp;$A112+7))</f>
        <v>0</v>
      </c>
      <c r="R112">
        <f>IF(R105="","",COUNTIFS(Summary!$E$5:$E$241,R105,Summary!$A$5:$A$241,"&gt;="&amp;$A112,Summary!$A$5:$A$241,"&lt;"&amp;$A112+7))</f>
        <v>0</v>
      </c>
      <c r="S112">
        <f>IF(S105="","",COUNTIFS(Summary!$E$5:$E$241,S105,Summary!$A$5:$A$241,"&gt;="&amp;$A112,Summary!$A$5:$A$241,"&lt;"&amp;$A112+7))</f>
        <v>0</v>
      </c>
      <c r="T112">
        <f>IF(T105="","",COUNTIFS(Summary!$E$5:$E$241,T105,Summary!$A$5:$A$241,"&gt;="&amp;$A112,Summary!$A$5:$A$241,"&lt;"&amp;$A112+7))</f>
        <v>1</v>
      </c>
      <c r="U112">
        <f>IF(U105="","",COUNTIFS(Summary!$E$5:$E$241,U105,Summary!$A$5:$A$241,"&gt;="&amp;$A112,Summary!$A$5:$A$241,"&lt;"&amp;$A112+7))</f>
        <v>0</v>
      </c>
      <c r="V112">
        <f>IF(V105="","",COUNTIFS(Summary!$E$5:$E$241,V105,Summary!$A$5:$A$241,"&gt;="&amp;$A112,Summary!$A$5:$A$241,"&lt;"&amp;$A112+7))</f>
        <v>0</v>
      </c>
      <c r="W112">
        <f>IF(W105="","",COUNTIFS(Summary!$E$5:$E$241,W105,Summary!$A$5:$A$241,"&gt;="&amp;$A112,Summary!$A$5:$A$241,"&lt;"&amp;$A112+7))</f>
        <v>0</v>
      </c>
      <c r="X112">
        <f>IF(X105="","",COUNTIFS(Summary!$E$5:$E$241,X105,Summary!$A$5:$A$241,"&gt;="&amp;$A112,Summary!$A$5:$A$241,"&lt;"&amp;$A112+7))</f>
        <v>0</v>
      </c>
      <c r="Y112">
        <f>IF(Y105="","",COUNTIFS(Summary!$E$5:$E$241,Y105,Summary!$A$5:$A$241,"&gt;="&amp;$A112,Summary!$A$5:$A$241,"&lt;"&amp;$A112+7))</f>
        <v>1</v>
      </c>
      <c r="Z112">
        <f>IF(Z105="","",COUNTIFS(Summary!$E$5:$E$241,Z105,Summary!$A$5:$A$241,"&gt;="&amp;$A112,Summary!$A$5:$A$241,"&lt;"&amp;$A112+7))</f>
        <v>0</v>
      </c>
      <c r="AA112">
        <f>IF(AA105="","",COUNTIFS(Summary!$E$5:$E$241,AA105,Summary!$A$5:$A$241,"&gt;="&amp;$A112,Summary!$A$5:$A$241,"&lt;"&amp;$A112+7))</f>
        <v>0</v>
      </c>
      <c r="AB112">
        <f>IF(AB105="","",COUNTIFS(Summary!$E$5:$E$241,AB105,Summary!$A$5:$A$241,"&gt;="&amp;$A112,Summary!$A$5:$A$241,"&lt;"&amp;$A112+7))</f>
        <v>0</v>
      </c>
      <c r="AC112">
        <f>IF(AC105="","",COUNTIFS(Summary!$E$5:$E$241,AC105,Summary!$A$5:$A$241,"&gt;="&amp;$A112,Summary!$A$5:$A$241,"&lt;"&amp;$A112+7))</f>
        <v>0</v>
      </c>
      <c r="AD112">
        <f>IF(AD105="","",COUNTIFS(Summary!$E$5:$E$241,AD105,Summary!$A$5:$A$241,"&gt;="&amp;$A112,Summary!$A$5:$A$241,"&lt;"&amp;$A112+7))</f>
        <v>0</v>
      </c>
      <c r="AE112">
        <f>IF(AE105="","",COUNTIFS(Summary!$E$5:$E$241,AE105,Summary!$A$5:$A$241,"&gt;="&amp;$A112,Summary!$A$5:$A$241,"&lt;"&amp;$A112+7))</f>
        <v>0</v>
      </c>
      <c r="AF112">
        <f>IF(AF105="","",COUNTIFS(Summary!$E$5:$E$241,AF105,Summary!$A$5:$A$241,"&gt;="&amp;$A112,Summary!$A$5:$A$241,"&lt;"&amp;$A112+7))</f>
        <v>0</v>
      </c>
      <c r="AG112">
        <f>IF(AG105="","",COUNTIFS(Summary!$E$5:$E$241,AG105,Summary!$A$5:$A$241,"&gt;="&amp;$A112,Summary!$A$5:$A$241,"&lt;"&amp;$A112+7))</f>
        <v>0</v>
      </c>
      <c r="AH112">
        <f>IF(AH105="","",COUNTIFS(Summary!$E$5:$E$241,AH105,Summary!$A$5:$A$241,"&gt;="&amp;$A112,Summary!$A$5:$A$241,"&lt;"&amp;$A112+7))</f>
        <v>0</v>
      </c>
      <c r="AI112">
        <f>IF(AI105="","",COUNTIFS(Summary!$E$5:$E$241,AI105,Summary!$A$5:$A$241,"&gt;="&amp;$A112,Summary!$A$5:$A$241,"&lt;"&amp;$A112+7))</f>
        <v>0</v>
      </c>
      <c r="AJ112">
        <f>IF(AJ105="","",COUNTIFS(Summary!$E$5:$E$241,AJ105,Summary!$A$5:$A$241,"&gt;="&amp;$A112,Summary!$A$5:$A$241,"&lt;"&amp;$A112+7))</f>
        <v>0</v>
      </c>
      <c r="AK112">
        <f>IF(AK105="","",COUNTIFS(Summary!$E$5:$E$241,AK105,Summary!$A$5:$A$241,"&gt;="&amp;$A112,Summary!$A$5:$A$241,"&lt;"&amp;$A112+7))</f>
        <v>0</v>
      </c>
      <c r="AL112">
        <f>IF(AL105="","",COUNTIFS(Summary!$E$5:$E$241,AL105,Summary!$A$5:$A$241,"&gt;="&amp;$A112,Summary!$A$5:$A$241,"&lt;"&amp;$A112+7))</f>
        <v>0</v>
      </c>
      <c r="AM112">
        <f>IF(AM105="","",COUNTIFS(Summary!$E$5:$E$241,AM105,Summary!$A$5:$A$241,"&gt;="&amp;$A112,Summary!$A$5:$A$241,"&lt;"&amp;$A112+7))</f>
        <v>0</v>
      </c>
      <c r="AN112">
        <f>IF(AN105="","",COUNTIFS(Summary!$E$5:$E$241,AN105,Summary!$A$5:$A$241,"&gt;="&amp;$A112,Summary!$A$5:$A$241,"&lt;"&amp;$A112+7))</f>
        <v>0</v>
      </c>
      <c r="AO112">
        <f>IF(AO105="","",COUNTIFS(Summary!$E$5:$E$241,AO105,Summary!$A$5:$A$241,"&gt;="&amp;$A112,Summary!$A$5:$A$241,"&lt;"&amp;$A112+7))</f>
        <v>0</v>
      </c>
      <c r="AP112">
        <f>IF(AP105="","",COUNTIFS(Summary!$E$5:$E$241,AP105,Summary!$A$5:$A$241,"&gt;="&amp;$A112,Summary!$A$5:$A$241,"&lt;"&amp;$A112+7))</f>
        <v>0</v>
      </c>
      <c r="AQ112">
        <f>IF(AQ105="","",COUNTIFS(Summary!$E$5:$E$241,AQ105,Summary!$A$5:$A$241,"&gt;="&amp;$A112,Summary!$A$5:$A$241,"&lt;"&amp;$A112+7))</f>
        <v>0</v>
      </c>
      <c r="AR112">
        <f>IF(AR105="","",COUNTIFS(Summary!$E$5:$E$241,AR105,Summary!$A$5:$A$241,"&gt;="&amp;$A112,Summary!$A$5:$A$241,"&lt;"&amp;$A112+7))</f>
        <v>0</v>
      </c>
      <c r="AS112">
        <f>IF(AS105="","",COUNTIFS(Summary!$E$5:$E$241,AS105,Summary!$A$5:$A$241,"&gt;="&amp;$A112,Summary!$A$5:$A$241,"&lt;"&amp;$A112+7))</f>
        <v>0</v>
      </c>
      <c r="AT112">
        <f>IF(AT105="","",COUNTIFS(Summary!$E$5:$E$241,AT105,Summary!$A$5:$A$241,"&gt;="&amp;$A112,Summary!$A$5:$A$241,"&lt;"&amp;$A112+7))</f>
        <v>0</v>
      </c>
      <c r="AU112">
        <f>IF(AU105="","",COUNTIFS(Summary!$E$5:$E$241,AU105,Summary!$A$5:$A$241,"&gt;="&amp;$A112,Summary!$A$5:$A$241,"&lt;"&amp;$A112+7))</f>
        <v>0</v>
      </c>
      <c r="AV112">
        <f>IF(AV105="","",COUNTIFS(Summary!$E$5:$E$241,AV105,Summary!$A$5:$A$241,"&gt;="&amp;$A112,Summary!$A$5:$A$241,"&lt;"&amp;$A112+7))</f>
        <v>0</v>
      </c>
      <c r="AW112">
        <f>IF(AW105="","",COUNTIFS(Summary!$E$5:$E$241,AW105,Summary!$A$5:$A$241,"&gt;="&amp;$A112,Summary!$A$5:$A$241,"&lt;"&amp;$A112+7))</f>
        <v>0</v>
      </c>
      <c r="AX112">
        <f>IF(AX105="","",COUNTIFS(Summary!$E$5:$E$241,AX105,Summary!$A$5:$A$241,"&gt;="&amp;$A112,Summary!$A$5:$A$241,"&lt;"&amp;$A112+7))</f>
        <v>0</v>
      </c>
      <c r="AY112">
        <f>IF(AY105="","",COUNTIFS(Summary!$E$5:$E$241,AY105,Summary!$A$5:$A$241,"&gt;="&amp;$A112,Summary!$A$5:$A$241,"&lt;"&amp;$A112+7))</f>
        <v>0</v>
      </c>
      <c r="AZ112">
        <f>IF(AZ105="","",COUNTIFS(Summary!$E$5:$E$241,AZ105,Summary!$A$5:$A$241,"&gt;="&amp;$A112,Summary!$A$5:$A$241,"&lt;"&amp;$A112+7))</f>
        <v>0</v>
      </c>
      <c r="BA112">
        <f>IF(BA105="","",COUNTIFS(Summary!$E$5:$E$241,BA105,Summary!$A$5:$A$241,"&gt;="&amp;$A112,Summary!$A$5:$A$241,"&lt;"&amp;$A112+7))</f>
        <v>0</v>
      </c>
      <c r="BB112">
        <f>IF(BB105="","",COUNTIFS(Summary!$E$5:$E$241,BB105,Summary!$A$5:$A$241,"&gt;="&amp;$A112,Summary!$A$5:$A$241,"&lt;"&amp;$A112+7))</f>
        <v>0</v>
      </c>
      <c r="BC112">
        <f>IF(BC105="","",COUNTIFS(Summary!$E$5:$E$241,BC105,Summary!$A$5:$A$241,"&gt;="&amp;$A112,Summary!$A$5:$A$241,"&lt;"&amp;$A112+7))</f>
        <v>0</v>
      </c>
      <c r="BD112">
        <f>IF(BD105="","",COUNTIFS(Summary!$E$5:$E$241,BD105,Summary!$A$5:$A$241,"&gt;="&amp;$A112,Summary!$A$5:$A$241,"&lt;"&amp;$A112+7))</f>
        <v>0</v>
      </c>
      <c r="BE112">
        <f>IF(BE105="","",COUNTIFS(Summary!$E$5:$E$241,BE105,Summary!$A$5:$A$241,"&gt;="&amp;$A112,Summary!$A$5:$A$241,"&lt;"&amp;$A112+7))</f>
        <v>0</v>
      </c>
      <c r="BF112" s="28">
        <f>IF(BF105="","",COUNTIFS(Summary!$E$5:$E$241,BF105,Summary!$A$5:$A$241,"&gt;="&amp;$A112,Summary!$A$5:$A$241,"&lt;"&amp;$A112+7))</f>
        <v>0</v>
      </c>
    </row>
    <row r="113" spans="1:58">
      <c r="A113" s="18">
        <f t="shared" si="9"/>
        <v>46139.344340277778</v>
      </c>
      <c r="B113" s="2" t="str">
        <f t="shared" si="8"/>
        <v>Apr 27</v>
      </c>
      <c r="C113">
        <f>IF(C105="","",COUNTIFS(Summary!$E$5:$E$241,C105,Summary!$A$5:$A$241,"&gt;="&amp;$A113,Summary!$A$5:$A$241,"&lt;"&amp;$A113+7))</f>
        <v>0</v>
      </c>
      <c r="D113">
        <f>IF(D105="","",COUNTIFS(Summary!$E$5:$E$241,D105,Summary!$A$5:$A$241,"&gt;="&amp;$A113,Summary!$A$5:$A$241,"&lt;"&amp;$A113+7))</f>
        <v>0</v>
      </c>
      <c r="E113">
        <f>IF(E105="","",COUNTIFS(Summary!$E$5:$E$241,E105,Summary!$A$5:$A$241,"&gt;="&amp;$A113,Summary!$A$5:$A$241,"&lt;"&amp;$A113+7))</f>
        <v>0</v>
      </c>
      <c r="F113">
        <f>IF(F105="","",COUNTIFS(Summary!$E$5:$E$241,F105,Summary!$A$5:$A$241,"&gt;="&amp;$A113,Summary!$A$5:$A$241,"&lt;"&amp;$A113+7))</f>
        <v>0</v>
      </c>
      <c r="G113">
        <f>IF(G105="","",COUNTIFS(Summary!$E$5:$E$241,G105,Summary!$A$5:$A$241,"&gt;="&amp;$A113,Summary!$A$5:$A$241,"&lt;"&amp;$A113+7))</f>
        <v>0</v>
      </c>
      <c r="H113">
        <f>IF(H105="","",COUNTIFS(Summary!$E$5:$E$241,H105,Summary!$A$5:$A$241,"&gt;="&amp;$A113,Summary!$A$5:$A$241,"&lt;"&amp;$A113+7))</f>
        <v>0</v>
      </c>
      <c r="I113">
        <f>IF(I105="","",COUNTIFS(Summary!$E$5:$E$241,I105,Summary!$A$5:$A$241,"&gt;="&amp;$A113,Summary!$A$5:$A$241,"&lt;"&amp;$A113+7))</f>
        <v>0</v>
      </c>
      <c r="J113">
        <f>IF(J105="","",COUNTIFS(Summary!$E$5:$E$241,J105,Summary!$A$5:$A$241,"&gt;="&amp;$A113,Summary!$A$5:$A$241,"&lt;"&amp;$A113+7))</f>
        <v>0</v>
      </c>
      <c r="K113">
        <f>IF(K105="","",COUNTIFS(Summary!$E$5:$E$241,K105,Summary!$A$5:$A$241,"&gt;="&amp;$A113,Summary!$A$5:$A$241,"&lt;"&amp;$A113+7))</f>
        <v>0</v>
      </c>
      <c r="L113">
        <f>IF(L105="","",COUNTIFS(Summary!$E$5:$E$241,L105,Summary!$A$5:$A$241,"&gt;="&amp;$A113,Summary!$A$5:$A$241,"&lt;"&amp;$A113+7))</f>
        <v>1</v>
      </c>
      <c r="M113">
        <f>IF(M105="","",COUNTIFS(Summary!$E$5:$E$241,M105,Summary!$A$5:$A$241,"&gt;="&amp;$A113,Summary!$A$5:$A$241,"&lt;"&amp;$A113+7))</f>
        <v>0</v>
      </c>
      <c r="N113">
        <f>IF(N105="","",COUNTIFS(Summary!$E$5:$E$241,N105,Summary!$A$5:$A$241,"&gt;="&amp;$A113,Summary!$A$5:$A$241,"&lt;"&amp;$A113+7))</f>
        <v>0</v>
      </c>
      <c r="O113">
        <f>IF(O105="","",COUNTIFS(Summary!$E$5:$E$241,O105,Summary!$A$5:$A$241,"&gt;="&amp;$A113,Summary!$A$5:$A$241,"&lt;"&amp;$A113+7))</f>
        <v>0</v>
      </c>
      <c r="P113">
        <f>IF(P105="","",COUNTIFS(Summary!$E$5:$E$241,P105,Summary!$A$5:$A$241,"&gt;="&amp;$A113,Summary!$A$5:$A$241,"&lt;"&amp;$A113+7))</f>
        <v>0</v>
      </c>
      <c r="Q113">
        <f>IF(Q105="","",COUNTIFS(Summary!$E$5:$E$241,Q105,Summary!$A$5:$A$241,"&gt;="&amp;$A113,Summary!$A$5:$A$241,"&lt;"&amp;$A113+7))</f>
        <v>0</v>
      </c>
      <c r="R113">
        <f>IF(R105="","",COUNTIFS(Summary!$E$5:$E$241,R105,Summary!$A$5:$A$241,"&gt;="&amp;$A113,Summary!$A$5:$A$241,"&lt;"&amp;$A113+7))</f>
        <v>0</v>
      </c>
      <c r="S113">
        <f>IF(S105="","",COUNTIFS(Summary!$E$5:$E$241,S105,Summary!$A$5:$A$241,"&gt;="&amp;$A113,Summary!$A$5:$A$241,"&lt;"&amp;$A113+7))</f>
        <v>0</v>
      </c>
      <c r="T113">
        <f>IF(T105="","",COUNTIFS(Summary!$E$5:$E$241,T105,Summary!$A$5:$A$241,"&gt;="&amp;$A113,Summary!$A$5:$A$241,"&lt;"&amp;$A113+7))</f>
        <v>0</v>
      </c>
      <c r="U113">
        <f>IF(U105="","",COUNTIFS(Summary!$E$5:$E$241,U105,Summary!$A$5:$A$241,"&gt;="&amp;$A113,Summary!$A$5:$A$241,"&lt;"&amp;$A113+7))</f>
        <v>0</v>
      </c>
      <c r="V113">
        <f>IF(V105="","",COUNTIFS(Summary!$E$5:$E$241,V105,Summary!$A$5:$A$241,"&gt;="&amp;$A113,Summary!$A$5:$A$241,"&lt;"&amp;$A113+7))</f>
        <v>0</v>
      </c>
      <c r="W113">
        <f>IF(W105="","",COUNTIFS(Summary!$E$5:$E$241,W105,Summary!$A$5:$A$241,"&gt;="&amp;$A113,Summary!$A$5:$A$241,"&lt;"&amp;$A113+7))</f>
        <v>0</v>
      </c>
      <c r="X113">
        <f>IF(X105="","",COUNTIFS(Summary!$E$5:$E$241,X105,Summary!$A$5:$A$241,"&gt;="&amp;$A113,Summary!$A$5:$A$241,"&lt;"&amp;$A113+7))</f>
        <v>0</v>
      </c>
      <c r="Y113">
        <f>IF(Y105="","",COUNTIFS(Summary!$E$5:$E$241,Y105,Summary!$A$5:$A$241,"&gt;="&amp;$A113,Summary!$A$5:$A$241,"&lt;"&amp;$A113+7))</f>
        <v>0</v>
      </c>
      <c r="Z113">
        <f>IF(Z105="","",COUNTIFS(Summary!$E$5:$E$241,Z105,Summary!$A$5:$A$241,"&gt;="&amp;$A113,Summary!$A$5:$A$241,"&lt;"&amp;$A113+7))</f>
        <v>0</v>
      </c>
      <c r="AA113">
        <f>IF(AA105="","",COUNTIFS(Summary!$E$5:$E$241,AA105,Summary!$A$5:$A$241,"&gt;="&amp;$A113,Summary!$A$5:$A$241,"&lt;"&amp;$A113+7))</f>
        <v>0</v>
      </c>
      <c r="AB113">
        <f>IF(AB105="","",COUNTIFS(Summary!$E$5:$E$241,AB105,Summary!$A$5:$A$241,"&gt;="&amp;$A113,Summary!$A$5:$A$241,"&lt;"&amp;$A113+7))</f>
        <v>0</v>
      </c>
      <c r="AC113">
        <f>IF(AC105="","",COUNTIFS(Summary!$E$5:$E$241,AC105,Summary!$A$5:$A$241,"&gt;="&amp;$A113,Summary!$A$5:$A$241,"&lt;"&amp;$A113+7))</f>
        <v>0</v>
      </c>
      <c r="AD113">
        <f>IF(AD105="","",COUNTIFS(Summary!$E$5:$E$241,AD105,Summary!$A$5:$A$241,"&gt;="&amp;$A113,Summary!$A$5:$A$241,"&lt;"&amp;$A113+7))</f>
        <v>0</v>
      </c>
      <c r="AE113">
        <f>IF(AE105="","",COUNTIFS(Summary!$E$5:$E$241,AE105,Summary!$A$5:$A$241,"&gt;="&amp;$A113,Summary!$A$5:$A$241,"&lt;"&amp;$A113+7))</f>
        <v>0</v>
      </c>
      <c r="AF113">
        <f>IF(AF105="","",COUNTIFS(Summary!$E$5:$E$241,AF105,Summary!$A$5:$A$241,"&gt;="&amp;$A113,Summary!$A$5:$A$241,"&lt;"&amp;$A113+7))</f>
        <v>0</v>
      </c>
      <c r="AG113">
        <f>IF(AG105="","",COUNTIFS(Summary!$E$5:$E$241,AG105,Summary!$A$5:$A$241,"&gt;="&amp;$A113,Summary!$A$5:$A$241,"&lt;"&amp;$A113+7))</f>
        <v>0</v>
      </c>
      <c r="AH113">
        <f>IF(AH105="","",COUNTIFS(Summary!$E$5:$E$241,AH105,Summary!$A$5:$A$241,"&gt;="&amp;$A113,Summary!$A$5:$A$241,"&lt;"&amp;$A113+7))</f>
        <v>0</v>
      </c>
      <c r="AI113">
        <f>IF(AI105="","",COUNTIFS(Summary!$E$5:$E$241,AI105,Summary!$A$5:$A$241,"&gt;="&amp;$A113,Summary!$A$5:$A$241,"&lt;"&amp;$A113+7))</f>
        <v>0</v>
      </c>
      <c r="AJ113">
        <f>IF(AJ105="","",COUNTIFS(Summary!$E$5:$E$241,AJ105,Summary!$A$5:$A$241,"&gt;="&amp;$A113,Summary!$A$5:$A$241,"&lt;"&amp;$A113+7))</f>
        <v>0</v>
      </c>
      <c r="AK113">
        <f>IF(AK105="","",COUNTIFS(Summary!$E$5:$E$241,AK105,Summary!$A$5:$A$241,"&gt;="&amp;$A113,Summary!$A$5:$A$241,"&lt;"&amp;$A113+7))</f>
        <v>0</v>
      </c>
      <c r="AL113">
        <f>IF(AL105="","",COUNTIFS(Summary!$E$5:$E$241,AL105,Summary!$A$5:$A$241,"&gt;="&amp;$A113,Summary!$A$5:$A$241,"&lt;"&amp;$A113+7))</f>
        <v>0</v>
      </c>
      <c r="AM113">
        <f>IF(AM105="","",COUNTIFS(Summary!$E$5:$E$241,AM105,Summary!$A$5:$A$241,"&gt;="&amp;$A113,Summary!$A$5:$A$241,"&lt;"&amp;$A113+7))</f>
        <v>0</v>
      </c>
      <c r="AN113">
        <f>IF(AN105="","",COUNTIFS(Summary!$E$5:$E$241,AN105,Summary!$A$5:$A$241,"&gt;="&amp;$A113,Summary!$A$5:$A$241,"&lt;"&amp;$A113+7))</f>
        <v>0</v>
      </c>
      <c r="AO113">
        <f>IF(AO105="","",COUNTIFS(Summary!$E$5:$E$241,AO105,Summary!$A$5:$A$241,"&gt;="&amp;$A113,Summary!$A$5:$A$241,"&lt;"&amp;$A113+7))</f>
        <v>0</v>
      </c>
      <c r="AP113">
        <f>IF(AP105="","",COUNTIFS(Summary!$E$5:$E$241,AP105,Summary!$A$5:$A$241,"&gt;="&amp;$A113,Summary!$A$5:$A$241,"&lt;"&amp;$A113+7))</f>
        <v>0</v>
      </c>
      <c r="AQ113">
        <f>IF(AQ105="","",COUNTIFS(Summary!$E$5:$E$241,AQ105,Summary!$A$5:$A$241,"&gt;="&amp;$A113,Summary!$A$5:$A$241,"&lt;"&amp;$A113+7))</f>
        <v>0</v>
      </c>
      <c r="AR113">
        <f>IF(AR105="","",COUNTIFS(Summary!$E$5:$E$241,AR105,Summary!$A$5:$A$241,"&gt;="&amp;$A113,Summary!$A$5:$A$241,"&lt;"&amp;$A113+7))</f>
        <v>0</v>
      </c>
      <c r="AS113">
        <f>IF(AS105="","",COUNTIFS(Summary!$E$5:$E$241,AS105,Summary!$A$5:$A$241,"&gt;="&amp;$A113,Summary!$A$5:$A$241,"&lt;"&amp;$A113+7))</f>
        <v>0</v>
      </c>
      <c r="AT113">
        <f>IF(AT105="","",COUNTIFS(Summary!$E$5:$E$241,AT105,Summary!$A$5:$A$241,"&gt;="&amp;$A113,Summary!$A$5:$A$241,"&lt;"&amp;$A113+7))</f>
        <v>0</v>
      </c>
      <c r="AU113">
        <f>IF(AU105="","",COUNTIFS(Summary!$E$5:$E$241,AU105,Summary!$A$5:$A$241,"&gt;="&amp;$A113,Summary!$A$5:$A$241,"&lt;"&amp;$A113+7))</f>
        <v>0</v>
      </c>
      <c r="AV113">
        <f>IF(AV105="","",COUNTIFS(Summary!$E$5:$E$241,AV105,Summary!$A$5:$A$241,"&gt;="&amp;$A113,Summary!$A$5:$A$241,"&lt;"&amp;$A113+7))</f>
        <v>0</v>
      </c>
      <c r="AW113">
        <f>IF(AW105="","",COUNTIFS(Summary!$E$5:$E$241,AW105,Summary!$A$5:$A$241,"&gt;="&amp;$A113,Summary!$A$5:$A$241,"&lt;"&amp;$A113+7))</f>
        <v>0</v>
      </c>
      <c r="AX113">
        <f>IF(AX105="","",COUNTIFS(Summary!$E$5:$E$241,AX105,Summary!$A$5:$A$241,"&gt;="&amp;$A113,Summary!$A$5:$A$241,"&lt;"&amp;$A113+7))</f>
        <v>0</v>
      </c>
      <c r="AY113">
        <f>IF(AY105="","",COUNTIFS(Summary!$E$5:$E$241,AY105,Summary!$A$5:$A$241,"&gt;="&amp;$A113,Summary!$A$5:$A$241,"&lt;"&amp;$A113+7))</f>
        <v>0</v>
      </c>
      <c r="AZ113">
        <f>IF(AZ105="","",COUNTIFS(Summary!$E$5:$E$241,AZ105,Summary!$A$5:$A$241,"&gt;="&amp;$A113,Summary!$A$5:$A$241,"&lt;"&amp;$A113+7))</f>
        <v>0</v>
      </c>
      <c r="BA113">
        <f>IF(BA105="","",COUNTIFS(Summary!$E$5:$E$241,BA105,Summary!$A$5:$A$241,"&gt;="&amp;$A113,Summary!$A$5:$A$241,"&lt;"&amp;$A113+7))</f>
        <v>0</v>
      </c>
      <c r="BB113">
        <f>IF(BB105="","",COUNTIFS(Summary!$E$5:$E$241,BB105,Summary!$A$5:$A$241,"&gt;="&amp;$A113,Summary!$A$5:$A$241,"&lt;"&amp;$A113+7))</f>
        <v>0</v>
      </c>
      <c r="BC113">
        <f>IF(BC105="","",COUNTIFS(Summary!$E$5:$E$241,BC105,Summary!$A$5:$A$241,"&gt;="&amp;$A113,Summary!$A$5:$A$241,"&lt;"&amp;$A113+7))</f>
        <v>0</v>
      </c>
      <c r="BD113">
        <f>IF(BD105="","",COUNTIFS(Summary!$E$5:$E$241,BD105,Summary!$A$5:$A$241,"&gt;="&amp;$A113,Summary!$A$5:$A$241,"&lt;"&amp;$A113+7))</f>
        <v>0</v>
      </c>
      <c r="BE113">
        <f>IF(BE105="","",COUNTIFS(Summary!$E$5:$E$241,BE105,Summary!$A$5:$A$241,"&gt;="&amp;$A113,Summary!$A$5:$A$241,"&lt;"&amp;$A113+7))</f>
        <v>0</v>
      </c>
      <c r="BF113" s="28">
        <f>IF(BF105="","",COUNTIFS(Summary!$E$5:$E$241,BF105,Summary!$A$5:$A$241,"&gt;="&amp;$A113,Summary!$A$5:$A$241,"&lt;"&amp;$A113+7))</f>
        <v>0</v>
      </c>
    </row>
    <row r="114" spans="1:58">
      <c r="A114" s="18">
        <f t="shared" si="9"/>
        <v>46146.344340277778</v>
      </c>
      <c r="B114" s="2" t="str">
        <f t="shared" si="8"/>
        <v>May 4</v>
      </c>
      <c r="C114">
        <f>IF(C105="","",COUNTIFS(Summary!$E$5:$E$241,C105,Summary!$A$5:$A$241,"&gt;="&amp;$A114,Summary!$A$5:$A$241,"&lt;"&amp;$A114+7))</f>
        <v>0</v>
      </c>
      <c r="D114">
        <f>IF(D105="","",COUNTIFS(Summary!$E$5:$E$241,D105,Summary!$A$5:$A$241,"&gt;="&amp;$A114,Summary!$A$5:$A$241,"&lt;"&amp;$A114+7))</f>
        <v>1</v>
      </c>
      <c r="E114">
        <f>IF(E105="","",COUNTIFS(Summary!$E$5:$E$241,E105,Summary!$A$5:$A$241,"&gt;="&amp;$A114,Summary!$A$5:$A$241,"&lt;"&amp;$A114+7))</f>
        <v>0</v>
      </c>
      <c r="F114">
        <f>IF(F105="","",COUNTIFS(Summary!$E$5:$E$241,F105,Summary!$A$5:$A$241,"&gt;="&amp;$A114,Summary!$A$5:$A$241,"&lt;"&amp;$A114+7))</f>
        <v>0</v>
      </c>
      <c r="G114">
        <f>IF(G105="","",COUNTIFS(Summary!$E$5:$E$241,G105,Summary!$A$5:$A$241,"&gt;="&amp;$A114,Summary!$A$5:$A$241,"&lt;"&amp;$A114+7))</f>
        <v>0</v>
      </c>
      <c r="H114">
        <f>IF(H105="","",COUNTIFS(Summary!$E$5:$E$241,H105,Summary!$A$5:$A$241,"&gt;="&amp;$A114,Summary!$A$5:$A$241,"&lt;"&amp;$A114+7))</f>
        <v>0</v>
      </c>
      <c r="I114">
        <f>IF(I105="","",COUNTIFS(Summary!$E$5:$E$241,I105,Summary!$A$5:$A$241,"&gt;="&amp;$A114,Summary!$A$5:$A$241,"&lt;"&amp;$A114+7))</f>
        <v>1</v>
      </c>
      <c r="J114">
        <f>IF(J105="","",COUNTIFS(Summary!$E$5:$E$241,J105,Summary!$A$5:$A$241,"&gt;="&amp;$A114,Summary!$A$5:$A$241,"&lt;"&amp;$A114+7))</f>
        <v>0</v>
      </c>
      <c r="K114">
        <f>IF(K105="","",COUNTIFS(Summary!$E$5:$E$241,K105,Summary!$A$5:$A$241,"&gt;="&amp;$A114,Summary!$A$5:$A$241,"&lt;"&amp;$A114+7))</f>
        <v>0</v>
      </c>
      <c r="L114">
        <f>IF(L105="","",COUNTIFS(Summary!$E$5:$E$241,L105,Summary!$A$5:$A$241,"&gt;="&amp;$A114,Summary!$A$5:$A$241,"&lt;"&amp;$A114+7))</f>
        <v>0</v>
      </c>
      <c r="M114">
        <f>IF(M105="","",COUNTIFS(Summary!$E$5:$E$241,M105,Summary!$A$5:$A$241,"&gt;="&amp;$A114,Summary!$A$5:$A$241,"&lt;"&amp;$A114+7))</f>
        <v>0</v>
      </c>
      <c r="N114">
        <f>IF(N105="","",COUNTIFS(Summary!$E$5:$E$241,N105,Summary!$A$5:$A$241,"&gt;="&amp;$A114,Summary!$A$5:$A$241,"&lt;"&amp;$A114+7))</f>
        <v>0</v>
      </c>
      <c r="O114">
        <f>IF(O105="","",COUNTIFS(Summary!$E$5:$E$241,O105,Summary!$A$5:$A$241,"&gt;="&amp;$A114,Summary!$A$5:$A$241,"&lt;"&amp;$A114+7))</f>
        <v>0</v>
      </c>
      <c r="P114">
        <f>IF(P105="","",COUNTIFS(Summary!$E$5:$E$241,P105,Summary!$A$5:$A$241,"&gt;="&amp;$A114,Summary!$A$5:$A$241,"&lt;"&amp;$A114+7))</f>
        <v>1</v>
      </c>
      <c r="Q114">
        <f>IF(Q105="","",COUNTIFS(Summary!$E$5:$E$241,Q105,Summary!$A$5:$A$241,"&gt;="&amp;$A114,Summary!$A$5:$A$241,"&lt;"&amp;$A114+7))</f>
        <v>1</v>
      </c>
      <c r="R114">
        <f>IF(R105="","",COUNTIFS(Summary!$E$5:$E$241,R105,Summary!$A$5:$A$241,"&gt;="&amp;$A114,Summary!$A$5:$A$241,"&lt;"&amp;$A114+7))</f>
        <v>0</v>
      </c>
      <c r="S114">
        <f>IF(S105="","",COUNTIFS(Summary!$E$5:$E$241,S105,Summary!$A$5:$A$241,"&gt;="&amp;$A114,Summary!$A$5:$A$241,"&lt;"&amp;$A114+7))</f>
        <v>1</v>
      </c>
      <c r="T114">
        <f>IF(T105="","",COUNTIFS(Summary!$E$5:$E$241,T105,Summary!$A$5:$A$241,"&gt;="&amp;$A114,Summary!$A$5:$A$241,"&lt;"&amp;$A114+7))</f>
        <v>0</v>
      </c>
      <c r="U114">
        <f>IF(U105="","",COUNTIFS(Summary!$E$5:$E$241,U105,Summary!$A$5:$A$241,"&gt;="&amp;$A114,Summary!$A$5:$A$241,"&lt;"&amp;$A114+7))</f>
        <v>0</v>
      </c>
      <c r="V114">
        <f>IF(V105="","",COUNTIFS(Summary!$E$5:$E$241,V105,Summary!$A$5:$A$241,"&gt;="&amp;$A114,Summary!$A$5:$A$241,"&lt;"&amp;$A114+7))</f>
        <v>0</v>
      </c>
      <c r="W114">
        <f>IF(W105="","",COUNTIFS(Summary!$E$5:$E$241,W105,Summary!$A$5:$A$241,"&gt;="&amp;$A114,Summary!$A$5:$A$241,"&lt;"&amp;$A114+7))</f>
        <v>0</v>
      </c>
      <c r="X114">
        <f>IF(X105="","",COUNTIFS(Summary!$E$5:$E$241,X105,Summary!$A$5:$A$241,"&gt;="&amp;$A114,Summary!$A$5:$A$241,"&lt;"&amp;$A114+7))</f>
        <v>0</v>
      </c>
      <c r="Y114">
        <f>IF(Y105="","",COUNTIFS(Summary!$E$5:$E$241,Y105,Summary!$A$5:$A$241,"&gt;="&amp;$A114,Summary!$A$5:$A$241,"&lt;"&amp;$A114+7))</f>
        <v>0</v>
      </c>
      <c r="Z114">
        <f>IF(Z105="","",COUNTIFS(Summary!$E$5:$E$241,Z105,Summary!$A$5:$A$241,"&gt;="&amp;$A114,Summary!$A$5:$A$241,"&lt;"&amp;$A114+7))</f>
        <v>0</v>
      </c>
      <c r="AA114">
        <f>IF(AA105="","",COUNTIFS(Summary!$E$5:$E$241,AA105,Summary!$A$5:$A$241,"&gt;="&amp;$A114,Summary!$A$5:$A$241,"&lt;"&amp;$A114+7))</f>
        <v>0</v>
      </c>
      <c r="AB114">
        <f>IF(AB105="","",COUNTIFS(Summary!$E$5:$E$241,AB105,Summary!$A$5:$A$241,"&gt;="&amp;$A114,Summary!$A$5:$A$241,"&lt;"&amp;$A114+7))</f>
        <v>1</v>
      </c>
      <c r="AC114">
        <f>IF(AC105="","",COUNTIFS(Summary!$E$5:$E$241,AC105,Summary!$A$5:$A$241,"&gt;="&amp;$A114,Summary!$A$5:$A$241,"&lt;"&amp;$A114+7))</f>
        <v>0</v>
      </c>
      <c r="AD114">
        <f>IF(AD105="","",COUNTIFS(Summary!$E$5:$E$241,AD105,Summary!$A$5:$A$241,"&gt;="&amp;$A114,Summary!$A$5:$A$241,"&lt;"&amp;$A114+7))</f>
        <v>0</v>
      </c>
      <c r="AE114">
        <f>IF(AE105="","",COUNTIFS(Summary!$E$5:$E$241,AE105,Summary!$A$5:$A$241,"&gt;="&amp;$A114,Summary!$A$5:$A$241,"&lt;"&amp;$A114+7))</f>
        <v>0</v>
      </c>
      <c r="AF114">
        <f>IF(AF105="","",COUNTIFS(Summary!$E$5:$E$241,AF105,Summary!$A$5:$A$241,"&gt;="&amp;$A114,Summary!$A$5:$A$241,"&lt;"&amp;$A114+7))</f>
        <v>0</v>
      </c>
      <c r="AG114">
        <f>IF(AG105="","",COUNTIFS(Summary!$E$5:$E$241,AG105,Summary!$A$5:$A$241,"&gt;="&amp;$A114,Summary!$A$5:$A$241,"&lt;"&amp;$A114+7))</f>
        <v>0</v>
      </c>
      <c r="AH114">
        <f>IF(AH105="","",COUNTIFS(Summary!$E$5:$E$241,AH105,Summary!$A$5:$A$241,"&gt;="&amp;$A114,Summary!$A$5:$A$241,"&lt;"&amp;$A114+7))</f>
        <v>0</v>
      </c>
      <c r="AI114">
        <f>IF(AI105="","",COUNTIFS(Summary!$E$5:$E$241,AI105,Summary!$A$5:$A$241,"&gt;="&amp;$A114,Summary!$A$5:$A$241,"&lt;"&amp;$A114+7))</f>
        <v>0</v>
      </c>
      <c r="AJ114">
        <f>IF(AJ105="","",COUNTIFS(Summary!$E$5:$E$241,AJ105,Summary!$A$5:$A$241,"&gt;="&amp;$A114,Summary!$A$5:$A$241,"&lt;"&amp;$A114+7))</f>
        <v>0</v>
      </c>
      <c r="AK114">
        <f>IF(AK105="","",COUNTIFS(Summary!$E$5:$E$241,AK105,Summary!$A$5:$A$241,"&gt;="&amp;$A114,Summary!$A$5:$A$241,"&lt;"&amp;$A114+7))</f>
        <v>0</v>
      </c>
      <c r="AL114">
        <f>IF(AL105="","",COUNTIFS(Summary!$E$5:$E$241,AL105,Summary!$A$5:$A$241,"&gt;="&amp;$A114,Summary!$A$5:$A$241,"&lt;"&amp;$A114+7))</f>
        <v>0</v>
      </c>
      <c r="AM114">
        <f>IF(AM105="","",COUNTIFS(Summary!$E$5:$E$241,AM105,Summary!$A$5:$A$241,"&gt;="&amp;$A114,Summary!$A$5:$A$241,"&lt;"&amp;$A114+7))</f>
        <v>0</v>
      </c>
      <c r="AN114">
        <f>IF(AN105="","",COUNTIFS(Summary!$E$5:$E$241,AN105,Summary!$A$5:$A$241,"&gt;="&amp;$A114,Summary!$A$5:$A$241,"&lt;"&amp;$A114+7))</f>
        <v>0</v>
      </c>
      <c r="AO114">
        <f>IF(AO105="","",COUNTIFS(Summary!$E$5:$E$241,AO105,Summary!$A$5:$A$241,"&gt;="&amp;$A114,Summary!$A$5:$A$241,"&lt;"&amp;$A114+7))</f>
        <v>0</v>
      </c>
      <c r="AP114">
        <f>IF(AP105="","",COUNTIFS(Summary!$E$5:$E$241,AP105,Summary!$A$5:$A$241,"&gt;="&amp;$A114,Summary!$A$5:$A$241,"&lt;"&amp;$A114+7))</f>
        <v>0</v>
      </c>
      <c r="AQ114">
        <f>IF(AQ105="","",COUNTIFS(Summary!$E$5:$E$241,AQ105,Summary!$A$5:$A$241,"&gt;="&amp;$A114,Summary!$A$5:$A$241,"&lt;"&amp;$A114+7))</f>
        <v>0</v>
      </c>
      <c r="AR114">
        <f>IF(AR105="","",COUNTIFS(Summary!$E$5:$E$241,AR105,Summary!$A$5:$A$241,"&gt;="&amp;$A114,Summary!$A$5:$A$241,"&lt;"&amp;$A114+7))</f>
        <v>0</v>
      </c>
      <c r="AS114">
        <f>IF(AS105="","",COUNTIFS(Summary!$E$5:$E$241,AS105,Summary!$A$5:$A$241,"&gt;="&amp;$A114,Summary!$A$5:$A$241,"&lt;"&amp;$A114+7))</f>
        <v>0</v>
      </c>
      <c r="AT114">
        <f>IF(AT105="","",COUNTIFS(Summary!$E$5:$E$241,AT105,Summary!$A$5:$A$241,"&gt;="&amp;$A114,Summary!$A$5:$A$241,"&lt;"&amp;$A114+7))</f>
        <v>0</v>
      </c>
      <c r="AU114">
        <f>IF(AU105="","",COUNTIFS(Summary!$E$5:$E$241,AU105,Summary!$A$5:$A$241,"&gt;="&amp;$A114,Summary!$A$5:$A$241,"&lt;"&amp;$A114+7))</f>
        <v>0</v>
      </c>
      <c r="AV114">
        <f>IF(AV105="","",COUNTIFS(Summary!$E$5:$E$241,AV105,Summary!$A$5:$A$241,"&gt;="&amp;$A114,Summary!$A$5:$A$241,"&lt;"&amp;$A114+7))</f>
        <v>0</v>
      </c>
      <c r="AW114">
        <f>IF(AW105="","",COUNTIFS(Summary!$E$5:$E$241,AW105,Summary!$A$5:$A$241,"&gt;="&amp;$A114,Summary!$A$5:$A$241,"&lt;"&amp;$A114+7))</f>
        <v>0</v>
      </c>
      <c r="AX114">
        <f>IF(AX105="","",COUNTIFS(Summary!$E$5:$E$241,AX105,Summary!$A$5:$A$241,"&gt;="&amp;$A114,Summary!$A$5:$A$241,"&lt;"&amp;$A114+7))</f>
        <v>0</v>
      </c>
      <c r="AY114">
        <f>IF(AY105="","",COUNTIFS(Summary!$E$5:$E$241,AY105,Summary!$A$5:$A$241,"&gt;="&amp;$A114,Summary!$A$5:$A$241,"&lt;"&amp;$A114+7))</f>
        <v>0</v>
      </c>
      <c r="AZ114">
        <f>IF(AZ105="","",COUNTIFS(Summary!$E$5:$E$241,AZ105,Summary!$A$5:$A$241,"&gt;="&amp;$A114,Summary!$A$5:$A$241,"&lt;"&amp;$A114+7))</f>
        <v>0</v>
      </c>
      <c r="BA114">
        <f>IF(BA105="","",COUNTIFS(Summary!$E$5:$E$241,BA105,Summary!$A$5:$A$241,"&gt;="&amp;$A114,Summary!$A$5:$A$241,"&lt;"&amp;$A114+7))</f>
        <v>0</v>
      </c>
      <c r="BB114">
        <f>IF(BB105="","",COUNTIFS(Summary!$E$5:$E$241,BB105,Summary!$A$5:$A$241,"&gt;="&amp;$A114,Summary!$A$5:$A$241,"&lt;"&amp;$A114+7))</f>
        <v>0</v>
      </c>
      <c r="BC114">
        <f>IF(BC105="","",COUNTIFS(Summary!$E$5:$E$241,BC105,Summary!$A$5:$A$241,"&gt;="&amp;$A114,Summary!$A$5:$A$241,"&lt;"&amp;$A114+7))</f>
        <v>0</v>
      </c>
      <c r="BD114">
        <f>IF(BD105="","",COUNTIFS(Summary!$E$5:$E$241,BD105,Summary!$A$5:$A$241,"&gt;="&amp;$A114,Summary!$A$5:$A$241,"&lt;"&amp;$A114+7))</f>
        <v>0</v>
      </c>
      <c r="BE114">
        <f>IF(BE105="","",COUNTIFS(Summary!$E$5:$E$241,BE105,Summary!$A$5:$A$241,"&gt;="&amp;$A114,Summary!$A$5:$A$241,"&lt;"&amp;$A114+7))</f>
        <v>0</v>
      </c>
      <c r="BF114" s="28">
        <f>IF(BF105="","",COUNTIFS(Summary!$E$5:$E$241,BF105,Summary!$A$5:$A$241,"&gt;="&amp;$A114,Summary!$A$5:$A$241,"&lt;"&amp;$A114+7))</f>
        <v>0</v>
      </c>
    </row>
    <row r="115" spans="1:58">
      <c r="A115" s="18">
        <f t="shared" si="9"/>
        <v>46153.344340277778</v>
      </c>
      <c r="B115" s="2" t="str">
        <f t="shared" si="8"/>
        <v>May 11</v>
      </c>
      <c r="C115">
        <f>IF(C105="","",COUNTIFS(Summary!$E$5:$E$241,C105,Summary!$A$5:$A$241,"&gt;="&amp;$A115,Summary!$A$5:$A$241,"&lt;"&amp;$A115+7))</f>
        <v>3</v>
      </c>
      <c r="D115">
        <f>IF(D105="","",COUNTIFS(Summary!$E$5:$E$241,D105,Summary!$A$5:$A$241,"&gt;="&amp;$A115,Summary!$A$5:$A$241,"&lt;"&amp;$A115+7))</f>
        <v>0</v>
      </c>
      <c r="E115">
        <f>IF(E105="","",COUNTIFS(Summary!$E$5:$E$241,E105,Summary!$A$5:$A$241,"&gt;="&amp;$A115,Summary!$A$5:$A$241,"&lt;"&amp;$A115+7))</f>
        <v>0</v>
      </c>
      <c r="F115">
        <f>IF(F105="","",COUNTIFS(Summary!$E$5:$E$241,F105,Summary!$A$5:$A$241,"&gt;="&amp;$A115,Summary!$A$5:$A$241,"&lt;"&amp;$A115+7))</f>
        <v>1</v>
      </c>
      <c r="G115">
        <f>IF(G105="","",COUNTIFS(Summary!$E$5:$E$241,G105,Summary!$A$5:$A$241,"&gt;="&amp;$A115,Summary!$A$5:$A$241,"&lt;"&amp;$A115+7))</f>
        <v>0</v>
      </c>
      <c r="H115">
        <f>IF(H105="","",COUNTIFS(Summary!$E$5:$E$241,H105,Summary!$A$5:$A$241,"&gt;="&amp;$A115,Summary!$A$5:$A$241,"&lt;"&amp;$A115+7))</f>
        <v>0</v>
      </c>
      <c r="I115">
        <f>IF(I105="","",COUNTIFS(Summary!$E$5:$E$241,I105,Summary!$A$5:$A$241,"&gt;="&amp;$A115,Summary!$A$5:$A$241,"&lt;"&amp;$A115+7))</f>
        <v>1</v>
      </c>
      <c r="J115">
        <f>IF(J105="","",COUNTIFS(Summary!$E$5:$E$241,J105,Summary!$A$5:$A$241,"&gt;="&amp;$A115,Summary!$A$5:$A$241,"&lt;"&amp;$A115+7))</f>
        <v>2</v>
      </c>
      <c r="K115">
        <f>IF(K105="","",COUNTIFS(Summary!$E$5:$E$241,K105,Summary!$A$5:$A$241,"&gt;="&amp;$A115,Summary!$A$5:$A$241,"&lt;"&amp;$A115+7))</f>
        <v>0</v>
      </c>
      <c r="L115">
        <f>IF(L105="","",COUNTIFS(Summary!$E$5:$E$241,L105,Summary!$A$5:$A$241,"&gt;="&amp;$A115,Summary!$A$5:$A$241,"&lt;"&amp;$A115+7))</f>
        <v>0</v>
      </c>
      <c r="M115">
        <f>IF(M105="","",COUNTIFS(Summary!$E$5:$E$241,M105,Summary!$A$5:$A$241,"&gt;="&amp;$A115,Summary!$A$5:$A$241,"&lt;"&amp;$A115+7))</f>
        <v>0</v>
      </c>
      <c r="N115">
        <f>IF(N105="","",COUNTIFS(Summary!$E$5:$E$241,N105,Summary!$A$5:$A$241,"&gt;="&amp;$A115,Summary!$A$5:$A$241,"&lt;"&amp;$A115+7))</f>
        <v>0</v>
      </c>
      <c r="O115">
        <f>IF(O105="","",COUNTIFS(Summary!$E$5:$E$241,O105,Summary!$A$5:$A$241,"&gt;="&amp;$A115,Summary!$A$5:$A$241,"&lt;"&amp;$A115+7))</f>
        <v>0</v>
      </c>
      <c r="P115">
        <f>IF(P105="","",COUNTIFS(Summary!$E$5:$E$241,P105,Summary!$A$5:$A$241,"&gt;="&amp;$A115,Summary!$A$5:$A$241,"&lt;"&amp;$A115+7))</f>
        <v>0</v>
      </c>
      <c r="Q115">
        <f>IF(Q105="","",COUNTIFS(Summary!$E$5:$E$241,Q105,Summary!$A$5:$A$241,"&gt;="&amp;$A115,Summary!$A$5:$A$241,"&lt;"&amp;$A115+7))</f>
        <v>0</v>
      </c>
      <c r="R115">
        <f>IF(R105="","",COUNTIFS(Summary!$E$5:$E$241,R105,Summary!$A$5:$A$241,"&gt;="&amp;$A115,Summary!$A$5:$A$241,"&lt;"&amp;$A115+7))</f>
        <v>0</v>
      </c>
      <c r="S115">
        <f>IF(S105="","",COUNTIFS(Summary!$E$5:$E$241,S105,Summary!$A$5:$A$241,"&gt;="&amp;$A115,Summary!$A$5:$A$241,"&lt;"&amp;$A115+7))</f>
        <v>0</v>
      </c>
      <c r="T115">
        <f>IF(T105="","",COUNTIFS(Summary!$E$5:$E$241,T105,Summary!$A$5:$A$241,"&gt;="&amp;$A115,Summary!$A$5:$A$241,"&lt;"&amp;$A115+7))</f>
        <v>0</v>
      </c>
      <c r="U115">
        <f>IF(U105="","",COUNTIFS(Summary!$E$5:$E$241,U105,Summary!$A$5:$A$241,"&gt;="&amp;$A115,Summary!$A$5:$A$241,"&lt;"&amp;$A115+7))</f>
        <v>0</v>
      </c>
      <c r="V115">
        <f>IF(V105="","",COUNTIFS(Summary!$E$5:$E$241,V105,Summary!$A$5:$A$241,"&gt;="&amp;$A115,Summary!$A$5:$A$241,"&lt;"&amp;$A115+7))</f>
        <v>2</v>
      </c>
      <c r="W115">
        <f>IF(W105="","",COUNTIFS(Summary!$E$5:$E$241,W105,Summary!$A$5:$A$241,"&gt;="&amp;$A115,Summary!$A$5:$A$241,"&lt;"&amp;$A115+7))</f>
        <v>1</v>
      </c>
      <c r="X115">
        <f>IF(X105="","",COUNTIFS(Summary!$E$5:$E$241,X105,Summary!$A$5:$A$241,"&gt;="&amp;$A115,Summary!$A$5:$A$241,"&lt;"&amp;$A115+7))</f>
        <v>1</v>
      </c>
      <c r="Y115">
        <f>IF(Y105="","",COUNTIFS(Summary!$E$5:$E$241,Y105,Summary!$A$5:$A$241,"&gt;="&amp;$A115,Summary!$A$5:$A$241,"&lt;"&amp;$A115+7))</f>
        <v>0</v>
      </c>
      <c r="Z115">
        <f>IF(Z105="","",COUNTIFS(Summary!$E$5:$E$241,Z105,Summary!$A$5:$A$241,"&gt;="&amp;$A115,Summary!$A$5:$A$241,"&lt;"&amp;$A115+7))</f>
        <v>0</v>
      </c>
      <c r="AA115">
        <f>IF(AA105="","",COUNTIFS(Summary!$E$5:$E$241,AA105,Summary!$A$5:$A$241,"&gt;="&amp;$A115,Summary!$A$5:$A$241,"&lt;"&amp;$A115+7))</f>
        <v>0</v>
      </c>
      <c r="AB115">
        <f>IF(AB105="","",COUNTIFS(Summary!$E$5:$E$241,AB105,Summary!$A$5:$A$241,"&gt;="&amp;$A115,Summary!$A$5:$A$241,"&lt;"&amp;$A115+7))</f>
        <v>1</v>
      </c>
      <c r="AC115">
        <f>IF(AC105="","",COUNTIFS(Summary!$E$5:$E$241,AC105,Summary!$A$5:$A$241,"&gt;="&amp;$A115,Summary!$A$5:$A$241,"&lt;"&amp;$A115+7))</f>
        <v>0</v>
      </c>
      <c r="AD115">
        <f>IF(AD105="","",COUNTIFS(Summary!$E$5:$E$241,AD105,Summary!$A$5:$A$241,"&gt;="&amp;$A115,Summary!$A$5:$A$241,"&lt;"&amp;$A115+7))</f>
        <v>0</v>
      </c>
      <c r="AE115">
        <f>IF(AE105="","",COUNTIFS(Summary!$E$5:$E$241,AE105,Summary!$A$5:$A$241,"&gt;="&amp;$A115,Summary!$A$5:$A$241,"&lt;"&amp;$A115+7))</f>
        <v>0</v>
      </c>
      <c r="AF115">
        <f>IF(AF105="","",COUNTIFS(Summary!$E$5:$E$241,AF105,Summary!$A$5:$A$241,"&gt;="&amp;$A115,Summary!$A$5:$A$241,"&lt;"&amp;$A115+7))</f>
        <v>0</v>
      </c>
      <c r="AG115">
        <f>IF(AG105="","",COUNTIFS(Summary!$E$5:$E$241,AG105,Summary!$A$5:$A$241,"&gt;="&amp;$A115,Summary!$A$5:$A$241,"&lt;"&amp;$A115+7))</f>
        <v>0</v>
      </c>
      <c r="AH115">
        <f>IF(AH105="","",COUNTIFS(Summary!$E$5:$E$241,AH105,Summary!$A$5:$A$241,"&gt;="&amp;$A115,Summary!$A$5:$A$241,"&lt;"&amp;$A115+7))</f>
        <v>0</v>
      </c>
      <c r="AI115">
        <f>IF(AI105="","",COUNTIFS(Summary!$E$5:$E$241,AI105,Summary!$A$5:$A$241,"&gt;="&amp;$A115,Summary!$A$5:$A$241,"&lt;"&amp;$A115+7))</f>
        <v>0</v>
      </c>
      <c r="AJ115">
        <f>IF(AJ105="","",COUNTIFS(Summary!$E$5:$E$241,AJ105,Summary!$A$5:$A$241,"&gt;="&amp;$A115,Summary!$A$5:$A$241,"&lt;"&amp;$A115+7))</f>
        <v>0</v>
      </c>
      <c r="AK115">
        <f>IF(AK105="","",COUNTIFS(Summary!$E$5:$E$241,AK105,Summary!$A$5:$A$241,"&gt;="&amp;$A115,Summary!$A$5:$A$241,"&lt;"&amp;$A115+7))</f>
        <v>0</v>
      </c>
      <c r="AL115">
        <f>IF(AL105="","",COUNTIFS(Summary!$E$5:$E$241,AL105,Summary!$A$5:$A$241,"&gt;="&amp;$A115,Summary!$A$5:$A$241,"&lt;"&amp;$A115+7))</f>
        <v>0</v>
      </c>
      <c r="AM115">
        <f>IF(AM105="","",COUNTIFS(Summary!$E$5:$E$241,AM105,Summary!$A$5:$A$241,"&gt;="&amp;$A115,Summary!$A$5:$A$241,"&lt;"&amp;$A115+7))</f>
        <v>0</v>
      </c>
      <c r="AN115">
        <f>IF(AN105="","",COUNTIFS(Summary!$E$5:$E$241,AN105,Summary!$A$5:$A$241,"&gt;="&amp;$A115,Summary!$A$5:$A$241,"&lt;"&amp;$A115+7))</f>
        <v>0</v>
      </c>
      <c r="AO115">
        <f>IF(AO105="","",COUNTIFS(Summary!$E$5:$E$241,AO105,Summary!$A$5:$A$241,"&gt;="&amp;$A115,Summary!$A$5:$A$241,"&lt;"&amp;$A115+7))</f>
        <v>0</v>
      </c>
      <c r="AP115">
        <f>IF(AP105="","",COUNTIFS(Summary!$E$5:$E$241,AP105,Summary!$A$5:$A$241,"&gt;="&amp;$A115,Summary!$A$5:$A$241,"&lt;"&amp;$A115+7))</f>
        <v>0</v>
      </c>
      <c r="AQ115">
        <f>IF(AQ105="","",COUNTIFS(Summary!$E$5:$E$241,AQ105,Summary!$A$5:$A$241,"&gt;="&amp;$A115,Summary!$A$5:$A$241,"&lt;"&amp;$A115+7))</f>
        <v>0</v>
      </c>
      <c r="AR115">
        <f>IF(AR105="","",COUNTIFS(Summary!$E$5:$E$241,AR105,Summary!$A$5:$A$241,"&gt;="&amp;$A115,Summary!$A$5:$A$241,"&lt;"&amp;$A115+7))</f>
        <v>0</v>
      </c>
      <c r="AS115">
        <f>IF(AS105="","",COUNTIFS(Summary!$E$5:$E$241,AS105,Summary!$A$5:$A$241,"&gt;="&amp;$A115,Summary!$A$5:$A$241,"&lt;"&amp;$A115+7))</f>
        <v>0</v>
      </c>
      <c r="AT115">
        <f>IF(AT105="","",COUNTIFS(Summary!$E$5:$E$241,AT105,Summary!$A$5:$A$241,"&gt;="&amp;$A115,Summary!$A$5:$A$241,"&lt;"&amp;$A115+7))</f>
        <v>0</v>
      </c>
      <c r="AU115">
        <f>IF(AU105="","",COUNTIFS(Summary!$E$5:$E$241,AU105,Summary!$A$5:$A$241,"&gt;="&amp;$A115,Summary!$A$5:$A$241,"&lt;"&amp;$A115+7))</f>
        <v>0</v>
      </c>
      <c r="AV115">
        <f>IF(AV105="","",COUNTIFS(Summary!$E$5:$E$241,AV105,Summary!$A$5:$A$241,"&gt;="&amp;$A115,Summary!$A$5:$A$241,"&lt;"&amp;$A115+7))</f>
        <v>0</v>
      </c>
      <c r="AW115">
        <f>IF(AW105="","",COUNTIFS(Summary!$E$5:$E$241,AW105,Summary!$A$5:$A$241,"&gt;="&amp;$A115,Summary!$A$5:$A$241,"&lt;"&amp;$A115+7))</f>
        <v>0</v>
      </c>
      <c r="AX115">
        <f>IF(AX105="","",COUNTIFS(Summary!$E$5:$E$241,AX105,Summary!$A$5:$A$241,"&gt;="&amp;$A115,Summary!$A$5:$A$241,"&lt;"&amp;$A115+7))</f>
        <v>0</v>
      </c>
      <c r="AY115">
        <f>IF(AY105="","",COUNTIFS(Summary!$E$5:$E$241,AY105,Summary!$A$5:$A$241,"&gt;="&amp;$A115,Summary!$A$5:$A$241,"&lt;"&amp;$A115+7))</f>
        <v>0</v>
      </c>
      <c r="AZ115">
        <f>IF(AZ105="","",COUNTIFS(Summary!$E$5:$E$241,AZ105,Summary!$A$5:$A$241,"&gt;="&amp;$A115,Summary!$A$5:$A$241,"&lt;"&amp;$A115+7))</f>
        <v>0</v>
      </c>
      <c r="BA115">
        <f>IF(BA105="","",COUNTIFS(Summary!$E$5:$E$241,BA105,Summary!$A$5:$A$241,"&gt;="&amp;$A115,Summary!$A$5:$A$241,"&lt;"&amp;$A115+7))</f>
        <v>0</v>
      </c>
      <c r="BB115">
        <f>IF(BB105="","",COUNTIFS(Summary!$E$5:$E$241,BB105,Summary!$A$5:$A$241,"&gt;="&amp;$A115,Summary!$A$5:$A$241,"&lt;"&amp;$A115+7))</f>
        <v>0</v>
      </c>
      <c r="BC115">
        <f>IF(BC105="","",COUNTIFS(Summary!$E$5:$E$241,BC105,Summary!$A$5:$A$241,"&gt;="&amp;$A115,Summary!$A$5:$A$241,"&lt;"&amp;$A115+7))</f>
        <v>0</v>
      </c>
      <c r="BD115">
        <f>IF(BD105="","",COUNTIFS(Summary!$E$5:$E$241,BD105,Summary!$A$5:$A$241,"&gt;="&amp;$A115,Summary!$A$5:$A$241,"&lt;"&amp;$A115+7))</f>
        <v>0</v>
      </c>
      <c r="BE115">
        <f>IF(BE105="","",COUNTIFS(Summary!$E$5:$E$241,BE105,Summary!$A$5:$A$241,"&gt;="&amp;$A115,Summary!$A$5:$A$241,"&lt;"&amp;$A115+7))</f>
        <v>0</v>
      </c>
      <c r="BF115" s="28">
        <f>IF(BF105="","",COUNTIFS(Summary!$E$5:$E$241,BF105,Summary!$A$5:$A$241,"&gt;="&amp;$A115,Summary!$A$5:$A$241,"&lt;"&amp;$A115+7))</f>
        <v>0</v>
      </c>
    </row>
    <row r="116" spans="1:58">
      <c r="A116" s="18">
        <f t="shared" si="9"/>
        <v>46160.344340277778</v>
      </c>
      <c r="B116" s="2" t="str">
        <f t="shared" si="8"/>
        <v>May 18</v>
      </c>
      <c r="C116">
        <f>IF(C105="","",COUNTIFS(Summary!$E$5:$E$241,C105,Summary!$A$5:$A$241,"&gt;="&amp;$A116,Summary!$A$5:$A$241,"&lt;"&amp;$A116+7))</f>
        <v>0</v>
      </c>
      <c r="D116">
        <f>IF(D105="","",COUNTIFS(Summary!$E$5:$E$241,D105,Summary!$A$5:$A$241,"&gt;="&amp;$A116,Summary!$A$5:$A$241,"&lt;"&amp;$A116+7))</f>
        <v>1</v>
      </c>
      <c r="E116">
        <f>IF(E105="","",COUNTIFS(Summary!$E$5:$E$241,E105,Summary!$A$5:$A$241,"&gt;="&amp;$A116,Summary!$A$5:$A$241,"&lt;"&amp;$A116+7))</f>
        <v>0</v>
      </c>
      <c r="F116">
        <f>IF(F105="","",COUNTIFS(Summary!$E$5:$E$241,F105,Summary!$A$5:$A$241,"&gt;="&amp;$A116,Summary!$A$5:$A$241,"&lt;"&amp;$A116+7))</f>
        <v>0</v>
      </c>
      <c r="G116">
        <f>IF(G105="","",COUNTIFS(Summary!$E$5:$E$241,G105,Summary!$A$5:$A$241,"&gt;="&amp;$A116,Summary!$A$5:$A$241,"&lt;"&amp;$A116+7))</f>
        <v>0</v>
      </c>
      <c r="H116">
        <f>IF(H105="","",COUNTIFS(Summary!$E$5:$E$241,H105,Summary!$A$5:$A$241,"&gt;="&amp;$A116,Summary!$A$5:$A$241,"&lt;"&amp;$A116+7))</f>
        <v>0</v>
      </c>
      <c r="I116">
        <f>IF(I105="","",COUNTIFS(Summary!$E$5:$E$241,I105,Summary!$A$5:$A$241,"&gt;="&amp;$A116,Summary!$A$5:$A$241,"&lt;"&amp;$A116+7))</f>
        <v>0</v>
      </c>
      <c r="J116">
        <f>IF(J105="","",COUNTIFS(Summary!$E$5:$E$241,J105,Summary!$A$5:$A$241,"&gt;="&amp;$A116,Summary!$A$5:$A$241,"&lt;"&amp;$A116+7))</f>
        <v>1</v>
      </c>
      <c r="K116">
        <f>IF(K105="","",COUNTIFS(Summary!$E$5:$E$241,K105,Summary!$A$5:$A$241,"&gt;="&amp;$A116,Summary!$A$5:$A$241,"&lt;"&amp;$A116+7))</f>
        <v>0</v>
      </c>
      <c r="L116">
        <f>IF(L105="","",COUNTIFS(Summary!$E$5:$E$241,L105,Summary!$A$5:$A$241,"&gt;="&amp;$A116,Summary!$A$5:$A$241,"&lt;"&amp;$A116+7))</f>
        <v>0</v>
      </c>
      <c r="M116">
        <f>IF(M105="","",COUNTIFS(Summary!$E$5:$E$241,M105,Summary!$A$5:$A$241,"&gt;="&amp;$A116,Summary!$A$5:$A$241,"&lt;"&amp;$A116+7))</f>
        <v>0</v>
      </c>
      <c r="N116">
        <f>IF(N105="","",COUNTIFS(Summary!$E$5:$E$241,N105,Summary!$A$5:$A$241,"&gt;="&amp;$A116,Summary!$A$5:$A$241,"&lt;"&amp;$A116+7))</f>
        <v>0</v>
      </c>
      <c r="O116">
        <f>IF(O105="","",COUNTIFS(Summary!$E$5:$E$241,O105,Summary!$A$5:$A$241,"&gt;="&amp;$A116,Summary!$A$5:$A$241,"&lt;"&amp;$A116+7))</f>
        <v>0</v>
      </c>
      <c r="P116">
        <f>IF(P105="","",COUNTIFS(Summary!$E$5:$E$241,P105,Summary!$A$5:$A$241,"&gt;="&amp;$A116,Summary!$A$5:$A$241,"&lt;"&amp;$A116+7))</f>
        <v>0</v>
      </c>
      <c r="Q116">
        <f>IF(Q105="","",COUNTIFS(Summary!$E$5:$E$241,Q105,Summary!$A$5:$A$241,"&gt;="&amp;$A116,Summary!$A$5:$A$241,"&lt;"&amp;$A116+7))</f>
        <v>0</v>
      </c>
      <c r="R116">
        <f>IF(R105="","",COUNTIFS(Summary!$E$5:$E$241,R105,Summary!$A$5:$A$241,"&gt;="&amp;$A116,Summary!$A$5:$A$241,"&lt;"&amp;$A116+7))</f>
        <v>0</v>
      </c>
      <c r="S116">
        <f>IF(S105="","",COUNTIFS(Summary!$E$5:$E$241,S105,Summary!$A$5:$A$241,"&gt;="&amp;$A116,Summary!$A$5:$A$241,"&lt;"&amp;$A116+7))</f>
        <v>0</v>
      </c>
      <c r="T116">
        <f>IF(T105="","",COUNTIFS(Summary!$E$5:$E$241,T105,Summary!$A$5:$A$241,"&gt;="&amp;$A116,Summary!$A$5:$A$241,"&lt;"&amp;$A116+7))</f>
        <v>0</v>
      </c>
      <c r="U116">
        <f>IF(U105="","",COUNTIFS(Summary!$E$5:$E$241,U105,Summary!$A$5:$A$241,"&gt;="&amp;$A116,Summary!$A$5:$A$241,"&lt;"&amp;$A116+7))</f>
        <v>0</v>
      </c>
      <c r="V116">
        <f>IF(V105="","",COUNTIFS(Summary!$E$5:$E$241,V105,Summary!$A$5:$A$241,"&gt;="&amp;$A116,Summary!$A$5:$A$241,"&lt;"&amp;$A116+7))</f>
        <v>0</v>
      </c>
      <c r="W116">
        <f>IF(W105="","",COUNTIFS(Summary!$E$5:$E$241,W105,Summary!$A$5:$A$241,"&gt;="&amp;$A116,Summary!$A$5:$A$241,"&lt;"&amp;$A116+7))</f>
        <v>0</v>
      </c>
      <c r="X116">
        <f>IF(X105="","",COUNTIFS(Summary!$E$5:$E$241,X105,Summary!$A$5:$A$241,"&gt;="&amp;$A116,Summary!$A$5:$A$241,"&lt;"&amp;$A116+7))</f>
        <v>0</v>
      </c>
      <c r="Y116">
        <f>IF(Y105="","",COUNTIFS(Summary!$E$5:$E$241,Y105,Summary!$A$5:$A$241,"&gt;="&amp;$A116,Summary!$A$5:$A$241,"&lt;"&amp;$A116+7))</f>
        <v>1</v>
      </c>
      <c r="Z116">
        <f>IF(Z105="","",COUNTIFS(Summary!$E$5:$E$241,Z105,Summary!$A$5:$A$241,"&gt;="&amp;$A116,Summary!$A$5:$A$241,"&lt;"&amp;$A116+7))</f>
        <v>0</v>
      </c>
      <c r="AA116">
        <f>IF(AA105="","",COUNTIFS(Summary!$E$5:$E$241,AA105,Summary!$A$5:$A$241,"&gt;="&amp;$A116,Summary!$A$5:$A$241,"&lt;"&amp;$A116+7))</f>
        <v>1</v>
      </c>
      <c r="AB116">
        <f>IF(AB105="","",COUNTIFS(Summary!$E$5:$E$241,AB105,Summary!$A$5:$A$241,"&gt;="&amp;$A116,Summary!$A$5:$A$241,"&lt;"&amp;$A116+7))</f>
        <v>0</v>
      </c>
      <c r="AC116">
        <f>IF(AC105="","",COUNTIFS(Summary!$E$5:$E$241,AC105,Summary!$A$5:$A$241,"&gt;="&amp;$A116,Summary!$A$5:$A$241,"&lt;"&amp;$A116+7))</f>
        <v>0</v>
      </c>
      <c r="AD116">
        <f>IF(AD105="","",COUNTIFS(Summary!$E$5:$E$241,AD105,Summary!$A$5:$A$241,"&gt;="&amp;$A116,Summary!$A$5:$A$241,"&lt;"&amp;$A116+7))</f>
        <v>0</v>
      </c>
      <c r="AE116">
        <f>IF(AE105="","",COUNTIFS(Summary!$E$5:$E$241,AE105,Summary!$A$5:$A$241,"&gt;="&amp;$A116,Summary!$A$5:$A$241,"&lt;"&amp;$A116+7))</f>
        <v>0</v>
      </c>
      <c r="AF116">
        <f>IF(AF105="","",COUNTIFS(Summary!$E$5:$E$241,AF105,Summary!$A$5:$A$241,"&gt;="&amp;$A116,Summary!$A$5:$A$241,"&lt;"&amp;$A116+7))</f>
        <v>0</v>
      </c>
      <c r="AG116">
        <f>IF(AG105="","",COUNTIFS(Summary!$E$5:$E$241,AG105,Summary!$A$5:$A$241,"&gt;="&amp;$A116,Summary!$A$5:$A$241,"&lt;"&amp;$A116+7))</f>
        <v>0</v>
      </c>
      <c r="AH116">
        <f>IF(AH105="","",COUNTIFS(Summary!$E$5:$E$241,AH105,Summary!$A$5:$A$241,"&gt;="&amp;$A116,Summary!$A$5:$A$241,"&lt;"&amp;$A116+7))</f>
        <v>0</v>
      </c>
      <c r="AI116">
        <f>IF(AI105="","",COUNTIFS(Summary!$E$5:$E$241,AI105,Summary!$A$5:$A$241,"&gt;="&amp;$A116,Summary!$A$5:$A$241,"&lt;"&amp;$A116+7))</f>
        <v>0</v>
      </c>
      <c r="AJ116">
        <f>IF(AJ105="","",COUNTIFS(Summary!$E$5:$E$241,AJ105,Summary!$A$5:$A$241,"&gt;="&amp;$A116,Summary!$A$5:$A$241,"&lt;"&amp;$A116+7))</f>
        <v>0</v>
      </c>
      <c r="AK116">
        <f>IF(AK105="","",COUNTIFS(Summary!$E$5:$E$241,AK105,Summary!$A$5:$A$241,"&gt;="&amp;$A116,Summary!$A$5:$A$241,"&lt;"&amp;$A116+7))</f>
        <v>0</v>
      </c>
      <c r="AL116">
        <f>IF(AL105="","",COUNTIFS(Summary!$E$5:$E$241,AL105,Summary!$A$5:$A$241,"&gt;="&amp;$A116,Summary!$A$5:$A$241,"&lt;"&amp;$A116+7))</f>
        <v>0</v>
      </c>
      <c r="AM116">
        <f>IF(AM105="","",COUNTIFS(Summary!$E$5:$E$241,AM105,Summary!$A$5:$A$241,"&gt;="&amp;$A116,Summary!$A$5:$A$241,"&lt;"&amp;$A116+7))</f>
        <v>0</v>
      </c>
      <c r="AN116">
        <f>IF(AN105="","",COUNTIFS(Summary!$E$5:$E$241,AN105,Summary!$A$5:$A$241,"&gt;="&amp;$A116,Summary!$A$5:$A$241,"&lt;"&amp;$A116+7))</f>
        <v>0</v>
      </c>
      <c r="AO116">
        <f>IF(AO105="","",COUNTIFS(Summary!$E$5:$E$241,AO105,Summary!$A$5:$A$241,"&gt;="&amp;$A116,Summary!$A$5:$A$241,"&lt;"&amp;$A116+7))</f>
        <v>0</v>
      </c>
      <c r="AP116">
        <f>IF(AP105="","",COUNTIFS(Summary!$E$5:$E$241,AP105,Summary!$A$5:$A$241,"&gt;="&amp;$A116,Summary!$A$5:$A$241,"&lt;"&amp;$A116+7))</f>
        <v>0</v>
      </c>
      <c r="AQ116">
        <f>IF(AQ105="","",COUNTIFS(Summary!$E$5:$E$241,AQ105,Summary!$A$5:$A$241,"&gt;="&amp;$A116,Summary!$A$5:$A$241,"&lt;"&amp;$A116+7))</f>
        <v>0</v>
      </c>
      <c r="AR116">
        <f>IF(AR105="","",COUNTIFS(Summary!$E$5:$E$241,AR105,Summary!$A$5:$A$241,"&gt;="&amp;$A116,Summary!$A$5:$A$241,"&lt;"&amp;$A116+7))</f>
        <v>0</v>
      </c>
      <c r="AS116">
        <f>IF(AS105="","",COUNTIFS(Summary!$E$5:$E$241,AS105,Summary!$A$5:$A$241,"&gt;="&amp;$A116,Summary!$A$5:$A$241,"&lt;"&amp;$A116+7))</f>
        <v>0</v>
      </c>
      <c r="AT116">
        <f>IF(AT105="","",COUNTIFS(Summary!$E$5:$E$241,AT105,Summary!$A$5:$A$241,"&gt;="&amp;$A116,Summary!$A$5:$A$241,"&lt;"&amp;$A116+7))</f>
        <v>0</v>
      </c>
      <c r="AU116">
        <f>IF(AU105="","",COUNTIFS(Summary!$E$5:$E$241,AU105,Summary!$A$5:$A$241,"&gt;="&amp;$A116,Summary!$A$5:$A$241,"&lt;"&amp;$A116+7))</f>
        <v>0</v>
      </c>
      <c r="AV116">
        <f>IF(AV105="","",COUNTIFS(Summary!$E$5:$E$241,AV105,Summary!$A$5:$A$241,"&gt;="&amp;$A116,Summary!$A$5:$A$241,"&lt;"&amp;$A116+7))</f>
        <v>0</v>
      </c>
      <c r="AW116">
        <f>IF(AW105="","",COUNTIFS(Summary!$E$5:$E$241,AW105,Summary!$A$5:$A$241,"&gt;="&amp;$A116,Summary!$A$5:$A$241,"&lt;"&amp;$A116+7))</f>
        <v>0</v>
      </c>
      <c r="AX116">
        <f>IF(AX105="","",COUNTIFS(Summary!$E$5:$E$241,AX105,Summary!$A$5:$A$241,"&gt;="&amp;$A116,Summary!$A$5:$A$241,"&lt;"&amp;$A116+7))</f>
        <v>0</v>
      </c>
      <c r="AY116">
        <f>IF(AY105="","",COUNTIFS(Summary!$E$5:$E$241,AY105,Summary!$A$5:$A$241,"&gt;="&amp;$A116,Summary!$A$5:$A$241,"&lt;"&amp;$A116+7))</f>
        <v>0</v>
      </c>
      <c r="AZ116">
        <f>IF(AZ105="","",COUNTIFS(Summary!$E$5:$E$241,AZ105,Summary!$A$5:$A$241,"&gt;="&amp;$A116,Summary!$A$5:$A$241,"&lt;"&amp;$A116+7))</f>
        <v>0</v>
      </c>
      <c r="BA116">
        <f>IF(BA105="","",COUNTIFS(Summary!$E$5:$E$241,BA105,Summary!$A$5:$A$241,"&gt;="&amp;$A116,Summary!$A$5:$A$241,"&lt;"&amp;$A116+7))</f>
        <v>0</v>
      </c>
      <c r="BB116">
        <f>IF(BB105="","",COUNTIFS(Summary!$E$5:$E$241,BB105,Summary!$A$5:$A$241,"&gt;="&amp;$A116,Summary!$A$5:$A$241,"&lt;"&amp;$A116+7))</f>
        <v>0</v>
      </c>
      <c r="BC116">
        <f>IF(BC105="","",COUNTIFS(Summary!$E$5:$E$241,BC105,Summary!$A$5:$A$241,"&gt;="&amp;$A116,Summary!$A$5:$A$241,"&lt;"&amp;$A116+7))</f>
        <v>0</v>
      </c>
      <c r="BD116">
        <f>IF(BD105="","",COUNTIFS(Summary!$E$5:$E$241,BD105,Summary!$A$5:$A$241,"&gt;="&amp;$A116,Summary!$A$5:$A$241,"&lt;"&amp;$A116+7))</f>
        <v>0</v>
      </c>
      <c r="BE116">
        <f>IF(BE105="","",COUNTIFS(Summary!$E$5:$E$241,BE105,Summary!$A$5:$A$241,"&gt;="&amp;$A116,Summary!$A$5:$A$241,"&lt;"&amp;$A116+7))</f>
        <v>0</v>
      </c>
      <c r="BF116" s="28">
        <f>IF(BF105="","",COUNTIFS(Summary!$E$5:$E$241,BF105,Summary!$A$5:$A$241,"&gt;="&amp;$A116,Summary!$A$5:$A$241,"&lt;"&amp;$A116+7))</f>
        <v>0</v>
      </c>
    </row>
    <row r="117" spans="1:58">
      <c r="A117" s="18">
        <f t="shared" si="9"/>
        <v>46167.344340277778</v>
      </c>
      <c r="B117" s="2" t="str">
        <f t="shared" si="8"/>
        <v>May 25</v>
      </c>
      <c r="C117">
        <f>IF(C105="","",COUNTIFS(Summary!$E$5:$E$241,C105,Summary!$A$5:$A$241,"&gt;="&amp;$A117,Summary!$A$5:$A$241,"&lt;"&amp;$A117+7))</f>
        <v>0</v>
      </c>
      <c r="D117">
        <f>IF(D105="","",COUNTIFS(Summary!$E$5:$E$241,D105,Summary!$A$5:$A$241,"&gt;="&amp;$A117,Summary!$A$5:$A$241,"&lt;"&amp;$A117+7))</f>
        <v>1</v>
      </c>
      <c r="E117">
        <f>IF(E105="","",COUNTIFS(Summary!$E$5:$E$241,E105,Summary!$A$5:$A$241,"&gt;="&amp;$A117,Summary!$A$5:$A$241,"&lt;"&amp;$A117+7))</f>
        <v>0</v>
      </c>
      <c r="F117">
        <f>IF(F105="","",COUNTIFS(Summary!$E$5:$E$241,F105,Summary!$A$5:$A$241,"&gt;="&amp;$A117,Summary!$A$5:$A$241,"&lt;"&amp;$A117+7))</f>
        <v>0</v>
      </c>
      <c r="G117">
        <f>IF(G105="","",COUNTIFS(Summary!$E$5:$E$241,G105,Summary!$A$5:$A$241,"&gt;="&amp;$A117,Summary!$A$5:$A$241,"&lt;"&amp;$A117+7))</f>
        <v>0</v>
      </c>
      <c r="H117">
        <f>IF(H105="","",COUNTIFS(Summary!$E$5:$E$241,H105,Summary!$A$5:$A$241,"&gt;="&amp;$A117,Summary!$A$5:$A$241,"&lt;"&amp;$A117+7))</f>
        <v>0</v>
      </c>
      <c r="I117">
        <f>IF(I105="","",COUNTIFS(Summary!$E$5:$E$241,I105,Summary!$A$5:$A$241,"&gt;="&amp;$A117,Summary!$A$5:$A$241,"&lt;"&amp;$A117+7))</f>
        <v>0</v>
      </c>
      <c r="J117">
        <f>IF(J105="","",COUNTIFS(Summary!$E$5:$E$241,J105,Summary!$A$5:$A$241,"&gt;="&amp;$A117,Summary!$A$5:$A$241,"&lt;"&amp;$A117+7))</f>
        <v>1</v>
      </c>
      <c r="K117">
        <f>IF(K105="","",COUNTIFS(Summary!$E$5:$E$241,K105,Summary!$A$5:$A$241,"&gt;="&amp;$A117,Summary!$A$5:$A$241,"&lt;"&amp;$A117+7))</f>
        <v>0</v>
      </c>
      <c r="L117">
        <f>IF(L105="","",COUNTIFS(Summary!$E$5:$E$241,L105,Summary!$A$5:$A$241,"&gt;="&amp;$A117,Summary!$A$5:$A$241,"&lt;"&amp;$A117+7))</f>
        <v>0</v>
      </c>
      <c r="M117">
        <f>IF(M105="","",COUNTIFS(Summary!$E$5:$E$241,M105,Summary!$A$5:$A$241,"&gt;="&amp;$A117,Summary!$A$5:$A$241,"&lt;"&amp;$A117+7))</f>
        <v>0</v>
      </c>
      <c r="N117">
        <f>IF(N105="","",COUNTIFS(Summary!$E$5:$E$241,N105,Summary!$A$5:$A$241,"&gt;="&amp;$A117,Summary!$A$5:$A$241,"&lt;"&amp;$A117+7))</f>
        <v>0</v>
      </c>
      <c r="O117">
        <f>IF(O105="","",COUNTIFS(Summary!$E$5:$E$241,O105,Summary!$A$5:$A$241,"&gt;="&amp;$A117,Summary!$A$5:$A$241,"&lt;"&amp;$A117+7))</f>
        <v>0</v>
      </c>
      <c r="P117">
        <f>IF(P105="","",COUNTIFS(Summary!$E$5:$E$241,P105,Summary!$A$5:$A$241,"&gt;="&amp;$A117,Summary!$A$5:$A$241,"&lt;"&amp;$A117+7))</f>
        <v>0</v>
      </c>
      <c r="Q117">
        <f>IF(Q105="","",COUNTIFS(Summary!$E$5:$E$241,Q105,Summary!$A$5:$A$241,"&gt;="&amp;$A117,Summary!$A$5:$A$241,"&lt;"&amp;$A117+7))</f>
        <v>0</v>
      </c>
      <c r="R117">
        <f>IF(R105="","",COUNTIFS(Summary!$E$5:$E$241,R105,Summary!$A$5:$A$241,"&gt;="&amp;$A117,Summary!$A$5:$A$241,"&lt;"&amp;$A117+7))</f>
        <v>0</v>
      </c>
      <c r="S117">
        <f>IF(S105="","",COUNTIFS(Summary!$E$5:$E$241,S105,Summary!$A$5:$A$241,"&gt;="&amp;$A117,Summary!$A$5:$A$241,"&lt;"&amp;$A117+7))</f>
        <v>0</v>
      </c>
      <c r="T117">
        <f>IF(T105="","",COUNTIFS(Summary!$E$5:$E$241,T105,Summary!$A$5:$A$241,"&gt;="&amp;$A117,Summary!$A$5:$A$241,"&lt;"&amp;$A117+7))</f>
        <v>0</v>
      </c>
      <c r="U117">
        <f>IF(U105="","",COUNTIFS(Summary!$E$5:$E$241,U105,Summary!$A$5:$A$241,"&gt;="&amp;$A117,Summary!$A$5:$A$241,"&lt;"&amp;$A117+7))</f>
        <v>0</v>
      </c>
      <c r="V117">
        <f>IF(V105="","",COUNTIFS(Summary!$E$5:$E$241,V105,Summary!$A$5:$A$241,"&gt;="&amp;$A117,Summary!$A$5:$A$241,"&lt;"&amp;$A117+7))</f>
        <v>0</v>
      </c>
      <c r="W117">
        <f>IF(W105="","",COUNTIFS(Summary!$E$5:$E$241,W105,Summary!$A$5:$A$241,"&gt;="&amp;$A117,Summary!$A$5:$A$241,"&lt;"&amp;$A117+7))</f>
        <v>2</v>
      </c>
      <c r="X117">
        <f>IF(X105="","",COUNTIFS(Summary!$E$5:$E$241,X105,Summary!$A$5:$A$241,"&gt;="&amp;$A117,Summary!$A$5:$A$241,"&lt;"&amp;$A117+7))</f>
        <v>0</v>
      </c>
      <c r="Y117">
        <f>IF(Y105="","",COUNTIFS(Summary!$E$5:$E$241,Y105,Summary!$A$5:$A$241,"&gt;="&amp;$A117,Summary!$A$5:$A$241,"&lt;"&amp;$A117+7))</f>
        <v>1</v>
      </c>
      <c r="Z117">
        <f>IF(Z105="","",COUNTIFS(Summary!$E$5:$E$241,Z105,Summary!$A$5:$A$241,"&gt;="&amp;$A117,Summary!$A$5:$A$241,"&lt;"&amp;$A117+7))</f>
        <v>1</v>
      </c>
      <c r="AA117">
        <f>IF(AA105="","",COUNTIFS(Summary!$E$5:$E$241,AA105,Summary!$A$5:$A$241,"&gt;="&amp;$A117,Summary!$A$5:$A$241,"&lt;"&amp;$A117+7))</f>
        <v>0</v>
      </c>
      <c r="AB117">
        <f>IF(AB105="","",COUNTIFS(Summary!$E$5:$E$241,AB105,Summary!$A$5:$A$241,"&gt;="&amp;$A117,Summary!$A$5:$A$241,"&lt;"&amp;$A117+7))</f>
        <v>0</v>
      </c>
      <c r="AC117">
        <f>IF(AC105="","",COUNTIFS(Summary!$E$5:$E$241,AC105,Summary!$A$5:$A$241,"&gt;="&amp;$A117,Summary!$A$5:$A$241,"&lt;"&amp;$A117+7))</f>
        <v>0</v>
      </c>
      <c r="AD117">
        <f>IF(AD105="","",COUNTIFS(Summary!$E$5:$E$241,AD105,Summary!$A$5:$A$241,"&gt;="&amp;$A117,Summary!$A$5:$A$241,"&lt;"&amp;$A117+7))</f>
        <v>0</v>
      </c>
      <c r="AE117">
        <f>IF(AE105="","",COUNTIFS(Summary!$E$5:$E$241,AE105,Summary!$A$5:$A$241,"&gt;="&amp;$A117,Summary!$A$5:$A$241,"&lt;"&amp;$A117+7))</f>
        <v>0</v>
      </c>
      <c r="AF117">
        <f>IF(AF105="","",COUNTIFS(Summary!$E$5:$E$241,AF105,Summary!$A$5:$A$241,"&gt;="&amp;$A117,Summary!$A$5:$A$241,"&lt;"&amp;$A117+7))</f>
        <v>0</v>
      </c>
      <c r="AG117">
        <f>IF(AG105="","",COUNTIFS(Summary!$E$5:$E$241,AG105,Summary!$A$5:$A$241,"&gt;="&amp;$A117,Summary!$A$5:$A$241,"&lt;"&amp;$A117+7))</f>
        <v>0</v>
      </c>
      <c r="AH117">
        <f>IF(AH105="","",COUNTIFS(Summary!$E$5:$E$241,AH105,Summary!$A$5:$A$241,"&gt;="&amp;$A117,Summary!$A$5:$A$241,"&lt;"&amp;$A117+7))</f>
        <v>0</v>
      </c>
      <c r="AI117">
        <f>IF(AI105="","",COUNTIFS(Summary!$E$5:$E$241,AI105,Summary!$A$5:$A$241,"&gt;="&amp;$A117,Summary!$A$5:$A$241,"&lt;"&amp;$A117+7))</f>
        <v>0</v>
      </c>
      <c r="AJ117">
        <f>IF(AJ105="","",COUNTIFS(Summary!$E$5:$E$241,AJ105,Summary!$A$5:$A$241,"&gt;="&amp;$A117,Summary!$A$5:$A$241,"&lt;"&amp;$A117+7))</f>
        <v>0</v>
      </c>
      <c r="AK117">
        <f>IF(AK105="","",COUNTIFS(Summary!$E$5:$E$241,AK105,Summary!$A$5:$A$241,"&gt;="&amp;$A117,Summary!$A$5:$A$241,"&lt;"&amp;$A117+7))</f>
        <v>0</v>
      </c>
      <c r="AL117">
        <f>IF(AL105="","",COUNTIFS(Summary!$E$5:$E$241,AL105,Summary!$A$5:$A$241,"&gt;="&amp;$A117,Summary!$A$5:$A$241,"&lt;"&amp;$A117+7))</f>
        <v>0</v>
      </c>
      <c r="AM117">
        <f>IF(AM105="","",COUNTIFS(Summary!$E$5:$E$241,AM105,Summary!$A$5:$A$241,"&gt;="&amp;$A117,Summary!$A$5:$A$241,"&lt;"&amp;$A117+7))</f>
        <v>0</v>
      </c>
      <c r="AN117">
        <f>IF(AN105="","",COUNTIFS(Summary!$E$5:$E$241,AN105,Summary!$A$5:$A$241,"&gt;="&amp;$A117,Summary!$A$5:$A$241,"&lt;"&amp;$A117+7))</f>
        <v>0</v>
      </c>
      <c r="AO117">
        <f>IF(AO105="","",COUNTIFS(Summary!$E$5:$E$241,AO105,Summary!$A$5:$A$241,"&gt;="&amp;$A117,Summary!$A$5:$A$241,"&lt;"&amp;$A117+7))</f>
        <v>0</v>
      </c>
      <c r="AP117">
        <f>IF(AP105="","",COUNTIFS(Summary!$E$5:$E$241,AP105,Summary!$A$5:$A$241,"&gt;="&amp;$A117,Summary!$A$5:$A$241,"&lt;"&amp;$A117+7))</f>
        <v>0</v>
      </c>
      <c r="AQ117">
        <f>IF(AQ105="","",COUNTIFS(Summary!$E$5:$E$241,AQ105,Summary!$A$5:$A$241,"&gt;="&amp;$A117,Summary!$A$5:$A$241,"&lt;"&amp;$A117+7))</f>
        <v>0</v>
      </c>
      <c r="AR117">
        <f>IF(AR105="","",COUNTIFS(Summary!$E$5:$E$241,AR105,Summary!$A$5:$A$241,"&gt;="&amp;$A117,Summary!$A$5:$A$241,"&lt;"&amp;$A117+7))</f>
        <v>0</v>
      </c>
      <c r="AS117">
        <f>IF(AS105="","",COUNTIFS(Summary!$E$5:$E$241,AS105,Summary!$A$5:$A$241,"&gt;="&amp;$A117,Summary!$A$5:$A$241,"&lt;"&amp;$A117+7))</f>
        <v>0</v>
      </c>
      <c r="AT117">
        <f>IF(AT105="","",COUNTIFS(Summary!$E$5:$E$241,AT105,Summary!$A$5:$A$241,"&gt;="&amp;$A117,Summary!$A$5:$A$241,"&lt;"&amp;$A117+7))</f>
        <v>0</v>
      </c>
      <c r="AU117">
        <f>IF(AU105="","",COUNTIFS(Summary!$E$5:$E$241,AU105,Summary!$A$5:$A$241,"&gt;="&amp;$A117,Summary!$A$5:$A$241,"&lt;"&amp;$A117+7))</f>
        <v>0</v>
      </c>
      <c r="AV117">
        <f>IF(AV105="","",COUNTIFS(Summary!$E$5:$E$241,AV105,Summary!$A$5:$A$241,"&gt;="&amp;$A117,Summary!$A$5:$A$241,"&lt;"&amp;$A117+7))</f>
        <v>0</v>
      </c>
      <c r="AW117">
        <f>IF(AW105="","",COUNTIFS(Summary!$E$5:$E$241,AW105,Summary!$A$5:$A$241,"&gt;="&amp;$A117,Summary!$A$5:$A$241,"&lt;"&amp;$A117+7))</f>
        <v>0</v>
      </c>
      <c r="AX117">
        <f>IF(AX105="","",COUNTIFS(Summary!$E$5:$E$241,AX105,Summary!$A$5:$A$241,"&gt;="&amp;$A117,Summary!$A$5:$A$241,"&lt;"&amp;$A117+7))</f>
        <v>0</v>
      </c>
      <c r="AY117">
        <f>IF(AY105="","",COUNTIFS(Summary!$E$5:$E$241,AY105,Summary!$A$5:$A$241,"&gt;="&amp;$A117,Summary!$A$5:$A$241,"&lt;"&amp;$A117+7))</f>
        <v>0</v>
      </c>
      <c r="AZ117">
        <f>IF(AZ105="","",COUNTIFS(Summary!$E$5:$E$241,AZ105,Summary!$A$5:$A$241,"&gt;="&amp;$A117,Summary!$A$5:$A$241,"&lt;"&amp;$A117+7))</f>
        <v>0</v>
      </c>
      <c r="BA117">
        <f>IF(BA105="","",COUNTIFS(Summary!$E$5:$E$241,BA105,Summary!$A$5:$A$241,"&gt;="&amp;$A117,Summary!$A$5:$A$241,"&lt;"&amp;$A117+7))</f>
        <v>0</v>
      </c>
      <c r="BB117">
        <f>IF(BB105="","",COUNTIFS(Summary!$E$5:$E$241,BB105,Summary!$A$5:$A$241,"&gt;="&amp;$A117,Summary!$A$5:$A$241,"&lt;"&amp;$A117+7))</f>
        <v>0</v>
      </c>
      <c r="BC117">
        <f>IF(BC105="","",COUNTIFS(Summary!$E$5:$E$241,BC105,Summary!$A$5:$A$241,"&gt;="&amp;$A117,Summary!$A$5:$A$241,"&lt;"&amp;$A117+7))</f>
        <v>0</v>
      </c>
      <c r="BD117">
        <f>IF(BD105="","",COUNTIFS(Summary!$E$5:$E$241,BD105,Summary!$A$5:$A$241,"&gt;="&amp;$A117,Summary!$A$5:$A$241,"&lt;"&amp;$A117+7))</f>
        <v>0</v>
      </c>
      <c r="BE117">
        <f>IF(BE105="","",COUNTIFS(Summary!$E$5:$E$241,BE105,Summary!$A$5:$A$241,"&gt;="&amp;$A117,Summary!$A$5:$A$241,"&lt;"&amp;$A117+7))</f>
        <v>0</v>
      </c>
      <c r="BF117" s="28">
        <f>IF(BF105="","",COUNTIFS(Summary!$E$5:$E$241,BF105,Summary!$A$5:$A$241,"&gt;="&amp;$A117,Summary!$A$5:$A$241,"&lt;"&amp;$A117+7))</f>
        <v>0</v>
      </c>
    </row>
    <row r="118" spans="1:58">
      <c r="A118" s="18">
        <f t="shared" si="9"/>
        <v>46174.344340277778</v>
      </c>
      <c r="B118" s="2" t="str">
        <f t="shared" si="8"/>
        <v>Jun 1</v>
      </c>
      <c r="C118">
        <f>IF(C105="","",COUNTIFS(Summary!$E$5:$E$241,C105,Summary!$A$5:$A$241,"&gt;="&amp;$A118,Summary!$A$5:$A$241,"&lt;"&amp;$A118+7))</f>
        <v>2</v>
      </c>
      <c r="D118">
        <f>IF(D105="","",COUNTIFS(Summary!$E$5:$E$241,D105,Summary!$A$5:$A$241,"&gt;="&amp;$A118,Summary!$A$5:$A$241,"&lt;"&amp;$A118+7))</f>
        <v>0</v>
      </c>
      <c r="E118">
        <f>IF(E105="","",COUNTIFS(Summary!$E$5:$E$241,E105,Summary!$A$5:$A$241,"&gt;="&amp;$A118,Summary!$A$5:$A$241,"&lt;"&amp;$A118+7))</f>
        <v>0</v>
      </c>
      <c r="F118">
        <f>IF(F105="","",COUNTIFS(Summary!$E$5:$E$241,F105,Summary!$A$5:$A$241,"&gt;="&amp;$A118,Summary!$A$5:$A$241,"&lt;"&amp;$A118+7))</f>
        <v>1</v>
      </c>
      <c r="G118">
        <f>IF(G105="","",COUNTIFS(Summary!$E$5:$E$241,G105,Summary!$A$5:$A$241,"&gt;="&amp;$A118,Summary!$A$5:$A$241,"&lt;"&amp;$A118+7))</f>
        <v>0</v>
      </c>
      <c r="H118">
        <f>IF(H105="","",COUNTIFS(Summary!$E$5:$E$241,H105,Summary!$A$5:$A$241,"&gt;="&amp;$A118,Summary!$A$5:$A$241,"&lt;"&amp;$A118+7))</f>
        <v>1</v>
      </c>
      <c r="I118">
        <f>IF(I105="","",COUNTIFS(Summary!$E$5:$E$241,I105,Summary!$A$5:$A$241,"&gt;="&amp;$A118,Summary!$A$5:$A$241,"&lt;"&amp;$A118+7))</f>
        <v>0</v>
      </c>
      <c r="J118">
        <f>IF(J105="","",COUNTIFS(Summary!$E$5:$E$241,J105,Summary!$A$5:$A$241,"&gt;="&amp;$A118,Summary!$A$5:$A$241,"&lt;"&amp;$A118+7))</f>
        <v>0</v>
      </c>
      <c r="K118">
        <f>IF(K105="","",COUNTIFS(Summary!$E$5:$E$241,K105,Summary!$A$5:$A$241,"&gt;="&amp;$A118,Summary!$A$5:$A$241,"&lt;"&amp;$A118+7))</f>
        <v>0</v>
      </c>
      <c r="L118">
        <f>IF(L105="","",COUNTIFS(Summary!$E$5:$E$241,L105,Summary!$A$5:$A$241,"&gt;="&amp;$A118,Summary!$A$5:$A$241,"&lt;"&amp;$A118+7))</f>
        <v>0</v>
      </c>
      <c r="M118">
        <f>IF(M105="","",COUNTIFS(Summary!$E$5:$E$241,M105,Summary!$A$5:$A$241,"&gt;="&amp;$A118,Summary!$A$5:$A$241,"&lt;"&amp;$A118+7))</f>
        <v>0</v>
      </c>
      <c r="N118">
        <f>IF(N105="","",COUNTIFS(Summary!$E$5:$E$241,N105,Summary!$A$5:$A$241,"&gt;="&amp;$A118,Summary!$A$5:$A$241,"&lt;"&amp;$A118+7))</f>
        <v>0</v>
      </c>
      <c r="O118">
        <f>IF(O105="","",COUNTIFS(Summary!$E$5:$E$241,O105,Summary!$A$5:$A$241,"&gt;="&amp;$A118,Summary!$A$5:$A$241,"&lt;"&amp;$A118+7))</f>
        <v>0</v>
      </c>
      <c r="P118">
        <f>IF(P105="","",COUNTIFS(Summary!$E$5:$E$241,P105,Summary!$A$5:$A$241,"&gt;="&amp;$A118,Summary!$A$5:$A$241,"&lt;"&amp;$A118+7))</f>
        <v>0</v>
      </c>
      <c r="Q118">
        <f>IF(Q105="","",COUNTIFS(Summary!$E$5:$E$241,Q105,Summary!$A$5:$A$241,"&gt;="&amp;$A118,Summary!$A$5:$A$241,"&lt;"&amp;$A118+7))</f>
        <v>3</v>
      </c>
      <c r="R118">
        <f>IF(R105="","",COUNTIFS(Summary!$E$5:$E$241,R105,Summary!$A$5:$A$241,"&gt;="&amp;$A118,Summary!$A$5:$A$241,"&lt;"&amp;$A118+7))</f>
        <v>0</v>
      </c>
      <c r="S118">
        <f>IF(S105="","",COUNTIFS(Summary!$E$5:$E$241,S105,Summary!$A$5:$A$241,"&gt;="&amp;$A118,Summary!$A$5:$A$241,"&lt;"&amp;$A118+7))</f>
        <v>0</v>
      </c>
      <c r="T118">
        <f>IF(T105="","",COUNTIFS(Summary!$E$5:$E$241,T105,Summary!$A$5:$A$241,"&gt;="&amp;$A118,Summary!$A$5:$A$241,"&lt;"&amp;$A118+7))</f>
        <v>0</v>
      </c>
      <c r="U118">
        <f>IF(U105="","",COUNTIFS(Summary!$E$5:$E$241,U105,Summary!$A$5:$A$241,"&gt;="&amp;$A118,Summary!$A$5:$A$241,"&lt;"&amp;$A118+7))</f>
        <v>0</v>
      </c>
      <c r="V118">
        <f>IF(V105="","",COUNTIFS(Summary!$E$5:$E$241,V105,Summary!$A$5:$A$241,"&gt;="&amp;$A118,Summary!$A$5:$A$241,"&lt;"&amp;$A118+7))</f>
        <v>0</v>
      </c>
      <c r="W118">
        <f>IF(W105="","",COUNTIFS(Summary!$E$5:$E$241,W105,Summary!$A$5:$A$241,"&gt;="&amp;$A118,Summary!$A$5:$A$241,"&lt;"&amp;$A118+7))</f>
        <v>1</v>
      </c>
      <c r="X118">
        <f>IF(X105="","",COUNTIFS(Summary!$E$5:$E$241,X105,Summary!$A$5:$A$241,"&gt;="&amp;$A118,Summary!$A$5:$A$241,"&lt;"&amp;$A118+7))</f>
        <v>0</v>
      </c>
      <c r="Y118">
        <f>IF(Y105="","",COUNTIFS(Summary!$E$5:$E$241,Y105,Summary!$A$5:$A$241,"&gt;="&amp;$A118,Summary!$A$5:$A$241,"&lt;"&amp;$A118+7))</f>
        <v>0</v>
      </c>
      <c r="Z118">
        <f>IF(Z105="","",COUNTIFS(Summary!$E$5:$E$241,Z105,Summary!$A$5:$A$241,"&gt;="&amp;$A118,Summary!$A$5:$A$241,"&lt;"&amp;$A118+7))</f>
        <v>0</v>
      </c>
      <c r="AA118">
        <f>IF(AA105="","",COUNTIFS(Summary!$E$5:$E$241,AA105,Summary!$A$5:$A$241,"&gt;="&amp;$A118,Summary!$A$5:$A$241,"&lt;"&amp;$A118+7))</f>
        <v>0</v>
      </c>
      <c r="AB118">
        <f>IF(AB105="","",COUNTIFS(Summary!$E$5:$E$241,AB105,Summary!$A$5:$A$241,"&gt;="&amp;$A118,Summary!$A$5:$A$241,"&lt;"&amp;$A118+7))</f>
        <v>0</v>
      </c>
      <c r="AC118">
        <f>IF(AC105="","",COUNTIFS(Summary!$E$5:$E$241,AC105,Summary!$A$5:$A$241,"&gt;="&amp;$A118,Summary!$A$5:$A$241,"&lt;"&amp;$A118+7))</f>
        <v>0</v>
      </c>
      <c r="AD118">
        <f>IF(AD105="","",COUNTIFS(Summary!$E$5:$E$241,AD105,Summary!$A$5:$A$241,"&gt;="&amp;$A118,Summary!$A$5:$A$241,"&lt;"&amp;$A118+7))</f>
        <v>0</v>
      </c>
      <c r="AE118">
        <f>IF(AE105="","",COUNTIFS(Summary!$E$5:$E$241,AE105,Summary!$A$5:$A$241,"&gt;="&amp;$A118,Summary!$A$5:$A$241,"&lt;"&amp;$A118+7))</f>
        <v>0</v>
      </c>
      <c r="AF118">
        <f>IF(AF105="","",COUNTIFS(Summary!$E$5:$E$241,AF105,Summary!$A$5:$A$241,"&gt;="&amp;$A118,Summary!$A$5:$A$241,"&lt;"&amp;$A118+7))</f>
        <v>0</v>
      </c>
      <c r="AG118">
        <f>IF(AG105="","",COUNTIFS(Summary!$E$5:$E$241,AG105,Summary!$A$5:$A$241,"&gt;="&amp;$A118,Summary!$A$5:$A$241,"&lt;"&amp;$A118+7))</f>
        <v>0</v>
      </c>
      <c r="AH118">
        <f>IF(AH105="","",COUNTIFS(Summary!$E$5:$E$241,AH105,Summary!$A$5:$A$241,"&gt;="&amp;$A118,Summary!$A$5:$A$241,"&lt;"&amp;$A118+7))</f>
        <v>0</v>
      </c>
      <c r="AI118">
        <f>IF(AI105="","",COUNTIFS(Summary!$E$5:$E$241,AI105,Summary!$A$5:$A$241,"&gt;="&amp;$A118,Summary!$A$5:$A$241,"&lt;"&amp;$A118+7))</f>
        <v>0</v>
      </c>
      <c r="AJ118">
        <f>IF(AJ105="","",COUNTIFS(Summary!$E$5:$E$241,AJ105,Summary!$A$5:$A$241,"&gt;="&amp;$A118,Summary!$A$5:$A$241,"&lt;"&amp;$A118+7))</f>
        <v>0</v>
      </c>
      <c r="AK118">
        <f>IF(AK105="","",COUNTIFS(Summary!$E$5:$E$241,AK105,Summary!$A$5:$A$241,"&gt;="&amp;$A118,Summary!$A$5:$A$241,"&lt;"&amp;$A118+7))</f>
        <v>0</v>
      </c>
      <c r="AL118">
        <f>IF(AL105="","",COUNTIFS(Summary!$E$5:$E$241,AL105,Summary!$A$5:$A$241,"&gt;="&amp;$A118,Summary!$A$5:$A$241,"&lt;"&amp;$A118+7))</f>
        <v>0</v>
      </c>
      <c r="AM118">
        <f>IF(AM105="","",COUNTIFS(Summary!$E$5:$E$241,AM105,Summary!$A$5:$A$241,"&gt;="&amp;$A118,Summary!$A$5:$A$241,"&lt;"&amp;$A118+7))</f>
        <v>0</v>
      </c>
      <c r="AN118">
        <f>IF(AN105="","",COUNTIFS(Summary!$E$5:$E$241,AN105,Summary!$A$5:$A$241,"&gt;="&amp;$A118,Summary!$A$5:$A$241,"&lt;"&amp;$A118+7))</f>
        <v>0</v>
      </c>
      <c r="AO118">
        <f>IF(AO105="","",COUNTIFS(Summary!$E$5:$E$241,AO105,Summary!$A$5:$A$241,"&gt;="&amp;$A118,Summary!$A$5:$A$241,"&lt;"&amp;$A118+7))</f>
        <v>0</v>
      </c>
      <c r="AP118">
        <f>IF(AP105="","",COUNTIFS(Summary!$E$5:$E$241,AP105,Summary!$A$5:$A$241,"&gt;="&amp;$A118,Summary!$A$5:$A$241,"&lt;"&amp;$A118+7))</f>
        <v>0</v>
      </c>
      <c r="AQ118">
        <f>IF(AQ105="","",COUNTIFS(Summary!$E$5:$E$241,AQ105,Summary!$A$5:$A$241,"&gt;="&amp;$A118,Summary!$A$5:$A$241,"&lt;"&amp;$A118+7))</f>
        <v>0</v>
      </c>
      <c r="AR118">
        <f>IF(AR105="","",COUNTIFS(Summary!$E$5:$E$241,AR105,Summary!$A$5:$A$241,"&gt;="&amp;$A118,Summary!$A$5:$A$241,"&lt;"&amp;$A118+7))</f>
        <v>0</v>
      </c>
      <c r="AS118">
        <f>IF(AS105="","",COUNTIFS(Summary!$E$5:$E$241,AS105,Summary!$A$5:$A$241,"&gt;="&amp;$A118,Summary!$A$5:$A$241,"&lt;"&amp;$A118+7))</f>
        <v>0</v>
      </c>
      <c r="AT118">
        <f>IF(AT105="","",COUNTIFS(Summary!$E$5:$E$241,AT105,Summary!$A$5:$A$241,"&gt;="&amp;$A118,Summary!$A$5:$A$241,"&lt;"&amp;$A118+7))</f>
        <v>0</v>
      </c>
      <c r="AU118">
        <f>IF(AU105="","",COUNTIFS(Summary!$E$5:$E$241,AU105,Summary!$A$5:$A$241,"&gt;="&amp;$A118,Summary!$A$5:$A$241,"&lt;"&amp;$A118+7))</f>
        <v>0</v>
      </c>
      <c r="AV118">
        <f>IF(AV105="","",COUNTIFS(Summary!$E$5:$E$241,AV105,Summary!$A$5:$A$241,"&gt;="&amp;$A118,Summary!$A$5:$A$241,"&lt;"&amp;$A118+7))</f>
        <v>0</v>
      </c>
      <c r="AW118">
        <f>IF(AW105="","",COUNTIFS(Summary!$E$5:$E$241,AW105,Summary!$A$5:$A$241,"&gt;="&amp;$A118,Summary!$A$5:$A$241,"&lt;"&amp;$A118+7))</f>
        <v>0</v>
      </c>
      <c r="AX118">
        <f>IF(AX105="","",COUNTIFS(Summary!$E$5:$E$241,AX105,Summary!$A$5:$A$241,"&gt;="&amp;$A118,Summary!$A$5:$A$241,"&lt;"&amp;$A118+7))</f>
        <v>0</v>
      </c>
      <c r="AY118">
        <f>IF(AY105="","",COUNTIFS(Summary!$E$5:$E$241,AY105,Summary!$A$5:$A$241,"&gt;="&amp;$A118,Summary!$A$5:$A$241,"&lt;"&amp;$A118+7))</f>
        <v>0</v>
      </c>
      <c r="AZ118">
        <f>IF(AZ105="","",COUNTIFS(Summary!$E$5:$E$241,AZ105,Summary!$A$5:$A$241,"&gt;="&amp;$A118,Summary!$A$5:$A$241,"&lt;"&amp;$A118+7))</f>
        <v>0</v>
      </c>
      <c r="BA118">
        <f>IF(BA105="","",COUNTIFS(Summary!$E$5:$E$241,BA105,Summary!$A$5:$A$241,"&gt;="&amp;$A118,Summary!$A$5:$A$241,"&lt;"&amp;$A118+7))</f>
        <v>0</v>
      </c>
      <c r="BB118">
        <f>IF(BB105="","",COUNTIFS(Summary!$E$5:$E$241,BB105,Summary!$A$5:$A$241,"&gt;="&amp;$A118,Summary!$A$5:$A$241,"&lt;"&amp;$A118+7))</f>
        <v>0</v>
      </c>
      <c r="BC118">
        <f>IF(BC105="","",COUNTIFS(Summary!$E$5:$E$241,BC105,Summary!$A$5:$A$241,"&gt;="&amp;$A118,Summary!$A$5:$A$241,"&lt;"&amp;$A118+7))</f>
        <v>0</v>
      </c>
      <c r="BD118">
        <f>IF(BD105="","",COUNTIFS(Summary!$E$5:$E$241,BD105,Summary!$A$5:$A$241,"&gt;="&amp;$A118,Summary!$A$5:$A$241,"&lt;"&amp;$A118+7))</f>
        <v>0</v>
      </c>
      <c r="BE118">
        <f>IF(BE105="","",COUNTIFS(Summary!$E$5:$E$241,BE105,Summary!$A$5:$A$241,"&gt;="&amp;$A118,Summary!$A$5:$A$241,"&lt;"&amp;$A118+7))</f>
        <v>0</v>
      </c>
      <c r="BF118" s="28">
        <f>IF(BF105="","",COUNTIFS(Summary!$E$5:$E$241,BF105,Summary!$A$5:$A$241,"&gt;="&amp;$A118,Summary!$A$5:$A$241,"&lt;"&amp;$A118+7))</f>
        <v>0</v>
      </c>
    </row>
    <row r="119" spans="1:58">
      <c r="A119" s="18">
        <f t="shared" si="9"/>
        <v>46181.344340277778</v>
      </c>
      <c r="B119" s="2" t="str">
        <f t="shared" si="8"/>
        <v>Jun 8</v>
      </c>
      <c r="C119">
        <f>IF(C105="","",COUNTIFS(Summary!$E$5:$E$241,C105,Summary!$A$5:$A$241,"&gt;="&amp;$A119,Summary!$A$5:$A$241,"&lt;"&amp;$A119+7))</f>
        <v>0</v>
      </c>
      <c r="D119">
        <f>IF(D105="","",COUNTIFS(Summary!$E$5:$E$241,D105,Summary!$A$5:$A$241,"&gt;="&amp;$A119,Summary!$A$5:$A$241,"&lt;"&amp;$A119+7))</f>
        <v>2</v>
      </c>
      <c r="E119">
        <f>IF(E105="","",COUNTIFS(Summary!$E$5:$E$241,E105,Summary!$A$5:$A$241,"&gt;="&amp;$A119,Summary!$A$5:$A$241,"&lt;"&amp;$A119+7))</f>
        <v>2</v>
      </c>
      <c r="F119">
        <f>IF(F105="","",COUNTIFS(Summary!$E$5:$E$241,F105,Summary!$A$5:$A$241,"&gt;="&amp;$A119,Summary!$A$5:$A$241,"&lt;"&amp;$A119+7))</f>
        <v>1</v>
      </c>
      <c r="G119">
        <f>IF(G105="","",COUNTIFS(Summary!$E$5:$E$241,G105,Summary!$A$5:$A$241,"&gt;="&amp;$A119,Summary!$A$5:$A$241,"&lt;"&amp;$A119+7))</f>
        <v>0</v>
      </c>
      <c r="H119">
        <f>IF(H105="","",COUNTIFS(Summary!$E$5:$E$241,H105,Summary!$A$5:$A$241,"&gt;="&amp;$A119,Summary!$A$5:$A$241,"&lt;"&amp;$A119+7))</f>
        <v>2</v>
      </c>
      <c r="I119">
        <f>IF(I105="","",COUNTIFS(Summary!$E$5:$E$241,I105,Summary!$A$5:$A$241,"&gt;="&amp;$A119,Summary!$A$5:$A$241,"&lt;"&amp;$A119+7))</f>
        <v>0</v>
      </c>
      <c r="J119">
        <f>IF(J105="","",COUNTIFS(Summary!$E$5:$E$241,J105,Summary!$A$5:$A$241,"&gt;="&amp;$A119,Summary!$A$5:$A$241,"&lt;"&amp;$A119+7))</f>
        <v>1</v>
      </c>
      <c r="K119">
        <f>IF(K105="","",COUNTIFS(Summary!$E$5:$E$241,K105,Summary!$A$5:$A$241,"&gt;="&amp;$A119,Summary!$A$5:$A$241,"&lt;"&amp;$A119+7))</f>
        <v>1</v>
      </c>
      <c r="L119">
        <f>IF(L105="","",COUNTIFS(Summary!$E$5:$E$241,L105,Summary!$A$5:$A$241,"&gt;="&amp;$A119,Summary!$A$5:$A$241,"&lt;"&amp;$A119+7))</f>
        <v>1</v>
      </c>
      <c r="M119">
        <f>IF(M105="","",COUNTIFS(Summary!$E$5:$E$241,M105,Summary!$A$5:$A$241,"&gt;="&amp;$A119,Summary!$A$5:$A$241,"&lt;"&amp;$A119+7))</f>
        <v>1</v>
      </c>
      <c r="N119">
        <f>IF(N105="","",COUNTIFS(Summary!$E$5:$E$241,N105,Summary!$A$5:$A$241,"&gt;="&amp;$A119,Summary!$A$5:$A$241,"&lt;"&amp;$A119+7))</f>
        <v>0</v>
      </c>
      <c r="O119">
        <f>IF(O105="","",COUNTIFS(Summary!$E$5:$E$241,O105,Summary!$A$5:$A$241,"&gt;="&amp;$A119,Summary!$A$5:$A$241,"&lt;"&amp;$A119+7))</f>
        <v>0</v>
      </c>
      <c r="P119">
        <f>IF(P105="","",COUNTIFS(Summary!$E$5:$E$241,P105,Summary!$A$5:$A$241,"&gt;="&amp;$A119,Summary!$A$5:$A$241,"&lt;"&amp;$A119+7))</f>
        <v>0</v>
      </c>
      <c r="Q119">
        <f>IF(Q105="","",COUNTIFS(Summary!$E$5:$E$241,Q105,Summary!$A$5:$A$241,"&gt;="&amp;$A119,Summary!$A$5:$A$241,"&lt;"&amp;$A119+7))</f>
        <v>1</v>
      </c>
      <c r="R119">
        <f>IF(R105="","",COUNTIFS(Summary!$E$5:$E$241,R105,Summary!$A$5:$A$241,"&gt;="&amp;$A119,Summary!$A$5:$A$241,"&lt;"&amp;$A119+7))</f>
        <v>1</v>
      </c>
      <c r="S119">
        <f>IF(S105="","",COUNTIFS(Summary!$E$5:$E$241,S105,Summary!$A$5:$A$241,"&gt;="&amp;$A119,Summary!$A$5:$A$241,"&lt;"&amp;$A119+7))</f>
        <v>0</v>
      </c>
      <c r="T119">
        <f>IF(T105="","",COUNTIFS(Summary!$E$5:$E$241,T105,Summary!$A$5:$A$241,"&gt;="&amp;$A119,Summary!$A$5:$A$241,"&lt;"&amp;$A119+7))</f>
        <v>0</v>
      </c>
      <c r="U119">
        <f>IF(U105="","",COUNTIFS(Summary!$E$5:$E$241,U105,Summary!$A$5:$A$241,"&gt;="&amp;$A119,Summary!$A$5:$A$241,"&lt;"&amp;$A119+7))</f>
        <v>0</v>
      </c>
      <c r="V119">
        <f>IF(V105="","",COUNTIFS(Summary!$E$5:$E$241,V105,Summary!$A$5:$A$241,"&gt;="&amp;$A119,Summary!$A$5:$A$241,"&lt;"&amp;$A119+7))</f>
        <v>0</v>
      </c>
      <c r="W119">
        <f>IF(W105="","",COUNTIFS(Summary!$E$5:$E$241,W105,Summary!$A$5:$A$241,"&gt;="&amp;$A119,Summary!$A$5:$A$241,"&lt;"&amp;$A119+7))</f>
        <v>0</v>
      </c>
      <c r="X119">
        <f>IF(X105="","",COUNTIFS(Summary!$E$5:$E$241,X105,Summary!$A$5:$A$241,"&gt;="&amp;$A119,Summary!$A$5:$A$241,"&lt;"&amp;$A119+7))</f>
        <v>0</v>
      </c>
      <c r="Y119">
        <f>IF(Y105="","",COUNTIFS(Summary!$E$5:$E$241,Y105,Summary!$A$5:$A$241,"&gt;="&amp;$A119,Summary!$A$5:$A$241,"&lt;"&amp;$A119+7))</f>
        <v>3</v>
      </c>
      <c r="Z119">
        <f>IF(Z105="","",COUNTIFS(Summary!$E$5:$E$241,Z105,Summary!$A$5:$A$241,"&gt;="&amp;$A119,Summary!$A$5:$A$241,"&lt;"&amp;$A119+7))</f>
        <v>0</v>
      </c>
      <c r="AA119">
        <f>IF(AA105="","",COUNTIFS(Summary!$E$5:$E$241,AA105,Summary!$A$5:$A$241,"&gt;="&amp;$A119,Summary!$A$5:$A$241,"&lt;"&amp;$A119+7))</f>
        <v>0</v>
      </c>
      <c r="AB119">
        <f>IF(AB105="","",COUNTIFS(Summary!$E$5:$E$241,AB105,Summary!$A$5:$A$241,"&gt;="&amp;$A119,Summary!$A$5:$A$241,"&lt;"&amp;$A119+7))</f>
        <v>0</v>
      </c>
      <c r="AC119">
        <f>IF(AC105="","",COUNTIFS(Summary!$E$5:$E$241,AC105,Summary!$A$5:$A$241,"&gt;="&amp;$A119,Summary!$A$5:$A$241,"&lt;"&amp;$A119+7))</f>
        <v>0</v>
      </c>
      <c r="AD119">
        <f>IF(AD105="","",COUNTIFS(Summary!$E$5:$E$241,AD105,Summary!$A$5:$A$241,"&gt;="&amp;$A119,Summary!$A$5:$A$241,"&lt;"&amp;$A119+7))</f>
        <v>0</v>
      </c>
      <c r="AE119">
        <f>IF(AE105="","",COUNTIFS(Summary!$E$5:$E$241,AE105,Summary!$A$5:$A$241,"&gt;="&amp;$A119,Summary!$A$5:$A$241,"&lt;"&amp;$A119+7))</f>
        <v>0</v>
      </c>
      <c r="AF119">
        <f>IF(AF105="","",COUNTIFS(Summary!$E$5:$E$241,AF105,Summary!$A$5:$A$241,"&gt;="&amp;$A119,Summary!$A$5:$A$241,"&lt;"&amp;$A119+7))</f>
        <v>0</v>
      </c>
      <c r="AG119">
        <f>IF(AG105="","",COUNTIFS(Summary!$E$5:$E$241,AG105,Summary!$A$5:$A$241,"&gt;="&amp;$A119,Summary!$A$5:$A$241,"&lt;"&amp;$A119+7))</f>
        <v>0</v>
      </c>
      <c r="AH119">
        <f>IF(AH105="","",COUNTIFS(Summary!$E$5:$E$241,AH105,Summary!$A$5:$A$241,"&gt;="&amp;$A119,Summary!$A$5:$A$241,"&lt;"&amp;$A119+7))</f>
        <v>0</v>
      </c>
      <c r="AI119">
        <f>IF(AI105="","",COUNTIFS(Summary!$E$5:$E$241,AI105,Summary!$A$5:$A$241,"&gt;="&amp;$A119,Summary!$A$5:$A$241,"&lt;"&amp;$A119+7))</f>
        <v>0</v>
      </c>
      <c r="AJ119">
        <f>IF(AJ105="","",COUNTIFS(Summary!$E$5:$E$241,AJ105,Summary!$A$5:$A$241,"&gt;="&amp;$A119,Summary!$A$5:$A$241,"&lt;"&amp;$A119+7))</f>
        <v>0</v>
      </c>
      <c r="AK119">
        <f>IF(AK105="","",COUNTIFS(Summary!$E$5:$E$241,AK105,Summary!$A$5:$A$241,"&gt;="&amp;$A119,Summary!$A$5:$A$241,"&lt;"&amp;$A119+7))</f>
        <v>0</v>
      </c>
      <c r="AL119">
        <f>IF(AL105="","",COUNTIFS(Summary!$E$5:$E$241,AL105,Summary!$A$5:$A$241,"&gt;="&amp;$A119,Summary!$A$5:$A$241,"&lt;"&amp;$A119+7))</f>
        <v>0</v>
      </c>
      <c r="AM119">
        <f>IF(AM105="","",COUNTIFS(Summary!$E$5:$E$241,AM105,Summary!$A$5:$A$241,"&gt;="&amp;$A119,Summary!$A$5:$A$241,"&lt;"&amp;$A119+7))</f>
        <v>0</v>
      </c>
      <c r="AN119">
        <f>IF(AN105="","",COUNTIFS(Summary!$E$5:$E$241,AN105,Summary!$A$5:$A$241,"&gt;="&amp;$A119,Summary!$A$5:$A$241,"&lt;"&amp;$A119+7))</f>
        <v>0</v>
      </c>
      <c r="AO119">
        <f>IF(AO105="","",COUNTIFS(Summary!$E$5:$E$241,AO105,Summary!$A$5:$A$241,"&gt;="&amp;$A119,Summary!$A$5:$A$241,"&lt;"&amp;$A119+7))</f>
        <v>0</v>
      </c>
      <c r="AP119">
        <f>IF(AP105="","",COUNTIFS(Summary!$E$5:$E$241,AP105,Summary!$A$5:$A$241,"&gt;="&amp;$A119,Summary!$A$5:$A$241,"&lt;"&amp;$A119+7))</f>
        <v>0</v>
      </c>
      <c r="AQ119">
        <f>IF(AQ105="","",COUNTIFS(Summary!$E$5:$E$241,AQ105,Summary!$A$5:$A$241,"&gt;="&amp;$A119,Summary!$A$5:$A$241,"&lt;"&amp;$A119+7))</f>
        <v>0</v>
      </c>
      <c r="AR119">
        <f>IF(AR105="","",COUNTIFS(Summary!$E$5:$E$241,AR105,Summary!$A$5:$A$241,"&gt;="&amp;$A119,Summary!$A$5:$A$241,"&lt;"&amp;$A119+7))</f>
        <v>0</v>
      </c>
      <c r="AS119">
        <f>IF(AS105="","",COUNTIFS(Summary!$E$5:$E$241,AS105,Summary!$A$5:$A$241,"&gt;="&amp;$A119,Summary!$A$5:$A$241,"&lt;"&amp;$A119+7))</f>
        <v>0</v>
      </c>
      <c r="AT119">
        <f>IF(AT105="","",COUNTIFS(Summary!$E$5:$E$241,AT105,Summary!$A$5:$A$241,"&gt;="&amp;$A119,Summary!$A$5:$A$241,"&lt;"&amp;$A119+7))</f>
        <v>0</v>
      </c>
      <c r="AU119">
        <f>IF(AU105="","",COUNTIFS(Summary!$E$5:$E$241,AU105,Summary!$A$5:$A$241,"&gt;="&amp;$A119,Summary!$A$5:$A$241,"&lt;"&amp;$A119+7))</f>
        <v>0</v>
      </c>
      <c r="AV119">
        <f>IF(AV105="","",COUNTIFS(Summary!$E$5:$E$241,AV105,Summary!$A$5:$A$241,"&gt;="&amp;$A119,Summary!$A$5:$A$241,"&lt;"&amp;$A119+7))</f>
        <v>0</v>
      </c>
      <c r="AW119">
        <f>IF(AW105="","",COUNTIFS(Summary!$E$5:$E$241,AW105,Summary!$A$5:$A$241,"&gt;="&amp;$A119,Summary!$A$5:$A$241,"&lt;"&amp;$A119+7))</f>
        <v>0</v>
      </c>
      <c r="AX119">
        <f>IF(AX105="","",COUNTIFS(Summary!$E$5:$E$241,AX105,Summary!$A$5:$A$241,"&gt;="&amp;$A119,Summary!$A$5:$A$241,"&lt;"&amp;$A119+7))</f>
        <v>0</v>
      </c>
      <c r="AY119">
        <f>IF(AY105="","",COUNTIFS(Summary!$E$5:$E$241,AY105,Summary!$A$5:$A$241,"&gt;="&amp;$A119,Summary!$A$5:$A$241,"&lt;"&amp;$A119+7))</f>
        <v>0</v>
      </c>
      <c r="AZ119">
        <f>IF(AZ105="","",COUNTIFS(Summary!$E$5:$E$241,AZ105,Summary!$A$5:$A$241,"&gt;="&amp;$A119,Summary!$A$5:$A$241,"&lt;"&amp;$A119+7))</f>
        <v>0</v>
      </c>
      <c r="BA119">
        <f>IF(BA105="","",COUNTIFS(Summary!$E$5:$E$241,BA105,Summary!$A$5:$A$241,"&gt;="&amp;$A119,Summary!$A$5:$A$241,"&lt;"&amp;$A119+7))</f>
        <v>0</v>
      </c>
      <c r="BB119">
        <f>IF(BB105="","",COUNTIFS(Summary!$E$5:$E$241,BB105,Summary!$A$5:$A$241,"&gt;="&amp;$A119,Summary!$A$5:$A$241,"&lt;"&amp;$A119+7))</f>
        <v>0</v>
      </c>
      <c r="BC119">
        <f>IF(BC105="","",COUNTIFS(Summary!$E$5:$E$241,BC105,Summary!$A$5:$A$241,"&gt;="&amp;$A119,Summary!$A$5:$A$241,"&lt;"&amp;$A119+7))</f>
        <v>0</v>
      </c>
      <c r="BD119">
        <f>IF(BD105="","",COUNTIFS(Summary!$E$5:$E$241,BD105,Summary!$A$5:$A$241,"&gt;="&amp;$A119,Summary!$A$5:$A$241,"&lt;"&amp;$A119+7))</f>
        <v>0</v>
      </c>
      <c r="BE119">
        <f>IF(BE105="","",COUNTIFS(Summary!$E$5:$E$241,BE105,Summary!$A$5:$A$241,"&gt;="&amp;$A119,Summary!$A$5:$A$241,"&lt;"&amp;$A119+7))</f>
        <v>0</v>
      </c>
      <c r="BF119" s="28">
        <f>IF(BF105="","",COUNTIFS(Summary!$E$5:$E$241,BF105,Summary!$A$5:$A$241,"&gt;="&amp;$A119,Summary!$A$5:$A$241,"&lt;"&amp;$A119+7))</f>
        <v>0</v>
      </c>
    </row>
    <row r="120" spans="1:58">
      <c r="A120" s="18">
        <f t="shared" si="9"/>
        <v>46188.344340277778</v>
      </c>
      <c r="B120" s="2" t="str">
        <f t="shared" si="8"/>
        <v>Jun 15</v>
      </c>
      <c r="C120">
        <f>IF(C105="","",COUNTIFS(Summary!$E$5:$E$241,C105,Summary!$A$5:$A$241,"&gt;="&amp;$A120,Summary!$A$5:$A$241,"&lt;"&amp;$A120+7))</f>
        <v>0</v>
      </c>
      <c r="D120">
        <f>IF(D105="","",COUNTIFS(Summary!$E$5:$E$241,D105,Summary!$A$5:$A$241,"&gt;="&amp;$A120,Summary!$A$5:$A$241,"&lt;"&amp;$A120+7))</f>
        <v>0</v>
      </c>
      <c r="E120">
        <f>IF(E105="","",COUNTIFS(Summary!$E$5:$E$241,E105,Summary!$A$5:$A$241,"&gt;="&amp;$A120,Summary!$A$5:$A$241,"&lt;"&amp;$A120+7))</f>
        <v>0</v>
      </c>
      <c r="F120">
        <f>IF(F105="","",COUNTIFS(Summary!$E$5:$E$241,F105,Summary!$A$5:$A$241,"&gt;="&amp;$A120,Summary!$A$5:$A$241,"&lt;"&amp;$A120+7))</f>
        <v>0</v>
      </c>
      <c r="G120">
        <f>IF(G105="","",COUNTIFS(Summary!$E$5:$E$241,G105,Summary!$A$5:$A$241,"&gt;="&amp;$A120,Summary!$A$5:$A$241,"&lt;"&amp;$A120+7))</f>
        <v>0</v>
      </c>
      <c r="H120">
        <f>IF(H105="","",COUNTIFS(Summary!$E$5:$E$241,H105,Summary!$A$5:$A$241,"&gt;="&amp;$A120,Summary!$A$5:$A$241,"&lt;"&amp;$A120+7))</f>
        <v>4</v>
      </c>
      <c r="I120">
        <f>IF(I105="","",COUNTIFS(Summary!$E$5:$E$241,I105,Summary!$A$5:$A$241,"&gt;="&amp;$A120,Summary!$A$5:$A$241,"&lt;"&amp;$A120+7))</f>
        <v>0</v>
      </c>
      <c r="J120">
        <f>IF(J105="","",COUNTIFS(Summary!$E$5:$E$241,J105,Summary!$A$5:$A$241,"&gt;="&amp;$A120,Summary!$A$5:$A$241,"&lt;"&amp;$A120+7))</f>
        <v>0</v>
      </c>
      <c r="K120">
        <f>IF(K105="","",COUNTIFS(Summary!$E$5:$E$241,K105,Summary!$A$5:$A$241,"&gt;="&amp;$A120,Summary!$A$5:$A$241,"&lt;"&amp;$A120+7))</f>
        <v>0</v>
      </c>
      <c r="L120">
        <f>IF(L105="","",COUNTIFS(Summary!$E$5:$E$241,L105,Summary!$A$5:$A$241,"&gt;="&amp;$A120,Summary!$A$5:$A$241,"&lt;"&amp;$A120+7))</f>
        <v>2</v>
      </c>
      <c r="M120">
        <f>IF(M105="","",COUNTIFS(Summary!$E$5:$E$241,M105,Summary!$A$5:$A$241,"&gt;="&amp;$A120,Summary!$A$5:$A$241,"&lt;"&amp;$A120+7))</f>
        <v>0</v>
      </c>
      <c r="N120">
        <f>IF(N105="","",COUNTIFS(Summary!$E$5:$E$241,N105,Summary!$A$5:$A$241,"&gt;="&amp;$A120,Summary!$A$5:$A$241,"&lt;"&amp;$A120+7))</f>
        <v>0</v>
      </c>
      <c r="O120">
        <f>IF(O105="","",COUNTIFS(Summary!$E$5:$E$241,O105,Summary!$A$5:$A$241,"&gt;="&amp;$A120,Summary!$A$5:$A$241,"&lt;"&amp;$A120+7))</f>
        <v>2</v>
      </c>
      <c r="P120">
        <f>IF(P105="","",COUNTIFS(Summary!$E$5:$E$241,P105,Summary!$A$5:$A$241,"&gt;="&amp;$A120,Summary!$A$5:$A$241,"&lt;"&amp;$A120+7))</f>
        <v>0</v>
      </c>
      <c r="Q120">
        <f>IF(Q105="","",COUNTIFS(Summary!$E$5:$E$241,Q105,Summary!$A$5:$A$241,"&gt;="&amp;$A120,Summary!$A$5:$A$241,"&lt;"&amp;$A120+7))</f>
        <v>0</v>
      </c>
      <c r="R120">
        <f>IF(R105="","",COUNTIFS(Summary!$E$5:$E$241,R105,Summary!$A$5:$A$241,"&gt;="&amp;$A120,Summary!$A$5:$A$241,"&lt;"&amp;$A120+7))</f>
        <v>0</v>
      </c>
      <c r="S120">
        <f>IF(S105="","",COUNTIFS(Summary!$E$5:$E$241,S105,Summary!$A$5:$A$241,"&gt;="&amp;$A120,Summary!$A$5:$A$241,"&lt;"&amp;$A120+7))</f>
        <v>0</v>
      </c>
      <c r="T120">
        <f>IF(T105="","",COUNTIFS(Summary!$E$5:$E$241,T105,Summary!$A$5:$A$241,"&gt;="&amp;$A120,Summary!$A$5:$A$241,"&lt;"&amp;$A120+7))</f>
        <v>0</v>
      </c>
      <c r="U120">
        <f>IF(U105="","",COUNTIFS(Summary!$E$5:$E$241,U105,Summary!$A$5:$A$241,"&gt;="&amp;$A120,Summary!$A$5:$A$241,"&lt;"&amp;$A120+7))</f>
        <v>0</v>
      </c>
      <c r="V120">
        <f>IF(V105="","",COUNTIFS(Summary!$E$5:$E$241,V105,Summary!$A$5:$A$241,"&gt;="&amp;$A120,Summary!$A$5:$A$241,"&lt;"&amp;$A120+7))</f>
        <v>0</v>
      </c>
      <c r="W120">
        <f>IF(W105="","",COUNTIFS(Summary!$E$5:$E$241,W105,Summary!$A$5:$A$241,"&gt;="&amp;$A120,Summary!$A$5:$A$241,"&lt;"&amp;$A120+7))</f>
        <v>0</v>
      </c>
      <c r="X120">
        <f>IF(X105="","",COUNTIFS(Summary!$E$5:$E$241,X105,Summary!$A$5:$A$241,"&gt;="&amp;$A120,Summary!$A$5:$A$241,"&lt;"&amp;$A120+7))</f>
        <v>0</v>
      </c>
      <c r="Y120">
        <f>IF(Y105="","",COUNTIFS(Summary!$E$5:$E$241,Y105,Summary!$A$5:$A$241,"&gt;="&amp;$A120,Summary!$A$5:$A$241,"&lt;"&amp;$A120+7))</f>
        <v>0</v>
      </c>
      <c r="Z120">
        <f>IF(Z105="","",COUNTIFS(Summary!$E$5:$E$241,Z105,Summary!$A$5:$A$241,"&gt;="&amp;$A120,Summary!$A$5:$A$241,"&lt;"&amp;$A120+7))</f>
        <v>0</v>
      </c>
      <c r="AA120">
        <f>IF(AA105="","",COUNTIFS(Summary!$E$5:$E$241,AA105,Summary!$A$5:$A$241,"&gt;="&amp;$A120,Summary!$A$5:$A$241,"&lt;"&amp;$A120+7))</f>
        <v>0</v>
      </c>
      <c r="AB120">
        <f>IF(AB105="","",COUNTIFS(Summary!$E$5:$E$241,AB105,Summary!$A$5:$A$241,"&gt;="&amp;$A120,Summary!$A$5:$A$241,"&lt;"&amp;$A120+7))</f>
        <v>0</v>
      </c>
      <c r="AC120">
        <f>IF(AC105="","",COUNTIFS(Summary!$E$5:$E$241,AC105,Summary!$A$5:$A$241,"&gt;="&amp;$A120,Summary!$A$5:$A$241,"&lt;"&amp;$A120+7))</f>
        <v>0</v>
      </c>
      <c r="AD120">
        <f>IF(AD105="","",COUNTIFS(Summary!$E$5:$E$241,AD105,Summary!$A$5:$A$241,"&gt;="&amp;$A120,Summary!$A$5:$A$241,"&lt;"&amp;$A120+7))</f>
        <v>0</v>
      </c>
      <c r="AE120">
        <f>IF(AE105="","",COUNTIFS(Summary!$E$5:$E$241,AE105,Summary!$A$5:$A$241,"&gt;="&amp;$A120,Summary!$A$5:$A$241,"&lt;"&amp;$A120+7))</f>
        <v>0</v>
      </c>
      <c r="AF120">
        <f>IF(AF105="","",COUNTIFS(Summary!$E$5:$E$241,AF105,Summary!$A$5:$A$241,"&gt;="&amp;$A120,Summary!$A$5:$A$241,"&lt;"&amp;$A120+7))</f>
        <v>0</v>
      </c>
      <c r="AG120">
        <f>IF(AG105="","",COUNTIFS(Summary!$E$5:$E$241,AG105,Summary!$A$5:$A$241,"&gt;="&amp;$A120,Summary!$A$5:$A$241,"&lt;"&amp;$A120+7))</f>
        <v>0</v>
      </c>
      <c r="AH120">
        <f>IF(AH105="","",COUNTIFS(Summary!$E$5:$E$241,AH105,Summary!$A$5:$A$241,"&gt;="&amp;$A120,Summary!$A$5:$A$241,"&lt;"&amp;$A120+7))</f>
        <v>0</v>
      </c>
      <c r="AI120">
        <f>IF(AI105="","",COUNTIFS(Summary!$E$5:$E$241,AI105,Summary!$A$5:$A$241,"&gt;="&amp;$A120,Summary!$A$5:$A$241,"&lt;"&amp;$A120+7))</f>
        <v>0</v>
      </c>
      <c r="AJ120">
        <f>IF(AJ105="","",COUNTIFS(Summary!$E$5:$E$241,AJ105,Summary!$A$5:$A$241,"&gt;="&amp;$A120,Summary!$A$5:$A$241,"&lt;"&amp;$A120+7))</f>
        <v>0</v>
      </c>
      <c r="AK120">
        <f>IF(AK105="","",COUNTIFS(Summary!$E$5:$E$241,AK105,Summary!$A$5:$A$241,"&gt;="&amp;$A120,Summary!$A$5:$A$241,"&lt;"&amp;$A120+7))</f>
        <v>0</v>
      </c>
      <c r="AL120">
        <f>IF(AL105="","",COUNTIFS(Summary!$E$5:$E$241,AL105,Summary!$A$5:$A$241,"&gt;="&amp;$A120,Summary!$A$5:$A$241,"&lt;"&amp;$A120+7))</f>
        <v>0</v>
      </c>
      <c r="AM120">
        <f>IF(AM105="","",COUNTIFS(Summary!$E$5:$E$241,AM105,Summary!$A$5:$A$241,"&gt;="&amp;$A120,Summary!$A$5:$A$241,"&lt;"&amp;$A120+7))</f>
        <v>0</v>
      </c>
      <c r="AN120">
        <f>IF(AN105="","",COUNTIFS(Summary!$E$5:$E$241,AN105,Summary!$A$5:$A$241,"&gt;="&amp;$A120,Summary!$A$5:$A$241,"&lt;"&amp;$A120+7))</f>
        <v>0</v>
      </c>
      <c r="AO120">
        <f>IF(AO105="","",COUNTIFS(Summary!$E$5:$E$241,AO105,Summary!$A$5:$A$241,"&gt;="&amp;$A120,Summary!$A$5:$A$241,"&lt;"&amp;$A120+7))</f>
        <v>0</v>
      </c>
      <c r="AP120">
        <f>IF(AP105="","",COUNTIFS(Summary!$E$5:$E$241,AP105,Summary!$A$5:$A$241,"&gt;="&amp;$A120,Summary!$A$5:$A$241,"&lt;"&amp;$A120+7))</f>
        <v>0</v>
      </c>
      <c r="AQ120">
        <f>IF(AQ105="","",COUNTIFS(Summary!$E$5:$E$241,AQ105,Summary!$A$5:$A$241,"&gt;="&amp;$A120,Summary!$A$5:$A$241,"&lt;"&amp;$A120+7))</f>
        <v>0</v>
      </c>
      <c r="AR120">
        <f>IF(AR105="","",COUNTIFS(Summary!$E$5:$E$241,AR105,Summary!$A$5:$A$241,"&gt;="&amp;$A120,Summary!$A$5:$A$241,"&lt;"&amp;$A120+7))</f>
        <v>0</v>
      </c>
      <c r="AS120">
        <f>IF(AS105="","",COUNTIFS(Summary!$E$5:$E$241,AS105,Summary!$A$5:$A$241,"&gt;="&amp;$A120,Summary!$A$5:$A$241,"&lt;"&amp;$A120+7))</f>
        <v>0</v>
      </c>
      <c r="AT120">
        <f>IF(AT105="","",COUNTIFS(Summary!$E$5:$E$241,AT105,Summary!$A$5:$A$241,"&gt;="&amp;$A120,Summary!$A$5:$A$241,"&lt;"&amp;$A120+7))</f>
        <v>0</v>
      </c>
      <c r="AU120">
        <f>IF(AU105="","",COUNTIFS(Summary!$E$5:$E$241,AU105,Summary!$A$5:$A$241,"&gt;="&amp;$A120,Summary!$A$5:$A$241,"&lt;"&amp;$A120+7))</f>
        <v>0</v>
      </c>
      <c r="AV120">
        <f>IF(AV105="","",COUNTIFS(Summary!$E$5:$E$241,AV105,Summary!$A$5:$A$241,"&gt;="&amp;$A120,Summary!$A$5:$A$241,"&lt;"&amp;$A120+7))</f>
        <v>0</v>
      </c>
      <c r="AW120">
        <f>IF(AW105="","",COUNTIFS(Summary!$E$5:$E$241,AW105,Summary!$A$5:$A$241,"&gt;="&amp;$A120,Summary!$A$5:$A$241,"&lt;"&amp;$A120+7))</f>
        <v>0</v>
      </c>
      <c r="AX120">
        <f>IF(AX105="","",COUNTIFS(Summary!$E$5:$E$241,AX105,Summary!$A$5:$A$241,"&gt;="&amp;$A120,Summary!$A$5:$A$241,"&lt;"&amp;$A120+7))</f>
        <v>0</v>
      </c>
      <c r="AY120">
        <f>IF(AY105="","",COUNTIFS(Summary!$E$5:$E$241,AY105,Summary!$A$5:$A$241,"&gt;="&amp;$A120,Summary!$A$5:$A$241,"&lt;"&amp;$A120+7))</f>
        <v>0</v>
      </c>
      <c r="AZ120">
        <f>IF(AZ105="","",COUNTIFS(Summary!$E$5:$E$241,AZ105,Summary!$A$5:$A$241,"&gt;="&amp;$A120,Summary!$A$5:$A$241,"&lt;"&amp;$A120+7))</f>
        <v>0</v>
      </c>
      <c r="BA120">
        <f>IF(BA105="","",COUNTIFS(Summary!$E$5:$E$241,BA105,Summary!$A$5:$A$241,"&gt;="&amp;$A120,Summary!$A$5:$A$241,"&lt;"&amp;$A120+7))</f>
        <v>0</v>
      </c>
      <c r="BB120">
        <f>IF(BB105="","",COUNTIFS(Summary!$E$5:$E$241,BB105,Summary!$A$5:$A$241,"&gt;="&amp;$A120,Summary!$A$5:$A$241,"&lt;"&amp;$A120+7))</f>
        <v>0</v>
      </c>
      <c r="BC120">
        <f>IF(BC105="","",COUNTIFS(Summary!$E$5:$E$241,BC105,Summary!$A$5:$A$241,"&gt;="&amp;$A120,Summary!$A$5:$A$241,"&lt;"&amp;$A120+7))</f>
        <v>0</v>
      </c>
      <c r="BD120">
        <f>IF(BD105="","",COUNTIFS(Summary!$E$5:$E$241,BD105,Summary!$A$5:$A$241,"&gt;="&amp;$A120,Summary!$A$5:$A$241,"&lt;"&amp;$A120+7))</f>
        <v>0</v>
      </c>
      <c r="BE120">
        <f>IF(BE105="","",COUNTIFS(Summary!$E$5:$E$241,BE105,Summary!$A$5:$A$241,"&gt;="&amp;$A120,Summary!$A$5:$A$241,"&lt;"&amp;$A120+7))</f>
        <v>0</v>
      </c>
      <c r="BF120" s="28">
        <f>IF(BF105="","",COUNTIFS(Summary!$E$5:$E$241,BF105,Summary!$A$5:$A$241,"&gt;="&amp;$A120,Summary!$A$5:$A$241,"&lt;"&amp;$A120+7))</f>
        <v>0</v>
      </c>
    </row>
    <row r="121" spans="1:58">
      <c r="A121" s="18">
        <f t="shared" si="9"/>
        <v>46195.344340277778</v>
      </c>
      <c r="B121" s="2" t="str">
        <f t="shared" si="8"/>
        <v>Jun 22</v>
      </c>
      <c r="C121">
        <f>IF(C105="","",COUNTIFS(Summary!$E$5:$E$241,C105,Summary!$A$5:$A$241,"&gt;="&amp;$A121,Summary!$A$5:$A$241,"&lt;"&amp;$A121+7))</f>
        <v>0</v>
      </c>
      <c r="D121">
        <f>IF(D105="","",COUNTIFS(Summary!$E$5:$E$241,D105,Summary!$A$5:$A$241,"&gt;="&amp;$A121,Summary!$A$5:$A$241,"&lt;"&amp;$A121+7))</f>
        <v>2</v>
      </c>
      <c r="E121">
        <f>IF(E105="","",COUNTIFS(Summary!$E$5:$E$241,E105,Summary!$A$5:$A$241,"&gt;="&amp;$A121,Summary!$A$5:$A$241,"&lt;"&amp;$A121+7))</f>
        <v>1</v>
      </c>
      <c r="F121">
        <f>IF(F105="","",COUNTIFS(Summary!$E$5:$E$241,F105,Summary!$A$5:$A$241,"&gt;="&amp;$A121,Summary!$A$5:$A$241,"&lt;"&amp;$A121+7))</f>
        <v>0</v>
      </c>
      <c r="G121">
        <f>IF(G105="","",COUNTIFS(Summary!$E$5:$E$241,G105,Summary!$A$5:$A$241,"&gt;="&amp;$A121,Summary!$A$5:$A$241,"&lt;"&amp;$A121+7))</f>
        <v>0</v>
      </c>
      <c r="H121">
        <f>IF(H105="","",COUNTIFS(Summary!$E$5:$E$241,H105,Summary!$A$5:$A$241,"&gt;="&amp;$A121,Summary!$A$5:$A$241,"&lt;"&amp;$A121+7))</f>
        <v>2</v>
      </c>
      <c r="I121">
        <f>IF(I105="","",COUNTIFS(Summary!$E$5:$E$241,I105,Summary!$A$5:$A$241,"&gt;="&amp;$A121,Summary!$A$5:$A$241,"&lt;"&amp;$A121+7))</f>
        <v>0</v>
      </c>
      <c r="J121">
        <f>IF(J105="","",COUNTIFS(Summary!$E$5:$E$241,J105,Summary!$A$5:$A$241,"&gt;="&amp;$A121,Summary!$A$5:$A$241,"&lt;"&amp;$A121+7))</f>
        <v>0</v>
      </c>
      <c r="K121">
        <f>IF(K105="","",COUNTIFS(Summary!$E$5:$E$241,K105,Summary!$A$5:$A$241,"&gt;="&amp;$A121,Summary!$A$5:$A$241,"&lt;"&amp;$A121+7))</f>
        <v>0</v>
      </c>
      <c r="L121">
        <f>IF(L105="","",COUNTIFS(Summary!$E$5:$E$241,L105,Summary!$A$5:$A$241,"&gt;="&amp;$A121,Summary!$A$5:$A$241,"&lt;"&amp;$A121+7))</f>
        <v>0</v>
      </c>
      <c r="M121">
        <f>IF(M105="","",COUNTIFS(Summary!$E$5:$E$241,M105,Summary!$A$5:$A$241,"&gt;="&amp;$A121,Summary!$A$5:$A$241,"&lt;"&amp;$A121+7))</f>
        <v>1</v>
      </c>
      <c r="N121">
        <f>IF(N105="","",COUNTIFS(Summary!$E$5:$E$241,N105,Summary!$A$5:$A$241,"&gt;="&amp;$A121,Summary!$A$5:$A$241,"&lt;"&amp;$A121+7))</f>
        <v>0</v>
      </c>
      <c r="O121">
        <f>IF(O105="","",COUNTIFS(Summary!$E$5:$E$241,O105,Summary!$A$5:$A$241,"&gt;="&amp;$A121,Summary!$A$5:$A$241,"&lt;"&amp;$A121+7))</f>
        <v>0</v>
      </c>
      <c r="P121">
        <f>IF(P105="","",COUNTIFS(Summary!$E$5:$E$241,P105,Summary!$A$5:$A$241,"&gt;="&amp;$A121,Summary!$A$5:$A$241,"&lt;"&amp;$A121+7))</f>
        <v>0</v>
      </c>
      <c r="Q121">
        <f>IF(Q105="","",COUNTIFS(Summary!$E$5:$E$241,Q105,Summary!$A$5:$A$241,"&gt;="&amp;$A121,Summary!$A$5:$A$241,"&lt;"&amp;$A121+7))</f>
        <v>4</v>
      </c>
      <c r="R121">
        <f>IF(R105="","",COUNTIFS(Summary!$E$5:$E$241,R105,Summary!$A$5:$A$241,"&gt;="&amp;$A121,Summary!$A$5:$A$241,"&lt;"&amp;$A121+7))</f>
        <v>0</v>
      </c>
      <c r="S121">
        <f>IF(S105="","",COUNTIFS(Summary!$E$5:$E$241,S105,Summary!$A$5:$A$241,"&gt;="&amp;$A121,Summary!$A$5:$A$241,"&lt;"&amp;$A121+7))</f>
        <v>1</v>
      </c>
      <c r="T121">
        <f>IF(T105="","",COUNTIFS(Summary!$E$5:$E$241,T105,Summary!$A$5:$A$241,"&gt;="&amp;$A121,Summary!$A$5:$A$241,"&lt;"&amp;$A121+7))</f>
        <v>0</v>
      </c>
      <c r="U121">
        <f>IF(U105="","",COUNTIFS(Summary!$E$5:$E$241,U105,Summary!$A$5:$A$241,"&gt;="&amp;$A121,Summary!$A$5:$A$241,"&lt;"&amp;$A121+7))</f>
        <v>0</v>
      </c>
      <c r="V121">
        <f>IF(V105="","",COUNTIFS(Summary!$E$5:$E$241,V105,Summary!$A$5:$A$241,"&gt;="&amp;$A121,Summary!$A$5:$A$241,"&lt;"&amp;$A121+7))</f>
        <v>0</v>
      </c>
      <c r="W121">
        <f>IF(W105="","",COUNTIFS(Summary!$E$5:$E$241,W105,Summary!$A$5:$A$241,"&gt;="&amp;$A121,Summary!$A$5:$A$241,"&lt;"&amp;$A121+7))</f>
        <v>0</v>
      </c>
      <c r="X121">
        <f>IF(X105="","",COUNTIFS(Summary!$E$5:$E$241,X105,Summary!$A$5:$A$241,"&gt;="&amp;$A121,Summary!$A$5:$A$241,"&lt;"&amp;$A121+7))</f>
        <v>0</v>
      </c>
      <c r="Y121">
        <f>IF(Y105="","",COUNTIFS(Summary!$E$5:$E$241,Y105,Summary!$A$5:$A$241,"&gt;="&amp;$A121,Summary!$A$5:$A$241,"&lt;"&amp;$A121+7))</f>
        <v>1</v>
      </c>
      <c r="Z121">
        <f>IF(Z105="","",COUNTIFS(Summary!$E$5:$E$241,Z105,Summary!$A$5:$A$241,"&gt;="&amp;$A121,Summary!$A$5:$A$241,"&lt;"&amp;$A121+7))</f>
        <v>1</v>
      </c>
      <c r="AA121">
        <f>IF(AA105="","",COUNTIFS(Summary!$E$5:$E$241,AA105,Summary!$A$5:$A$241,"&gt;="&amp;$A121,Summary!$A$5:$A$241,"&lt;"&amp;$A121+7))</f>
        <v>0</v>
      </c>
      <c r="AB121">
        <f>IF(AB105="","",COUNTIFS(Summary!$E$5:$E$241,AB105,Summary!$A$5:$A$241,"&gt;="&amp;$A121,Summary!$A$5:$A$241,"&lt;"&amp;$A121+7))</f>
        <v>0</v>
      </c>
      <c r="AC121">
        <f>IF(AC105="","",COUNTIFS(Summary!$E$5:$E$241,AC105,Summary!$A$5:$A$241,"&gt;="&amp;$A121,Summary!$A$5:$A$241,"&lt;"&amp;$A121+7))</f>
        <v>0</v>
      </c>
      <c r="AD121">
        <f>IF(AD105="","",COUNTIFS(Summary!$E$5:$E$241,AD105,Summary!$A$5:$A$241,"&gt;="&amp;$A121,Summary!$A$5:$A$241,"&lt;"&amp;$A121+7))</f>
        <v>0</v>
      </c>
      <c r="AE121">
        <f>IF(AE105="","",COUNTIFS(Summary!$E$5:$E$241,AE105,Summary!$A$5:$A$241,"&gt;="&amp;$A121,Summary!$A$5:$A$241,"&lt;"&amp;$A121+7))</f>
        <v>0</v>
      </c>
      <c r="AF121">
        <f>IF(AF105="","",COUNTIFS(Summary!$E$5:$E$241,AF105,Summary!$A$5:$A$241,"&gt;="&amp;$A121,Summary!$A$5:$A$241,"&lt;"&amp;$A121+7))</f>
        <v>0</v>
      </c>
      <c r="AG121">
        <f>IF(AG105="","",COUNTIFS(Summary!$E$5:$E$241,AG105,Summary!$A$5:$A$241,"&gt;="&amp;$A121,Summary!$A$5:$A$241,"&lt;"&amp;$A121+7))</f>
        <v>0</v>
      </c>
      <c r="AH121">
        <f>IF(AH105="","",COUNTIFS(Summary!$E$5:$E$241,AH105,Summary!$A$5:$A$241,"&gt;="&amp;$A121,Summary!$A$5:$A$241,"&lt;"&amp;$A121+7))</f>
        <v>0</v>
      </c>
      <c r="AI121">
        <f>IF(AI105="","",COUNTIFS(Summary!$E$5:$E$241,AI105,Summary!$A$5:$A$241,"&gt;="&amp;$A121,Summary!$A$5:$A$241,"&lt;"&amp;$A121+7))</f>
        <v>0</v>
      </c>
      <c r="AJ121">
        <f>IF(AJ105="","",COUNTIFS(Summary!$E$5:$E$241,AJ105,Summary!$A$5:$A$241,"&gt;="&amp;$A121,Summary!$A$5:$A$241,"&lt;"&amp;$A121+7))</f>
        <v>0</v>
      </c>
      <c r="AK121">
        <f>IF(AK105="","",COUNTIFS(Summary!$E$5:$E$241,AK105,Summary!$A$5:$A$241,"&gt;="&amp;$A121,Summary!$A$5:$A$241,"&lt;"&amp;$A121+7))</f>
        <v>0</v>
      </c>
      <c r="AL121">
        <f>IF(AL105="","",COUNTIFS(Summary!$E$5:$E$241,AL105,Summary!$A$5:$A$241,"&gt;="&amp;$A121,Summary!$A$5:$A$241,"&lt;"&amp;$A121+7))</f>
        <v>0</v>
      </c>
      <c r="AM121">
        <f>IF(AM105="","",COUNTIFS(Summary!$E$5:$E$241,AM105,Summary!$A$5:$A$241,"&gt;="&amp;$A121,Summary!$A$5:$A$241,"&lt;"&amp;$A121+7))</f>
        <v>0</v>
      </c>
      <c r="AN121">
        <f>IF(AN105="","",COUNTIFS(Summary!$E$5:$E$241,AN105,Summary!$A$5:$A$241,"&gt;="&amp;$A121,Summary!$A$5:$A$241,"&lt;"&amp;$A121+7))</f>
        <v>0</v>
      </c>
      <c r="AO121">
        <f>IF(AO105="","",COUNTIFS(Summary!$E$5:$E$241,AO105,Summary!$A$5:$A$241,"&gt;="&amp;$A121,Summary!$A$5:$A$241,"&lt;"&amp;$A121+7))</f>
        <v>0</v>
      </c>
      <c r="AP121">
        <f>IF(AP105="","",COUNTIFS(Summary!$E$5:$E$241,AP105,Summary!$A$5:$A$241,"&gt;="&amp;$A121,Summary!$A$5:$A$241,"&lt;"&amp;$A121+7))</f>
        <v>0</v>
      </c>
      <c r="AQ121">
        <f>IF(AQ105="","",COUNTIFS(Summary!$E$5:$E$241,AQ105,Summary!$A$5:$A$241,"&gt;="&amp;$A121,Summary!$A$5:$A$241,"&lt;"&amp;$A121+7))</f>
        <v>0</v>
      </c>
      <c r="AR121">
        <f>IF(AR105="","",COUNTIFS(Summary!$E$5:$E$241,AR105,Summary!$A$5:$A$241,"&gt;="&amp;$A121,Summary!$A$5:$A$241,"&lt;"&amp;$A121+7))</f>
        <v>0</v>
      </c>
      <c r="AS121">
        <f>IF(AS105="","",COUNTIFS(Summary!$E$5:$E$241,AS105,Summary!$A$5:$A$241,"&gt;="&amp;$A121,Summary!$A$5:$A$241,"&lt;"&amp;$A121+7))</f>
        <v>0</v>
      </c>
      <c r="AT121">
        <f>IF(AT105="","",COUNTIFS(Summary!$E$5:$E$241,AT105,Summary!$A$5:$A$241,"&gt;="&amp;$A121,Summary!$A$5:$A$241,"&lt;"&amp;$A121+7))</f>
        <v>0</v>
      </c>
      <c r="AU121">
        <f>IF(AU105="","",COUNTIFS(Summary!$E$5:$E$241,AU105,Summary!$A$5:$A$241,"&gt;="&amp;$A121,Summary!$A$5:$A$241,"&lt;"&amp;$A121+7))</f>
        <v>0</v>
      </c>
      <c r="AV121">
        <f>IF(AV105="","",COUNTIFS(Summary!$E$5:$E$241,AV105,Summary!$A$5:$A$241,"&gt;="&amp;$A121,Summary!$A$5:$A$241,"&lt;"&amp;$A121+7))</f>
        <v>0</v>
      </c>
      <c r="AW121">
        <f>IF(AW105="","",COUNTIFS(Summary!$E$5:$E$241,AW105,Summary!$A$5:$A$241,"&gt;="&amp;$A121,Summary!$A$5:$A$241,"&lt;"&amp;$A121+7))</f>
        <v>0</v>
      </c>
      <c r="AX121">
        <f>IF(AX105="","",COUNTIFS(Summary!$E$5:$E$241,AX105,Summary!$A$5:$A$241,"&gt;="&amp;$A121,Summary!$A$5:$A$241,"&lt;"&amp;$A121+7))</f>
        <v>0</v>
      </c>
      <c r="AY121">
        <f>IF(AY105="","",COUNTIFS(Summary!$E$5:$E$241,AY105,Summary!$A$5:$A$241,"&gt;="&amp;$A121,Summary!$A$5:$A$241,"&lt;"&amp;$A121+7))</f>
        <v>0</v>
      </c>
      <c r="AZ121">
        <f>IF(AZ105="","",COUNTIFS(Summary!$E$5:$E$241,AZ105,Summary!$A$5:$A$241,"&gt;="&amp;$A121,Summary!$A$5:$A$241,"&lt;"&amp;$A121+7))</f>
        <v>0</v>
      </c>
      <c r="BA121">
        <f>IF(BA105="","",COUNTIFS(Summary!$E$5:$E$241,BA105,Summary!$A$5:$A$241,"&gt;="&amp;$A121,Summary!$A$5:$A$241,"&lt;"&amp;$A121+7))</f>
        <v>0</v>
      </c>
      <c r="BB121">
        <f>IF(BB105="","",COUNTIFS(Summary!$E$5:$E$241,BB105,Summary!$A$5:$A$241,"&gt;="&amp;$A121,Summary!$A$5:$A$241,"&lt;"&amp;$A121+7))</f>
        <v>0</v>
      </c>
      <c r="BC121">
        <f>IF(BC105="","",COUNTIFS(Summary!$E$5:$E$241,BC105,Summary!$A$5:$A$241,"&gt;="&amp;$A121,Summary!$A$5:$A$241,"&lt;"&amp;$A121+7))</f>
        <v>0</v>
      </c>
      <c r="BD121">
        <f>IF(BD105="","",COUNTIFS(Summary!$E$5:$E$241,BD105,Summary!$A$5:$A$241,"&gt;="&amp;$A121,Summary!$A$5:$A$241,"&lt;"&amp;$A121+7))</f>
        <v>0</v>
      </c>
      <c r="BE121">
        <f>IF(BE105="","",COUNTIFS(Summary!$E$5:$E$241,BE105,Summary!$A$5:$A$241,"&gt;="&amp;$A121,Summary!$A$5:$A$241,"&lt;"&amp;$A121+7))</f>
        <v>0</v>
      </c>
      <c r="BF121" s="28">
        <f>IF(BF105="","",COUNTIFS(Summary!$E$5:$E$241,BF105,Summary!$A$5:$A$241,"&gt;="&amp;$A121,Summary!$A$5:$A$241,"&lt;"&amp;$A121+7))</f>
        <v>0</v>
      </c>
    </row>
    <row r="122" spans="1:58">
      <c r="A122" s="18">
        <f t="shared" si="9"/>
        <v>46202.344340277778</v>
      </c>
      <c r="B122" s="2" t="str">
        <f t="shared" si="8"/>
        <v>Jun 29</v>
      </c>
      <c r="C122">
        <f>IF(C105="","",COUNTIFS(Summary!$E$5:$E$241,C105,Summary!$A$5:$A$241,"&gt;="&amp;$A122,Summary!$A$5:$A$241,"&lt;"&amp;$A122+7))</f>
        <v>0</v>
      </c>
      <c r="D122">
        <f>IF(D105="","",COUNTIFS(Summary!$E$5:$E$241,D105,Summary!$A$5:$A$241,"&gt;="&amp;$A122,Summary!$A$5:$A$241,"&lt;"&amp;$A122+7))</f>
        <v>0</v>
      </c>
      <c r="E122">
        <f>IF(E105="","",COUNTIFS(Summary!$E$5:$E$241,E105,Summary!$A$5:$A$241,"&gt;="&amp;$A122,Summary!$A$5:$A$241,"&lt;"&amp;$A122+7))</f>
        <v>0</v>
      </c>
      <c r="F122">
        <f>IF(F105="","",COUNTIFS(Summary!$E$5:$E$241,F105,Summary!$A$5:$A$241,"&gt;="&amp;$A122,Summary!$A$5:$A$241,"&lt;"&amp;$A122+7))</f>
        <v>1</v>
      </c>
      <c r="G122">
        <f>IF(G105="","",COUNTIFS(Summary!$E$5:$E$241,G105,Summary!$A$5:$A$241,"&gt;="&amp;$A122,Summary!$A$5:$A$241,"&lt;"&amp;$A122+7))</f>
        <v>1</v>
      </c>
      <c r="H122">
        <f>IF(H105="","",COUNTIFS(Summary!$E$5:$E$241,H105,Summary!$A$5:$A$241,"&gt;="&amp;$A122,Summary!$A$5:$A$241,"&lt;"&amp;$A122+7))</f>
        <v>3</v>
      </c>
      <c r="I122">
        <f>IF(I105="","",COUNTIFS(Summary!$E$5:$E$241,I105,Summary!$A$5:$A$241,"&gt;="&amp;$A122,Summary!$A$5:$A$241,"&lt;"&amp;$A122+7))</f>
        <v>0</v>
      </c>
      <c r="J122">
        <f>IF(J105="","",COUNTIFS(Summary!$E$5:$E$241,J105,Summary!$A$5:$A$241,"&gt;="&amp;$A122,Summary!$A$5:$A$241,"&lt;"&amp;$A122+7))</f>
        <v>0</v>
      </c>
      <c r="K122">
        <f>IF(K105="","",COUNTIFS(Summary!$E$5:$E$241,K105,Summary!$A$5:$A$241,"&gt;="&amp;$A122,Summary!$A$5:$A$241,"&lt;"&amp;$A122+7))</f>
        <v>1</v>
      </c>
      <c r="L122">
        <f>IF(L105="","",COUNTIFS(Summary!$E$5:$E$241,L105,Summary!$A$5:$A$241,"&gt;="&amp;$A122,Summary!$A$5:$A$241,"&lt;"&amp;$A122+7))</f>
        <v>1</v>
      </c>
      <c r="M122">
        <f>IF(M105="","",COUNTIFS(Summary!$E$5:$E$241,M105,Summary!$A$5:$A$241,"&gt;="&amp;$A122,Summary!$A$5:$A$241,"&lt;"&amp;$A122+7))</f>
        <v>1</v>
      </c>
      <c r="N122">
        <f>IF(N105="","",COUNTIFS(Summary!$E$5:$E$241,N105,Summary!$A$5:$A$241,"&gt;="&amp;$A122,Summary!$A$5:$A$241,"&lt;"&amp;$A122+7))</f>
        <v>0</v>
      </c>
      <c r="O122">
        <f>IF(O105="","",COUNTIFS(Summary!$E$5:$E$241,O105,Summary!$A$5:$A$241,"&gt;="&amp;$A122,Summary!$A$5:$A$241,"&lt;"&amp;$A122+7))</f>
        <v>0</v>
      </c>
      <c r="P122">
        <f>IF(P105="","",COUNTIFS(Summary!$E$5:$E$241,P105,Summary!$A$5:$A$241,"&gt;="&amp;$A122,Summary!$A$5:$A$241,"&lt;"&amp;$A122+7))</f>
        <v>0</v>
      </c>
      <c r="Q122">
        <f>IF(Q105="","",COUNTIFS(Summary!$E$5:$E$241,Q105,Summary!$A$5:$A$241,"&gt;="&amp;$A122,Summary!$A$5:$A$241,"&lt;"&amp;$A122+7))</f>
        <v>1</v>
      </c>
      <c r="R122">
        <f>IF(R105="","",COUNTIFS(Summary!$E$5:$E$241,R105,Summary!$A$5:$A$241,"&gt;="&amp;$A122,Summary!$A$5:$A$241,"&lt;"&amp;$A122+7))</f>
        <v>0</v>
      </c>
      <c r="S122">
        <f>IF(S105="","",COUNTIFS(Summary!$E$5:$E$241,S105,Summary!$A$5:$A$241,"&gt;="&amp;$A122,Summary!$A$5:$A$241,"&lt;"&amp;$A122+7))</f>
        <v>0</v>
      </c>
      <c r="T122">
        <f>IF(T105="","",COUNTIFS(Summary!$E$5:$E$241,T105,Summary!$A$5:$A$241,"&gt;="&amp;$A122,Summary!$A$5:$A$241,"&lt;"&amp;$A122+7))</f>
        <v>0</v>
      </c>
      <c r="U122">
        <f>IF(U105="","",COUNTIFS(Summary!$E$5:$E$241,U105,Summary!$A$5:$A$241,"&gt;="&amp;$A122,Summary!$A$5:$A$241,"&lt;"&amp;$A122+7))</f>
        <v>0</v>
      </c>
      <c r="V122">
        <f>IF(V105="","",COUNTIFS(Summary!$E$5:$E$241,V105,Summary!$A$5:$A$241,"&gt;="&amp;$A122,Summary!$A$5:$A$241,"&lt;"&amp;$A122+7))</f>
        <v>0</v>
      </c>
      <c r="W122">
        <f>IF(W105="","",COUNTIFS(Summary!$E$5:$E$241,W105,Summary!$A$5:$A$241,"&gt;="&amp;$A122,Summary!$A$5:$A$241,"&lt;"&amp;$A122+7))</f>
        <v>0</v>
      </c>
      <c r="X122">
        <f>IF(X105="","",COUNTIFS(Summary!$E$5:$E$241,X105,Summary!$A$5:$A$241,"&gt;="&amp;$A122,Summary!$A$5:$A$241,"&lt;"&amp;$A122+7))</f>
        <v>0</v>
      </c>
      <c r="Y122">
        <f>IF(Y105="","",COUNTIFS(Summary!$E$5:$E$241,Y105,Summary!$A$5:$A$241,"&gt;="&amp;$A122,Summary!$A$5:$A$241,"&lt;"&amp;$A122+7))</f>
        <v>0</v>
      </c>
      <c r="Z122">
        <f>IF(Z105="","",COUNTIFS(Summary!$E$5:$E$241,Z105,Summary!$A$5:$A$241,"&gt;="&amp;$A122,Summary!$A$5:$A$241,"&lt;"&amp;$A122+7))</f>
        <v>3</v>
      </c>
      <c r="AA122">
        <f>IF(AA105="","",COUNTIFS(Summary!$E$5:$E$241,AA105,Summary!$A$5:$A$241,"&gt;="&amp;$A122,Summary!$A$5:$A$241,"&lt;"&amp;$A122+7))</f>
        <v>0</v>
      </c>
      <c r="AB122">
        <f>IF(AB105="","",COUNTIFS(Summary!$E$5:$E$241,AB105,Summary!$A$5:$A$241,"&gt;="&amp;$A122,Summary!$A$5:$A$241,"&lt;"&amp;$A122+7))</f>
        <v>0</v>
      </c>
      <c r="AC122">
        <f>IF(AC105="","",COUNTIFS(Summary!$E$5:$E$241,AC105,Summary!$A$5:$A$241,"&gt;="&amp;$A122,Summary!$A$5:$A$241,"&lt;"&amp;$A122+7))</f>
        <v>0</v>
      </c>
      <c r="AD122">
        <f>IF(AD105="","",COUNTIFS(Summary!$E$5:$E$241,AD105,Summary!$A$5:$A$241,"&gt;="&amp;$A122,Summary!$A$5:$A$241,"&lt;"&amp;$A122+7))</f>
        <v>0</v>
      </c>
      <c r="AE122">
        <f>IF(AE105="","",COUNTIFS(Summary!$E$5:$E$241,AE105,Summary!$A$5:$A$241,"&gt;="&amp;$A122,Summary!$A$5:$A$241,"&lt;"&amp;$A122+7))</f>
        <v>0</v>
      </c>
      <c r="AF122">
        <f>IF(AF105="","",COUNTIFS(Summary!$E$5:$E$241,AF105,Summary!$A$5:$A$241,"&gt;="&amp;$A122,Summary!$A$5:$A$241,"&lt;"&amp;$A122+7))</f>
        <v>0</v>
      </c>
      <c r="AG122">
        <f>IF(AG105="","",COUNTIFS(Summary!$E$5:$E$241,AG105,Summary!$A$5:$A$241,"&gt;="&amp;$A122,Summary!$A$5:$A$241,"&lt;"&amp;$A122+7))</f>
        <v>0</v>
      </c>
      <c r="AH122">
        <f>IF(AH105="","",COUNTIFS(Summary!$E$5:$E$241,AH105,Summary!$A$5:$A$241,"&gt;="&amp;$A122,Summary!$A$5:$A$241,"&lt;"&amp;$A122+7))</f>
        <v>0</v>
      </c>
      <c r="AI122">
        <f>IF(AI105="","",COUNTIFS(Summary!$E$5:$E$241,AI105,Summary!$A$5:$A$241,"&gt;="&amp;$A122,Summary!$A$5:$A$241,"&lt;"&amp;$A122+7))</f>
        <v>0</v>
      </c>
      <c r="AJ122">
        <f>IF(AJ105="","",COUNTIFS(Summary!$E$5:$E$241,AJ105,Summary!$A$5:$A$241,"&gt;="&amp;$A122,Summary!$A$5:$A$241,"&lt;"&amp;$A122+7))</f>
        <v>0</v>
      </c>
      <c r="AK122">
        <f>IF(AK105="","",COUNTIFS(Summary!$E$5:$E$241,AK105,Summary!$A$5:$A$241,"&gt;="&amp;$A122,Summary!$A$5:$A$241,"&lt;"&amp;$A122+7))</f>
        <v>0</v>
      </c>
      <c r="AL122">
        <f>IF(AL105="","",COUNTIFS(Summary!$E$5:$E$241,AL105,Summary!$A$5:$A$241,"&gt;="&amp;$A122,Summary!$A$5:$A$241,"&lt;"&amp;$A122+7))</f>
        <v>0</v>
      </c>
      <c r="AM122">
        <f>IF(AM105="","",COUNTIFS(Summary!$E$5:$E$241,AM105,Summary!$A$5:$A$241,"&gt;="&amp;$A122,Summary!$A$5:$A$241,"&lt;"&amp;$A122+7))</f>
        <v>0</v>
      </c>
      <c r="AN122">
        <f>IF(AN105="","",COUNTIFS(Summary!$E$5:$E$241,AN105,Summary!$A$5:$A$241,"&gt;="&amp;$A122,Summary!$A$5:$A$241,"&lt;"&amp;$A122+7))</f>
        <v>0</v>
      </c>
      <c r="AO122">
        <f>IF(AO105="","",COUNTIFS(Summary!$E$5:$E$241,AO105,Summary!$A$5:$A$241,"&gt;="&amp;$A122,Summary!$A$5:$A$241,"&lt;"&amp;$A122+7))</f>
        <v>0</v>
      </c>
      <c r="AP122">
        <f>IF(AP105="","",COUNTIFS(Summary!$E$5:$E$241,AP105,Summary!$A$5:$A$241,"&gt;="&amp;$A122,Summary!$A$5:$A$241,"&lt;"&amp;$A122+7))</f>
        <v>0</v>
      </c>
      <c r="AQ122">
        <f>IF(AQ105="","",COUNTIFS(Summary!$E$5:$E$241,AQ105,Summary!$A$5:$A$241,"&gt;="&amp;$A122,Summary!$A$5:$A$241,"&lt;"&amp;$A122+7))</f>
        <v>0</v>
      </c>
      <c r="AR122">
        <f>IF(AR105="","",COUNTIFS(Summary!$E$5:$E$241,AR105,Summary!$A$5:$A$241,"&gt;="&amp;$A122,Summary!$A$5:$A$241,"&lt;"&amp;$A122+7))</f>
        <v>0</v>
      </c>
      <c r="AS122">
        <f>IF(AS105="","",COUNTIFS(Summary!$E$5:$E$241,AS105,Summary!$A$5:$A$241,"&gt;="&amp;$A122,Summary!$A$5:$A$241,"&lt;"&amp;$A122+7))</f>
        <v>0</v>
      </c>
      <c r="AT122">
        <f>IF(AT105="","",COUNTIFS(Summary!$E$5:$E$241,AT105,Summary!$A$5:$A$241,"&gt;="&amp;$A122,Summary!$A$5:$A$241,"&lt;"&amp;$A122+7))</f>
        <v>0</v>
      </c>
      <c r="AU122">
        <f>IF(AU105="","",COUNTIFS(Summary!$E$5:$E$241,AU105,Summary!$A$5:$A$241,"&gt;="&amp;$A122,Summary!$A$5:$A$241,"&lt;"&amp;$A122+7))</f>
        <v>0</v>
      </c>
      <c r="AV122">
        <f>IF(AV105="","",COUNTIFS(Summary!$E$5:$E$241,AV105,Summary!$A$5:$A$241,"&gt;="&amp;$A122,Summary!$A$5:$A$241,"&lt;"&amp;$A122+7))</f>
        <v>0</v>
      </c>
      <c r="AW122">
        <f>IF(AW105="","",COUNTIFS(Summary!$E$5:$E$241,AW105,Summary!$A$5:$A$241,"&gt;="&amp;$A122,Summary!$A$5:$A$241,"&lt;"&amp;$A122+7))</f>
        <v>0</v>
      </c>
      <c r="AX122">
        <f>IF(AX105="","",COUNTIFS(Summary!$E$5:$E$241,AX105,Summary!$A$5:$A$241,"&gt;="&amp;$A122,Summary!$A$5:$A$241,"&lt;"&amp;$A122+7))</f>
        <v>0</v>
      </c>
      <c r="AY122">
        <f>IF(AY105="","",COUNTIFS(Summary!$E$5:$E$241,AY105,Summary!$A$5:$A$241,"&gt;="&amp;$A122,Summary!$A$5:$A$241,"&lt;"&amp;$A122+7))</f>
        <v>0</v>
      </c>
      <c r="AZ122">
        <f>IF(AZ105="","",COUNTIFS(Summary!$E$5:$E$241,AZ105,Summary!$A$5:$A$241,"&gt;="&amp;$A122,Summary!$A$5:$A$241,"&lt;"&amp;$A122+7))</f>
        <v>0</v>
      </c>
      <c r="BA122">
        <f>IF(BA105="","",COUNTIFS(Summary!$E$5:$E$241,BA105,Summary!$A$5:$A$241,"&gt;="&amp;$A122,Summary!$A$5:$A$241,"&lt;"&amp;$A122+7))</f>
        <v>0</v>
      </c>
      <c r="BB122">
        <f>IF(BB105="","",COUNTIFS(Summary!$E$5:$E$241,BB105,Summary!$A$5:$A$241,"&gt;="&amp;$A122,Summary!$A$5:$A$241,"&lt;"&amp;$A122+7))</f>
        <v>0</v>
      </c>
      <c r="BC122">
        <f>IF(BC105="","",COUNTIFS(Summary!$E$5:$E$241,BC105,Summary!$A$5:$A$241,"&gt;="&amp;$A122,Summary!$A$5:$A$241,"&lt;"&amp;$A122+7))</f>
        <v>0</v>
      </c>
      <c r="BD122">
        <f>IF(BD105="","",COUNTIFS(Summary!$E$5:$E$241,BD105,Summary!$A$5:$A$241,"&gt;="&amp;$A122,Summary!$A$5:$A$241,"&lt;"&amp;$A122+7))</f>
        <v>0</v>
      </c>
      <c r="BE122">
        <f>IF(BE105="","",COUNTIFS(Summary!$E$5:$E$241,BE105,Summary!$A$5:$A$241,"&gt;="&amp;$A122,Summary!$A$5:$A$241,"&lt;"&amp;$A122+7))</f>
        <v>0</v>
      </c>
      <c r="BF122" s="28">
        <f>IF(BF105="","",COUNTIFS(Summary!$E$5:$E$241,BF105,Summary!$A$5:$A$241,"&gt;="&amp;$A122,Summary!$A$5:$A$241,"&lt;"&amp;$A122+7))</f>
        <v>0</v>
      </c>
    </row>
    <row r="123" spans="1:58">
      <c r="A123" s="18">
        <f t="shared" si="9"/>
        <v>46209.344340277778</v>
      </c>
      <c r="B123" s="2" t="str">
        <f t="shared" si="8"/>
        <v>Jul 6</v>
      </c>
      <c r="C123">
        <f>IF(C105="","",COUNTIFS(Summary!$E$5:$E$241,C105,Summary!$A$5:$A$241,"&gt;="&amp;$A123,Summary!$A$5:$A$241,"&lt;"&amp;$A123+7))</f>
        <v>2</v>
      </c>
      <c r="D123">
        <f>IF(D105="","",COUNTIFS(Summary!$E$5:$E$241,D105,Summary!$A$5:$A$241,"&gt;="&amp;$A123,Summary!$A$5:$A$241,"&lt;"&amp;$A123+7))</f>
        <v>3</v>
      </c>
      <c r="E123">
        <f>IF(E105="","",COUNTIFS(Summary!$E$5:$E$241,E105,Summary!$A$5:$A$241,"&gt;="&amp;$A123,Summary!$A$5:$A$241,"&lt;"&amp;$A123+7))</f>
        <v>0</v>
      </c>
      <c r="F123">
        <f>IF(F105="","",COUNTIFS(Summary!$E$5:$E$241,F105,Summary!$A$5:$A$241,"&gt;="&amp;$A123,Summary!$A$5:$A$241,"&lt;"&amp;$A123+7))</f>
        <v>0</v>
      </c>
      <c r="G123">
        <f>IF(G105="","",COUNTIFS(Summary!$E$5:$E$241,G105,Summary!$A$5:$A$241,"&gt;="&amp;$A123,Summary!$A$5:$A$241,"&lt;"&amp;$A123+7))</f>
        <v>0</v>
      </c>
      <c r="H123">
        <f>IF(H105="","",COUNTIFS(Summary!$E$5:$E$241,H105,Summary!$A$5:$A$241,"&gt;="&amp;$A123,Summary!$A$5:$A$241,"&lt;"&amp;$A123+7))</f>
        <v>2</v>
      </c>
      <c r="I123">
        <f>IF(I105="","",COUNTIFS(Summary!$E$5:$E$241,I105,Summary!$A$5:$A$241,"&gt;="&amp;$A123,Summary!$A$5:$A$241,"&lt;"&amp;$A123+7))</f>
        <v>0</v>
      </c>
      <c r="J123">
        <f>IF(J105="","",COUNTIFS(Summary!$E$5:$E$241,J105,Summary!$A$5:$A$241,"&gt;="&amp;$A123,Summary!$A$5:$A$241,"&lt;"&amp;$A123+7))</f>
        <v>2</v>
      </c>
      <c r="K123">
        <f>IF(K105="","",COUNTIFS(Summary!$E$5:$E$241,K105,Summary!$A$5:$A$241,"&gt;="&amp;$A123,Summary!$A$5:$A$241,"&lt;"&amp;$A123+7))</f>
        <v>0</v>
      </c>
      <c r="L123">
        <f>IF(L105="","",COUNTIFS(Summary!$E$5:$E$241,L105,Summary!$A$5:$A$241,"&gt;="&amp;$A123,Summary!$A$5:$A$241,"&lt;"&amp;$A123+7))</f>
        <v>0</v>
      </c>
      <c r="M123">
        <f>IF(M105="","",COUNTIFS(Summary!$E$5:$E$241,M105,Summary!$A$5:$A$241,"&gt;="&amp;$A123,Summary!$A$5:$A$241,"&lt;"&amp;$A123+7))</f>
        <v>5</v>
      </c>
      <c r="N123">
        <f>IF(N105="","",COUNTIFS(Summary!$E$5:$E$241,N105,Summary!$A$5:$A$241,"&gt;="&amp;$A123,Summary!$A$5:$A$241,"&lt;"&amp;$A123+7))</f>
        <v>0</v>
      </c>
      <c r="O123">
        <f>IF(O105="","",COUNTIFS(Summary!$E$5:$E$241,O105,Summary!$A$5:$A$241,"&gt;="&amp;$A123,Summary!$A$5:$A$241,"&lt;"&amp;$A123+7))</f>
        <v>0</v>
      </c>
      <c r="P123">
        <f>IF(P105="","",COUNTIFS(Summary!$E$5:$E$241,P105,Summary!$A$5:$A$241,"&gt;="&amp;$A123,Summary!$A$5:$A$241,"&lt;"&amp;$A123+7))</f>
        <v>0</v>
      </c>
      <c r="Q123">
        <f>IF(Q105="","",COUNTIFS(Summary!$E$5:$E$241,Q105,Summary!$A$5:$A$241,"&gt;="&amp;$A123,Summary!$A$5:$A$241,"&lt;"&amp;$A123+7))</f>
        <v>1</v>
      </c>
      <c r="R123">
        <f>IF(R105="","",COUNTIFS(Summary!$E$5:$E$241,R105,Summary!$A$5:$A$241,"&gt;="&amp;$A123,Summary!$A$5:$A$241,"&lt;"&amp;$A123+7))</f>
        <v>0</v>
      </c>
      <c r="S123">
        <f>IF(S105="","",COUNTIFS(Summary!$E$5:$E$241,S105,Summary!$A$5:$A$241,"&gt;="&amp;$A123,Summary!$A$5:$A$241,"&lt;"&amp;$A123+7))</f>
        <v>2</v>
      </c>
      <c r="T123">
        <f>IF(T105="","",COUNTIFS(Summary!$E$5:$E$241,T105,Summary!$A$5:$A$241,"&gt;="&amp;$A123,Summary!$A$5:$A$241,"&lt;"&amp;$A123+7))</f>
        <v>0</v>
      </c>
      <c r="U123">
        <f>IF(U105="","",COUNTIFS(Summary!$E$5:$E$241,U105,Summary!$A$5:$A$241,"&gt;="&amp;$A123,Summary!$A$5:$A$241,"&lt;"&amp;$A123+7))</f>
        <v>0</v>
      </c>
      <c r="V123">
        <f>IF(V105="","",COUNTIFS(Summary!$E$5:$E$241,V105,Summary!$A$5:$A$241,"&gt;="&amp;$A123,Summary!$A$5:$A$241,"&lt;"&amp;$A123+7))</f>
        <v>0</v>
      </c>
      <c r="W123">
        <f>IF(W105="","",COUNTIFS(Summary!$E$5:$E$241,W105,Summary!$A$5:$A$241,"&gt;="&amp;$A123,Summary!$A$5:$A$241,"&lt;"&amp;$A123+7))</f>
        <v>0</v>
      </c>
      <c r="X123">
        <f>IF(X105="","",COUNTIFS(Summary!$E$5:$E$241,X105,Summary!$A$5:$A$241,"&gt;="&amp;$A123,Summary!$A$5:$A$241,"&lt;"&amp;$A123+7))</f>
        <v>0</v>
      </c>
      <c r="Y123">
        <f>IF(Y105="","",COUNTIFS(Summary!$E$5:$E$241,Y105,Summary!$A$5:$A$241,"&gt;="&amp;$A123,Summary!$A$5:$A$241,"&lt;"&amp;$A123+7))</f>
        <v>0</v>
      </c>
      <c r="Z123">
        <f>IF(Z105="","",COUNTIFS(Summary!$E$5:$E$241,Z105,Summary!$A$5:$A$241,"&gt;="&amp;$A123,Summary!$A$5:$A$241,"&lt;"&amp;$A123+7))</f>
        <v>1</v>
      </c>
      <c r="AA123">
        <f>IF(AA105="","",COUNTIFS(Summary!$E$5:$E$241,AA105,Summary!$A$5:$A$241,"&gt;="&amp;$A123,Summary!$A$5:$A$241,"&lt;"&amp;$A123+7))</f>
        <v>0</v>
      </c>
      <c r="AB123">
        <f>IF(AB105="","",COUNTIFS(Summary!$E$5:$E$241,AB105,Summary!$A$5:$A$241,"&gt;="&amp;$A123,Summary!$A$5:$A$241,"&lt;"&amp;$A123+7))</f>
        <v>1</v>
      </c>
      <c r="AC123">
        <f>IF(AC105="","",COUNTIFS(Summary!$E$5:$E$241,AC105,Summary!$A$5:$A$241,"&gt;="&amp;$A123,Summary!$A$5:$A$241,"&lt;"&amp;$A123+7))</f>
        <v>0</v>
      </c>
      <c r="AD123">
        <f>IF(AD105="","",COUNTIFS(Summary!$E$5:$E$241,AD105,Summary!$A$5:$A$241,"&gt;="&amp;$A123,Summary!$A$5:$A$241,"&lt;"&amp;$A123+7))</f>
        <v>0</v>
      </c>
      <c r="AE123">
        <f>IF(AE105="","",COUNTIFS(Summary!$E$5:$E$241,AE105,Summary!$A$5:$A$241,"&gt;="&amp;$A123,Summary!$A$5:$A$241,"&lt;"&amp;$A123+7))</f>
        <v>0</v>
      </c>
      <c r="AF123">
        <f>IF(AF105="","",COUNTIFS(Summary!$E$5:$E$241,AF105,Summary!$A$5:$A$241,"&gt;="&amp;$A123,Summary!$A$5:$A$241,"&lt;"&amp;$A123+7))</f>
        <v>0</v>
      </c>
      <c r="AG123">
        <f>IF(AG105="","",COUNTIFS(Summary!$E$5:$E$241,AG105,Summary!$A$5:$A$241,"&gt;="&amp;$A123,Summary!$A$5:$A$241,"&lt;"&amp;$A123+7))</f>
        <v>0</v>
      </c>
      <c r="AH123">
        <f>IF(AH105="","",COUNTIFS(Summary!$E$5:$E$241,AH105,Summary!$A$5:$A$241,"&gt;="&amp;$A123,Summary!$A$5:$A$241,"&lt;"&amp;$A123+7))</f>
        <v>0</v>
      </c>
      <c r="AI123">
        <f>IF(AI105="","",COUNTIFS(Summary!$E$5:$E$241,AI105,Summary!$A$5:$A$241,"&gt;="&amp;$A123,Summary!$A$5:$A$241,"&lt;"&amp;$A123+7))</f>
        <v>0</v>
      </c>
      <c r="AJ123">
        <f>IF(AJ105="","",COUNTIFS(Summary!$E$5:$E$241,AJ105,Summary!$A$5:$A$241,"&gt;="&amp;$A123,Summary!$A$5:$A$241,"&lt;"&amp;$A123+7))</f>
        <v>0</v>
      </c>
      <c r="AK123">
        <f>IF(AK105="","",COUNTIFS(Summary!$E$5:$E$241,AK105,Summary!$A$5:$A$241,"&gt;="&amp;$A123,Summary!$A$5:$A$241,"&lt;"&amp;$A123+7))</f>
        <v>0</v>
      </c>
      <c r="AL123">
        <f>IF(AL105="","",COUNTIFS(Summary!$E$5:$E$241,AL105,Summary!$A$5:$A$241,"&gt;="&amp;$A123,Summary!$A$5:$A$241,"&lt;"&amp;$A123+7))</f>
        <v>0</v>
      </c>
      <c r="AM123">
        <f>IF(AM105="","",COUNTIFS(Summary!$E$5:$E$241,AM105,Summary!$A$5:$A$241,"&gt;="&amp;$A123,Summary!$A$5:$A$241,"&lt;"&amp;$A123+7))</f>
        <v>0</v>
      </c>
      <c r="AN123">
        <f>IF(AN105="","",COUNTIFS(Summary!$E$5:$E$241,AN105,Summary!$A$5:$A$241,"&gt;="&amp;$A123,Summary!$A$5:$A$241,"&lt;"&amp;$A123+7))</f>
        <v>0</v>
      </c>
      <c r="AO123">
        <f>IF(AO105="","",COUNTIFS(Summary!$E$5:$E$241,AO105,Summary!$A$5:$A$241,"&gt;="&amp;$A123,Summary!$A$5:$A$241,"&lt;"&amp;$A123+7))</f>
        <v>0</v>
      </c>
      <c r="AP123">
        <f>IF(AP105="","",COUNTIFS(Summary!$E$5:$E$241,AP105,Summary!$A$5:$A$241,"&gt;="&amp;$A123,Summary!$A$5:$A$241,"&lt;"&amp;$A123+7))</f>
        <v>0</v>
      </c>
      <c r="AQ123">
        <f>IF(AQ105="","",COUNTIFS(Summary!$E$5:$E$241,AQ105,Summary!$A$5:$A$241,"&gt;="&amp;$A123,Summary!$A$5:$A$241,"&lt;"&amp;$A123+7))</f>
        <v>0</v>
      </c>
      <c r="AR123">
        <f>IF(AR105="","",COUNTIFS(Summary!$E$5:$E$241,AR105,Summary!$A$5:$A$241,"&gt;="&amp;$A123,Summary!$A$5:$A$241,"&lt;"&amp;$A123+7))</f>
        <v>0</v>
      </c>
      <c r="AS123">
        <f>IF(AS105="","",COUNTIFS(Summary!$E$5:$E$241,AS105,Summary!$A$5:$A$241,"&gt;="&amp;$A123,Summary!$A$5:$A$241,"&lt;"&amp;$A123+7))</f>
        <v>0</v>
      </c>
      <c r="AT123">
        <f>IF(AT105="","",COUNTIFS(Summary!$E$5:$E$241,AT105,Summary!$A$5:$A$241,"&gt;="&amp;$A123,Summary!$A$5:$A$241,"&lt;"&amp;$A123+7))</f>
        <v>0</v>
      </c>
      <c r="AU123">
        <f>IF(AU105="","",COUNTIFS(Summary!$E$5:$E$241,AU105,Summary!$A$5:$A$241,"&gt;="&amp;$A123,Summary!$A$5:$A$241,"&lt;"&amp;$A123+7))</f>
        <v>0</v>
      </c>
      <c r="AV123">
        <f>IF(AV105="","",COUNTIFS(Summary!$E$5:$E$241,AV105,Summary!$A$5:$A$241,"&gt;="&amp;$A123,Summary!$A$5:$A$241,"&lt;"&amp;$A123+7))</f>
        <v>0</v>
      </c>
      <c r="AW123">
        <f>IF(AW105="","",COUNTIFS(Summary!$E$5:$E$241,AW105,Summary!$A$5:$A$241,"&gt;="&amp;$A123,Summary!$A$5:$A$241,"&lt;"&amp;$A123+7))</f>
        <v>0</v>
      </c>
      <c r="AX123">
        <f>IF(AX105="","",COUNTIFS(Summary!$E$5:$E$241,AX105,Summary!$A$5:$A$241,"&gt;="&amp;$A123,Summary!$A$5:$A$241,"&lt;"&amp;$A123+7))</f>
        <v>0</v>
      </c>
      <c r="AY123">
        <f>IF(AY105="","",COUNTIFS(Summary!$E$5:$E$241,AY105,Summary!$A$5:$A$241,"&gt;="&amp;$A123,Summary!$A$5:$A$241,"&lt;"&amp;$A123+7))</f>
        <v>0</v>
      </c>
      <c r="AZ123">
        <f>IF(AZ105="","",COUNTIFS(Summary!$E$5:$E$241,AZ105,Summary!$A$5:$A$241,"&gt;="&amp;$A123,Summary!$A$5:$A$241,"&lt;"&amp;$A123+7))</f>
        <v>0</v>
      </c>
      <c r="BA123">
        <f>IF(BA105="","",COUNTIFS(Summary!$E$5:$E$241,BA105,Summary!$A$5:$A$241,"&gt;="&amp;$A123,Summary!$A$5:$A$241,"&lt;"&amp;$A123+7))</f>
        <v>0</v>
      </c>
      <c r="BB123">
        <f>IF(BB105="","",COUNTIFS(Summary!$E$5:$E$241,BB105,Summary!$A$5:$A$241,"&gt;="&amp;$A123,Summary!$A$5:$A$241,"&lt;"&amp;$A123+7))</f>
        <v>0</v>
      </c>
      <c r="BC123">
        <f>IF(BC105="","",COUNTIFS(Summary!$E$5:$E$241,BC105,Summary!$A$5:$A$241,"&gt;="&amp;$A123,Summary!$A$5:$A$241,"&lt;"&amp;$A123+7))</f>
        <v>0</v>
      </c>
      <c r="BD123">
        <f>IF(BD105="","",COUNTIFS(Summary!$E$5:$E$241,BD105,Summary!$A$5:$A$241,"&gt;="&amp;$A123,Summary!$A$5:$A$241,"&lt;"&amp;$A123+7))</f>
        <v>0</v>
      </c>
      <c r="BE123">
        <f>IF(BE105="","",COUNTIFS(Summary!$E$5:$E$241,BE105,Summary!$A$5:$A$241,"&gt;="&amp;$A123,Summary!$A$5:$A$241,"&lt;"&amp;$A123+7))</f>
        <v>0</v>
      </c>
      <c r="BF123" s="28">
        <f>IF(BF105="","",COUNTIFS(Summary!$E$5:$E$241,BF105,Summary!$A$5:$A$241,"&gt;="&amp;$A123,Summary!$A$5:$A$241,"&lt;"&amp;$A123+7))</f>
        <v>0</v>
      </c>
    </row>
    <row r="124" spans="1:58">
      <c r="A124" s="18">
        <f t="shared" si="9"/>
        <v>46216.344340277778</v>
      </c>
      <c r="B124" s="2" t="str">
        <f t="shared" si="8"/>
        <v>Jul 13</v>
      </c>
      <c r="C124">
        <f>IF(C105="","",COUNTIFS(Summary!$E$5:$E$241,C105,Summary!$A$5:$A$241,"&gt;="&amp;$A124,Summary!$A$5:$A$241,"&lt;"&amp;$A124+7))</f>
        <v>0</v>
      </c>
      <c r="D124">
        <f>IF(D105="","",COUNTIFS(Summary!$E$5:$E$241,D105,Summary!$A$5:$A$241,"&gt;="&amp;$A124,Summary!$A$5:$A$241,"&lt;"&amp;$A124+7))</f>
        <v>0</v>
      </c>
      <c r="E124">
        <f>IF(E105="","",COUNTIFS(Summary!$E$5:$E$241,E105,Summary!$A$5:$A$241,"&gt;="&amp;$A124,Summary!$A$5:$A$241,"&lt;"&amp;$A124+7))</f>
        <v>0</v>
      </c>
      <c r="F124">
        <f>IF(F105="","",COUNTIFS(Summary!$E$5:$E$241,F105,Summary!$A$5:$A$241,"&gt;="&amp;$A124,Summary!$A$5:$A$241,"&lt;"&amp;$A124+7))</f>
        <v>0</v>
      </c>
      <c r="G124">
        <f>IF(G105="","",COUNTIFS(Summary!$E$5:$E$241,G105,Summary!$A$5:$A$241,"&gt;="&amp;$A124,Summary!$A$5:$A$241,"&lt;"&amp;$A124+7))</f>
        <v>0</v>
      </c>
      <c r="H124">
        <f>IF(H105="","",COUNTIFS(Summary!$E$5:$E$241,H105,Summary!$A$5:$A$241,"&gt;="&amp;$A124,Summary!$A$5:$A$241,"&lt;"&amp;$A124+7))</f>
        <v>0</v>
      </c>
      <c r="I124">
        <f>IF(I105="","",COUNTIFS(Summary!$E$5:$E$241,I105,Summary!$A$5:$A$241,"&gt;="&amp;$A124,Summary!$A$5:$A$241,"&lt;"&amp;$A124+7))</f>
        <v>1</v>
      </c>
      <c r="J124">
        <f>IF(J105="","",COUNTIFS(Summary!$E$5:$E$241,J105,Summary!$A$5:$A$241,"&gt;="&amp;$A124,Summary!$A$5:$A$241,"&lt;"&amp;$A124+7))</f>
        <v>0</v>
      </c>
      <c r="K124">
        <f>IF(K105="","",COUNTIFS(Summary!$E$5:$E$241,K105,Summary!$A$5:$A$241,"&gt;="&amp;$A124,Summary!$A$5:$A$241,"&lt;"&amp;$A124+7))</f>
        <v>0</v>
      </c>
      <c r="L124">
        <f>IF(L105="","",COUNTIFS(Summary!$E$5:$E$241,L105,Summary!$A$5:$A$241,"&gt;="&amp;$A124,Summary!$A$5:$A$241,"&lt;"&amp;$A124+7))</f>
        <v>0</v>
      </c>
      <c r="M124">
        <f>IF(M105="","",COUNTIFS(Summary!$E$5:$E$241,M105,Summary!$A$5:$A$241,"&gt;="&amp;$A124,Summary!$A$5:$A$241,"&lt;"&amp;$A124+7))</f>
        <v>1</v>
      </c>
      <c r="N124">
        <f>IF(N105="","",COUNTIFS(Summary!$E$5:$E$241,N105,Summary!$A$5:$A$241,"&gt;="&amp;$A124,Summary!$A$5:$A$241,"&lt;"&amp;$A124+7))</f>
        <v>0</v>
      </c>
      <c r="O124">
        <f>IF(O105="","",COUNTIFS(Summary!$E$5:$E$241,O105,Summary!$A$5:$A$241,"&gt;="&amp;$A124,Summary!$A$5:$A$241,"&lt;"&amp;$A124+7))</f>
        <v>0</v>
      </c>
      <c r="P124">
        <f>IF(P105="","",COUNTIFS(Summary!$E$5:$E$241,P105,Summary!$A$5:$A$241,"&gt;="&amp;$A124,Summary!$A$5:$A$241,"&lt;"&amp;$A124+7))</f>
        <v>0</v>
      </c>
      <c r="Q124">
        <f>IF(Q105="","",COUNTIFS(Summary!$E$5:$E$241,Q105,Summary!$A$5:$A$241,"&gt;="&amp;$A124,Summary!$A$5:$A$241,"&lt;"&amp;$A124+7))</f>
        <v>1</v>
      </c>
      <c r="R124">
        <f>IF(R105="","",COUNTIFS(Summary!$E$5:$E$241,R105,Summary!$A$5:$A$241,"&gt;="&amp;$A124,Summary!$A$5:$A$241,"&lt;"&amp;$A124+7))</f>
        <v>0</v>
      </c>
      <c r="S124">
        <f>IF(S105="","",COUNTIFS(Summary!$E$5:$E$241,S105,Summary!$A$5:$A$241,"&gt;="&amp;$A124,Summary!$A$5:$A$241,"&lt;"&amp;$A124+7))</f>
        <v>0</v>
      </c>
      <c r="T124">
        <f>IF(T105="","",COUNTIFS(Summary!$E$5:$E$241,T105,Summary!$A$5:$A$241,"&gt;="&amp;$A124,Summary!$A$5:$A$241,"&lt;"&amp;$A124+7))</f>
        <v>0</v>
      </c>
      <c r="U124">
        <f>IF(U105="","",COUNTIFS(Summary!$E$5:$E$241,U105,Summary!$A$5:$A$241,"&gt;="&amp;$A124,Summary!$A$5:$A$241,"&lt;"&amp;$A124+7))</f>
        <v>0</v>
      </c>
      <c r="V124">
        <f>IF(V105="","",COUNTIFS(Summary!$E$5:$E$241,V105,Summary!$A$5:$A$241,"&gt;="&amp;$A124,Summary!$A$5:$A$241,"&lt;"&amp;$A124+7))</f>
        <v>1</v>
      </c>
      <c r="W124">
        <f>IF(W105="","",COUNTIFS(Summary!$E$5:$E$241,W105,Summary!$A$5:$A$241,"&gt;="&amp;$A124,Summary!$A$5:$A$241,"&lt;"&amp;$A124+7))</f>
        <v>0</v>
      </c>
      <c r="X124">
        <f>IF(X105="","",COUNTIFS(Summary!$E$5:$E$241,X105,Summary!$A$5:$A$241,"&gt;="&amp;$A124,Summary!$A$5:$A$241,"&lt;"&amp;$A124+7))</f>
        <v>0</v>
      </c>
      <c r="Y124">
        <f>IF(Y105="","",COUNTIFS(Summary!$E$5:$E$241,Y105,Summary!$A$5:$A$241,"&gt;="&amp;$A124,Summary!$A$5:$A$241,"&lt;"&amp;$A124+7))</f>
        <v>1</v>
      </c>
      <c r="Z124">
        <f>IF(Z105="","",COUNTIFS(Summary!$E$5:$E$241,Z105,Summary!$A$5:$A$241,"&gt;="&amp;$A124,Summary!$A$5:$A$241,"&lt;"&amp;$A124+7))</f>
        <v>0</v>
      </c>
      <c r="AA124">
        <f>IF(AA105="","",COUNTIFS(Summary!$E$5:$E$241,AA105,Summary!$A$5:$A$241,"&gt;="&amp;$A124,Summary!$A$5:$A$241,"&lt;"&amp;$A124+7))</f>
        <v>0</v>
      </c>
      <c r="AB124">
        <f>IF(AB105="","",COUNTIFS(Summary!$E$5:$E$241,AB105,Summary!$A$5:$A$241,"&gt;="&amp;$A124,Summary!$A$5:$A$241,"&lt;"&amp;$A124+7))</f>
        <v>0</v>
      </c>
      <c r="AC124">
        <f>IF(AC105="","",COUNTIFS(Summary!$E$5:$E$241,AC105,Summary!$A$5:$A$241,"&gt;="&amp;$A124,Summary!$A$5:$A$241,"&lt;"&amp;$A124+7))</f>
        <v>0</v>
      </c>
      <c r="AD124">
        <f>IF(AD105="","",COUNTIFS(Summary!$E$5:$E$241,AD105,Summary!$A$5:$A$241,"&gt;="&amp;$A124,Summary!$A$5:$A$241,"&lt;"&amp;$A124+7))</f>
        <v>0</v>
      </c>
      <c r="AE124">
        <f>IF(AE105="","",COUNTIFS(Summary!$E$5:$E$241,AE105,Summary!$A$5:$A$241,"&gt;="&amp;$A124,Summary!$A$5:$A$241,"&lt;"&amp;$A124+7))</f>
        <v>0</v>
      </c>
      <c r="AF124">
        <f>IF(AF105="","",COUNTIFS(Summary!$E$5:$E$241,AF105,Summary!$A$5:$A$241,"&gt;="&amp;$A124,Summary!$A$5:$A$241,"&lt;"&amp;$A124+7))</f>
        <v>0</v>
      </c>
      <c r="AG124">
        <f>IF(AG105="","",COUNTIFS(Summary!$E$5:$E$241,AG105,Summary!$A$5:$A$241,"&gt;="&amp;$A124,Summary!$A$5:$A$241,"&lt;"&amp;$A124+7))</f>
        <v>0</v>
      </c>
      <c r="AH124">
        <f>IF(AH105="","",COUNTIFS(Summary!$E$5:$E$241,AH105,Summary!$A$5:$A$241,"&gt;="&amp;$A124,Summary!$A$5:$A$241,"&lt;"&amp;$A124+7))</f>
        <v>0</v>
      </c>
      <c r="AI124">
        <f>IF(AI105="","",COUNTIFS(Summary!$E$5:$E$241,AI105,Summary!$A$5:$A$241,"&gt;="&amp;$A124,Summary!$A$5:$A$241,"&lt;"&amp;$A124+7))</f>
        <v>0</v>
      </c>
      <c r="AJ124">
        <f>IF(AJ105="","",COUNTIFS(Summary!$E$5:$E$241,AJ105,Summary!$A$5:$A$241,"&gt;="&amp;$A124,Summary!$A$5:$A$241,"&lt;"&amp;$A124+7))</f>
        <v>0</v>
      </c>
      <c r="AK124">
        <f>IF(AK105="","",COUNTIFS(Summary!$E$5:$E$241,AK105,Summary!$A$5:$A$241,"&gt;="&amp;$A124,Summary!$A$5:$A$241,"&lt;"&amp;$A124+7))</f>
        <v>0</v>
      </c>
      <c r="AL124">
        <f>IF(AL105="","",COUNTIFS(Summary!$E$5:$E$241,AL105,Summary!$A$5:$A$241,"&gt;="&amp;$A124,Summary!$A$5:$A$241,"&lt;"&amp;$A124+7))</f>
        <v>0</v>
      </c>
      <c r="AM124">
        <f>IF(AM105="","",COUNTIFS(Summary!$E$5:$E$241,AM105,Summary!$A$5:$A$241,"&gt;="&amp;$A124,Summary!$A$5:$A$241,"&lt;"&amp;$A124+7))</f>
        <v>0</v>
      </c>
      <c r="AN124">
        <f>IF(AN105="","",COUNTIFS(Summary!$E$5:$E$241,AN105,Summary!$A$5:$A$241,"&gt;="&amp;$A124,Summary!$A$5:$A$241,"&lt;"&amp;$A124+7))</f>
        <v>0</v>
      </c>
      <c r="AO124">
        <f>IF(AO105="","",COUNTIFS(Summary!$E$5:$E$241,AO105,Summary!$A$5:$A$241,"&gt;="&amp;$A124,Summary!$A$5:$A$241,"&lt;"&amp;$A124+7))</f>
        <v>0</v>
      </c>
      <c r="AP124">
        <f>IF(AP105="","",COUNTIFS(Summary!$E$5:$E$241,AP105,Summary!$A$5:$A$241,"&gt;="&amp;$A124,Summary!$A$5:$A$241,"&lt;"&amp;$A124+7))</f>
        <v>0</v>
      </c>
      <c r="AQ124">
        <f>IF(AQ105="","",COUNTIFS(Summary!$E$5:$E$241,AQ105,Summary!$A$5:$A$241,"&gt;="&amp;$A124,Summary!$A$5:$A$241,"&lt;"&amp;$A124+7))</f>
        <v>0</v>
      </c>
      <c r="AR124">
        <f>IF(AR105="","",COUNTIFS(Summary!$E$5:$E$241,AR105,Summary!$A$5:$A$241,"&gt;="&amp;$A124,Summary!$A$5:$A$241,"&lt;"&amp;$A124+7))</f>
        <v>0</v>
      </c>
      <c r="AS124">
        <f>IF(AS105="","",COUNTIFS(Summary!$E$5:$E$241,AS105,Summary!$A$5:$A$241,"&gt;="&amp;$A124,Summary!$A$5:$A$241,"&lt;"&amp;$A124+7))</f>
        <v>0</v>
      </c>
      <c r="AT124">
        <f>IF(AT105="","",COUNTIFS(Summary!$E$5:$E$241,AT105,Summary!$A$5:$A$241,"&gt;="&amp;$A124,Summary!$A$5:$A$241,"&lt;"&amp;$A124+7))</f>
        <v>0</v>
      </c>
      <c r="AU124">
        <f>IF(AU105="","",COUNTIFS(Summary!$E$5:$E$241,AU105,Summary!$A$5:$A$241,"&gt;="&amp;$A124,Summary!$A$5:$A$241,"&lt;"&amp;$A124+7))</f>
        <v>0</v>
      </c>
      <c r="AV124">
        <f>IF(AV105="","",COUNTIFS(Summary!$E$5:$E$241,AV105,Summary!$A$5:$A$241,"&gt;="&amp;$A124,Summary!$A$5:$A$241,"&lt;"&amp;$A124+7))</f>
        <v>0</v>
      </c>
      <c r="AW124">
        <f>IF(AW105="","",COUNTIFS(Summary!$E$5:$E$241,AW105,Summary!$A$5:$A$241,"&gt;="&amp;$A124,Summary!$A$5:$A$241,"&lt;"&amp;$A124+7))</f>
        <v>0</v>
      </c>
      <c r="AX124">
        <f>IF(AX105="","",COUNTIFS(Summary!$E$5:$E$241,AX105,Summary!$A$5:$A$241,"&gt;="&amp;$A124,Summary!$A$5:$A$241,"&lt;"&amp;$A124+7))</f>
        <v>0</v>
      </c>
      <c r="AY124">
        <f>IF(AY105="","",COUNTIFS(Summary!$E$5:$E$241,AY105,Summary!$A$5:$A$241,"&gt;="&amp;$A124,Summary!$A$5:$A$241,"&lt;"&amp;$A124+7))</f>
        <v>0</v>
      </c>
      <c r="AZ124">
        <f>IF(AZ105="","",COUNTIFS(Summary!$E$5:$E$241,AZ105,Summary!$A$5:$A$241,"&gt;="&amp;$A124,Summary!$A$5:$A$241,"&lt;"&amp;$A124+7))</f>
        <v>0</v>
      </c>
      <c r="BA124">
        <f>IF(BA105="","",COUNTIFS(Summary!$E$5:$E$241,BA105,Summary!$A$5:$A$241,"&gt;="&amp;$A124,Summary!$A$5:$A$241,"&lt;"&amp;$A124+7))</f>
        <v>0</v>
      </c>
      <c r="BB124">
        <f>IF(BB105="","",COUNTIFS(Summary!$E$5:$E$241,BB105,Summary!$A$5:$A$241,"&gt;="&amp;$A124,Summary!$A$5:$A$241,"&lt;"&amp;$A124+7))</f>
        <v>0</v>
      </c>
      <c r="BC124">
        <f>IF(BC105="","",COUNTIFS(Summary!$E$5:$E$241,BC105,Summary!$A$5:$A$241,"&gt;="&amp;$A124,Summary!$A$5:$A$241,"&lt;"&amp;$A124+7))</f>
        <v>0</v>
      </c>
      <c r="BD124">
        <f>IF(BD105="","",COUNTIFS(Summary!$E$5:$E$241,BD105,Summary!$A$5:$A$241,"&gt;="&amp;$A124,Summary!$A$5:$A$241,"&lt;"&amp;$A124+7))</f>
        <v>0</v>
      </c>
      <c r="BE124">
        <f>IF(BE105="","",COUNTIFS(Summary!$E$5:$E$241,BE105,Summary!$A$5:$A$241,"&gt;="&amp;$A124,Summary!$A$5:$A$241,"&lt;"&amp;$A124+7))</f>
        <v>0</v>
      </c>
      <c r="BF124" s="28">
        <f>IF(BF105="","",COUNTIFS(Summary!$E$5:$E$241,BF105,Summary!$A$5:$A$241,"&gt;="&amp;$A124,Summary!$A$5:$A$241,"&lt;"&amp;$A124+7))</f>
        <v>0</v>
      </c>
    </row>
    <row r="125" spans="1:58">
      <c r="A125" s="18">
        <f t="shared" si="9"/>
        <v>46223.344340277778</v>
      </c>
      <c r="B125" s="2" t="str">
        <f t="shared" si="8"/>
        <v>Jul 20</v>
      </c>
      <c r="C125">
        <f>IF(C105="","",COUNTIFS(Summary!$E$5:$E$241,C105,Summary!$A$5:$A$241,"&gt;="&amp;$A125,Summary!$A$5:$A$241,"&lt;"&amp;$A125+7))</f>
        <v>0</v>
      </c>
      <c r="D125">
        <f>IF(D105="","",COUNTIFS(Summary!$E$5:$E$241,D105,Summary!$A$5:$A$241,"&gt;="&amp;$A125,Summary!$A$5:$A$241,"&lt;"&amp;$A125+7))</f>
        <v>0</v>
      </c>
      <c r="E125">
        <f>IF(E105="","",COUNTIFS(Summary!$E$5:$E$241,E105,Summary!$A$5:$A$241,"&gt;="&amp;$A125,Summary!$A$5:$A$241,"&lt;"&amp;$A125+7))</f>
        <v>0</v>
      </c>
      <c r="F125">
        <f>IF(F105="","",COUNTIFS(Summary!$E$5:$E$241,F105,Summary!$A$5:$A$241,"&gt;="&amp;$A125,Summary!$A$5:$A$241,"&lt;"&amp;$A125+7))</f>
        <v>0</v>
      </c>
      <c r="G125">
        <f>IF(G105="","",COUNTIFS(Summary!$E$5:$E$241,G105,Summary!$A$5:$A$241,"&gt;="&amp;$A125,Summary!$A$5:$A$241,"&lt;"&amp;$A125+7))</f>
        <v>0</v>
      </c>
      <c r="H125">
        <f>IF(H105="","",COUNTIFS(Summary!$E$5:$E$241,H105,Summary!$A$5:$A$241,"&gt;="&amp;$A125,Summary!$A$5:$A$241,"&lt;"&amp;$A125+7))</f>
        <v>0</v>
      </c>
      <c r="I125">
        <f>IF(I105="","",COUNTIFS(Summary!$E$5:$E$241,I105,Summary!$A$5:$A$241,"&gt;="&amp;$A125,Summary!$A$5:$A$241,"&lt;"&amp;$A125+7))</f>
        <v>0</v>
      </c>
      <c r="J125">
        <f>IF(J105="","",COUNTIFS(Summary!$E$5:$E$241,J105,Summary!$A$5:$A$241,"&gt;="&amp;$A125,Summary!$A$5:$A$241,"&lt;"&amp;$A125+7))</f>
        <v>0</v>
      </c>
      <c r="K125">
        <f>IF(K105="","",COUNTIFS(Summary!$E$5:$E$241,K105,Summary!$A$5:$A$241,"&gt;="&amp;$A125,Summary!$A$5:$A$241,"&lt;"&amp;$A125+7))</f>
        <v>0</v>
      </c>
      <c r="L125">
        <f>IF(L105="","",COUNTIFS(Summary!$E$5:$E$241,L105,Summary!$A$5:$A$241,"&gt;="&amp;$A125,Summary!$A$5:$A$241,"&lt;"&amp;$A125+7))</f>
        <v>0</v>
      </c>
      <c r="M125">
        <f>IF(M105="","",COUNTIFS(Summary!$E$5:$E$241,M105,Summary!$A$5:$A$241,"&gt;="&amp;$A125,Summary!$A$5:$A$241,"&lt;"&amp;$A125+7))</f>
        <v>0</v>
      </c>
      <c r="N125">
        <f>IF(N105="","",COUNTIFS(Summary!$E$5:$E$241,N105,Summary!$A$5:$A$241,"&gt;="&amp;$A125,Summary!$A$5:$A$241,"&lt;"&amp;$A125+7))</f>
        <v>0</v>
      </c>
      <c r="O125">
        <f>IF(O105="","",COUNTIFS(Summary!$E$5:$E$241,O105,Summary!$A$5:$A$241,"&gt;="&amp;$A125,Summary!$A$5:$A$241,"&lt;"&amp;$A125+7))</f>
        <v>0</v>
      </c>
      <c r="P125">
        <f>IF(P105="","",COUNTIFS(Summary!$E$5:$E$241,P105,Summary!$A$5:$A$241,"&gt;="&amp;$A125,Summary!$A$5:$A$241,"&lt;"&amp;$A125+7))</f>
        <v>0</v>
      </c>
      <c r="Q125">
        <f>IF(Q105="","",COUNTIFS(Summary!$E$5:$E$241,Q105,Summary!$A$5:$A$241,"&gt;="&amp;$A125,Summary!$A$5:$A$241,"&lt;"&amp;$A125+7))</f>
        <v>0</v>
      </c>
      <c r="R125">
        <f>IF(R105="","",COUNTIFS(Summary!$E$5:$E$241,R105,Summary!$A$5:$A$241,"&gt;="&amp;$A125,Summary!$A$5:$A$241,"&lt;"&amp;$A125+7))</f>
        <v>0</v>
      </c>
      <c r="S125">
        <f>IF(S105="","",COUNTIFS(Summary!$E$5:$E$241,S105,Summary!$A$5:$A$241,"&gt;="&amp;$A125,Summary!$A$5:$A$241,"&lt;"&amp;$A125+7))</f>
        <v>0</v>
      </c>
      <c r="T125">
        <f>IF(T105="","",COUNTIFS(Summary!$E$5:$E$241,T105,Summary!$A$5:$A$241,"&gt;="&amp;$A125,Summary!$A$5:$A$241,"&lt;"&amp;$A125+7))</f>
        <v>0</v>
      </c>
      <c r="U125">
        <f>IF(U105="","",COUNTIFS(Summary!$E$5:$E$241,U105,Summary!$A$5:$A$241,"&gt;="&amp;$A125,Summary!$A$5:$A$241,"&lt;"&amp;$A125+7))</f>
        <v>0</v>
      </c>
      <c r="V125">
        <f>IF(V105="","",COUNTIFS(Summary!$E$5:$E$241,V105,Summary!$A$5:$A$241,"&gt;="&amp;$A125,Summary!$A$5:$A$241,"&lt;"&amp;$A125+7))</f>
        <v>0</v>
      </c>
      <c r="W125">
        <f>IF(W105="","",COUNTIFS(Summary!$E$5:$E$241,W105,Summary!$A$5:$A$241,"&gt;="&amp;$A125,Summary!$A$5:$A$241,"&lt;"&amp;$A125+7))</f>
        <v>0</v>
      </c>
      <c r="X125">
        <f>IF(X105="","",COUNTIFS(Summary!$E$5:$E$241,X105,Summary!$A$5:$A$241,"&gt;="&amp;$A125,Summary!$A$5:$A$241,"&lt;"&amp;$A125+7))</f>
        <v>0</v>
      </c>
      <c r="Y125">
        <f>IF(Y105="","",COUNTIFS(Summary!$E$5:$E$241,Y105,Summary!$A$5:$A$241,"&gt;="&amp;$A125,Summary!$A$5:$A$241,"&lt;"&amp;$A125+7))</f>
        <v>0</v>
      </c>
      <c r="Z125">
        <f>IF(Z105="","",COUNTIFS(Summary!$E$5:$E$241,Z105,Summary!$A$5:$A$241,"&gt;="&amp;$A125,Summary!$A$5:$A$241,"&lt;"&amp;$A125+7))</f>
        <v>0</v>
      </c>
      <c r="AA125">
        <f>IF(AA105="","",COUNTIFS(Summary!$E$5:$E$241,AA105,Summary!$A$5:$A$241,"&gt;="&amp;$A125,Summary!$A$5:$A$241,"&lt;"&amp;$A125+7))</f>
        <v>0</v>
      </c>
      <c r="AB125">
        <f>IF(AB105="","",COUNTIFS(Summary!$E$5:$E$241,AB105,Summary!$A$5:$A$241,"&gt;="&amp;$A125,Summary!$A$5:$A$241,"&lt;"&amp;$A125+7))</f>
        <v>0</v>
      </c>
      <c r="AC125">
        <f>IF(AC105="","",COUNTIFS(Summary!$E$5:$E$241,AC105,Summary!$A$5:$A$241,"&gt;="&amp;$A125,Summary!$A$5:$A$241,"&lt;"&amp;$A125+7))</f>
        <v>0</v>
      </c>
      <c r="AD125">
        <f>IF(AD105="","",COUNTIFS(Summary!$E$5:$E$241,AD105,Summary!$A$5:$A$241,"&gt;="&amp;$A125,Summary!$A$5:$A$241,"&lt;"&amp;$A125+7))</f>
        <v>0</v>
      </c>
      <c r="AE125">
        <f>IF(AE105="","",COUNTIFS(Summary!$E$5:$E$241,AE105,Summary!$A$5:$A$241,"&gt;="&amp;$A125,Summary!$A$5:$A$241,"&lt;"&amp;$A125+7))</f>
        <v>0</v>
      </c>
      <c r="AF125">
        <f>IF(AF105="","",COUNTIFS(Summary!$E$5:$E$241,AF105,Summary!$A$5:$A$241,"&gt;="&amp;$A125,Summary!$A$5:$A$241,"&lt;"&amp;$A125+7))</f>
        <v>0</v>
      </c>
      <c r="AG125">
        <f>IF(AG105="","",COUNTIFS(Summary!$E$5:$E$241,AG105,Summary!$A$5:$A$241,"&gt;="&amp;$A125,Summary!$A$5:$A$241,"&lt;"&amp;$A125+7))</f>
        <v>0</v>
      </c>
      <c r="AH125">
        <f>IF(AH105="","",COUNTIFS(Summary!$E$5:$E$241,AH105,Summary!$A$5:$A$241,"&gt;="&amp;$A125,Summary!$A$5:$A$241,"&lt;"&amp;$A125+7))</f>
        <v>0</v>
      </c>
      <c r="AI125">
        <f>IF(AI105="","",COUNTIFS(Summary!$E$5:$E$241,AI105,Summary!$A$5:$A$241,"&gt;="&amp;$A125,Summary!$A$5:$A$241,"&lt;"&amp;$A125+7))</f>
        <v>0</v>
      </c>
      <c r="AJ125">
        <f>IF(AJ105="","",COUNTIFS(Summary!$E$5:$E$241,AJ105,Summary!$A$5:$A$241,"&gt;="&amp;$A125,Summary!$A$5:$A$241,"&lt;"&amp;$A125+7))</f>
        <v>0</v>
      </c>
      <c r="AK125">
        <f>IF(AK105="","",COUNTIFS(Summary!$E$5:$E$241,AK105,Summary!$A$5:$A$241,"&gt;="&amp;$A125,Summary!$A$5:$A$241,"&lt;"&amp;$A125+7))</f>
        <v>0</v>
      </c>
      <c r="AL125">
        <f>IF(AL105="","",COUNTIFS(Summary!$E$5:$E$241,AL105,Summary!$A$5:$A$241,"&gt;="&amp;$A125,Summary!$A$5:$A$241,"&lt;"&amp;$A125+7))</f>
        <v>0</v>
      </c>
      <c r="AM125">
        <f>IF(AM105="","",COUNTIFS(Summary!$E$5:$E$241,AM105,Summary!$A$5:$A$241,"&gt;="&amp;$A125,Summary!$A$5:$A$241,"&lt;"&amp;$A125+7))</f>
        <v>0</v>
      </c>
      <c r="AN125">
        <f>IF(AN105="","",COUNTIFS(Summary!$E$5:$E$241,AN105,Summary!$A$5:$A$241,"&gt;="&amp;$A125,Summary!$A$5:$A$241,"&lt;"&amp;$A125+7))</f>
        <v>0</v>
      </c>
      <c r="AO125">
        <f>IF(AO105="","",COUNTIFS(Summary!$E$5:$E$241,AO105,Summary!$A$5:$A$241,"&gt;="&amp;$A125,Summary!$A$5:$A$241,"&lt;"&amp;$A125+7))</f>
        <v>0</v>
      </c>
      <c r="AP125">
        <f>IF(AP105="","",COUNTIFS(Summary!$E$5:$E$241,AP105,Summary!$A$5:$A$241,"&gt;="&amp;$A125,Summary!$A$5:$A$241,"&lt;"&amp;$A125+7))</f>
        <v>0</v>
      </c>
      <c r="AQ125">
        <f>IF(AQ105="","",COUNTIFS(Summary!$E$5:$E$241,AQ105,Summary!$A$5:$A$241,"&gt;="&amp;$A125,Summary!$A$5:$A$241,"&lt;"&amp;$A125+7))</f>
        <v>0</v>
      </c>
      <c r="AR125">
        <f>IF(AR105="","",COUNTIFS(Summary!$E$5:$E$241,AR105,Summary!$A$5:$A$241,"&gt;="&amp;$A125,Summary!$A$5:$A$241,"&lt;"&amp;$A125+7))</f>
        <v>0</v>
      </c>
      <c r="AS125">
        <f>IF(AS105="","",COUNTIFS(Summary!$E$5:$E$241,AS105,Summary!$A$5:$A$241,"&gt;="&amp;$A125,Summary!$A$5:$A$241,"&lt;"&amp;$A125+7))</f>
        <v>0</v>
      </c>
      <c r="AT125">
        <f>IF(AT105="","",COUNTIFS(Summary!$E$5:$E$241,AT105,Summary!$A$5:$A$241,"&gt;="&amp;$A125,Summary!$A$5:$A$241,"&lt;"&amp;$A125+7))</f>
        <v>0</v>
      </c>
      <c r="AU125">
        <f>IF(AU105="","",COUNTIFS(Summary!$E$5:$E$241,AU105,Summary!$A$5:$A$241,"&gt;="&amp;$A125,Summary!$A$5:$A$241,"&lt;"&amp;$A125+7))</f>
        <v>0</v>
      </c>
      <c r="AV125">
        <f>IF(AV105="","",COUNTIFS(Summary!$E$5:$E$241,AV105,Summary!$A$5:$A$241,"&gt;="&amp;$A125,Summary!$A$5:$A$241,"&lt;"&amp;$A125+7))</f>
        <v>0</v>
      </c>
      <c r="AW125">
        <f>IF(AW105="","",COUNTIFS(Summary!$E$5:$E$241,AW105,Summary!$A$5:$A$241,"&gt;="&amp;$A125,Summary!$A$5:$A$241,"&lt;"&amp;$A125+7))</f>
        <v>0</v>
      </c>
      <c r="AX125">
        <f>IF(AX105="","",COUNTIFS(Summary!$E$5:$E$241,AX105,Summary!$A$5:$A$241,"&gt;="&amp;$A125,Summary!$A$5:$A$241,"&lt;"&amp;$A125+7))</f>
        <v>0</v>
      </c>
      <c r="AY125">
        <f>IF(AY105="","",COUNTIFS(Summary!$E$5:$E$241,AY105,Summary!$A$5:$A$241,"&gt;="&amp;$A125,Summary!$A$5:$A$241,"&lt;"&amp;$A125+7))</f>
        <v>0</v>
      </c>
      <c r="AZ125">
        <f>IF(AZ105="","",COUNTIFS(Summary!$E$5:$E$241,AZ105,Summary!$A$5:$A$241,"&gt;="&amp;$A125,Summary!$A$5:$A$241,"&lt;"&amp;$A125+7))</f>
        <v>0</v>
      </c>
      <c r="BA125">
        <f>IF(BA105="","",COUNTIFS(Summary!$E$5:$E$241,BA105,Summary!$A$5:$A$241,"&gt;="&amp;$A125,Summary!$A$5:$A$241,"&lt;"&amp;$A125+7))</f>
        <v>0</v>
      </c>
      <c r="BB125">
        <f>IF(BB105="","",COUNTIFS(Summary!$E$5:$E$241,BB105,Summary!$A$5:$A$241,"&gt;="&amp;$A125,Summary!$A$5:$A$241,"&lt;"&amp;$A125+7))</f>
        <v>0</v>
      </c>
      <c r="BC125">
        <f>IF(BC105="","",COUNTIFS(Summary!$E$5:$E$241,BC105,Summary!$A$5:$A$241,"&gt;="&amp;$A125,Summary!$A$5:$A$241,"&lt;"&amp;$A125+7))</f>
        <v>0</v>
      </c>
      <c r="BD125">
        <f>IF(BD105="","",COUNTIFS(Summary!$E$5:$E$241,BD105,Summary!$A$5:$A$241,"&gt;="&amp;$A125,Summary!$A$5:$A$241,"&lt;"&amp;$A125+7))</f>
        <v>0</v>
      </c>
      <c r="BE125">
        <f>IF(BE105="","",COUNTIFS(Summary!$E$5:$E$241,BE105,Summary!$A$5:$A$241,"&gt;="&amp;$A125,Summary!$A$5:$A$241,"&lt;"&amp;$A125+7))</f>
        <v>0</v>
      </c>
      <c r="BF125" s="28">
        <f>IF(BF105="","",COUNTIFS(Summary!$E$5:$E$241,BF105,Summary!$A$5:$A$241,"&gt;="&amp;$A125,Summary!$A$5:$A$241,"&lt;"&amp;$A125+7))</f>
        <v>0</v>
      </c>
    </row>
    <row r="126" spans="1:58">
      <c r="A126" s="18">
        <f t="shared" si="9"/>
        <v>46230.344340277778</v>
      </c>
      <c r="B126" s="2" t="str">
        <f t="shared" si="8"/>
        <v>Jul 27</v>
      </c>
      <c r="C126">
        <f>IF(C105="","",COUNTIFS(Summary!$E$5:$E$241,C105,Summary!$A$5:$A$241,"&gt;="&amp;$A126,Summary!$A$5:$A$241,"&lt;"&amp;$A126+7))</f>
        <v>0</v>
      </c>
      <c r="D126">
        <f>IF(D105="","",COUNTIFS(Summary!$E$5:$E$241,D105,Summary!$A$5:$A$241,"&gt;="&amp;$A126,Summary!$A$5:$A$241,"&lt;"&amp;$A126+7))</f>
        <v>0</v>
      </c>
      <c r="E126">
        <f>IF(E105="","",COUNTIFS(Summary!$E$5:$E$241,E105,Summary!$A$5:$A$241,"&gt;="&amp;$A126,Summary!$A$5:$A$241,"&lt;"&amp;$A126+7))</f>
        <v>0</v>
      </c>
      <c r="F126">
        <f>IF(F105="","",COUNTIFS(Summary!$E$5:$E$241,F105,Summary!$A$5:$A$241,"&gt;="&amp;$A126,Summary!$A$5:$A$241,"&lt;"&amp;$A126+7))</f>
        <v>0</v>
      </c>
      <c r="G126">
        <f>IF(G105="","",COUNTIFS(Summary!$E$5:$E$241,G105,Summary!$A$5:$A$241,"&gt;="&amp;$A126,Summary!$A$5:$A$241,"&lt;"&amp;$A126+7))</f>
        <v>0</v>
      </c>
      <c r="H126">
        <f>IF(H105="","",COUNTIFS(Summary!$E$5:$E$241,H105,Summary!$A$5:$A$241,"&gt;="&amp;$A126,Summary!$A$5:$A$241,"&lt;"&amp;$A126+7))</f>
        <v>0</v>
      </c>
      <c r="I126">
        <f>IF(I105="","",COUNTIFS(Summary!$E$5:$E$241,I105,Summary!$A$5:$A$241,"&gt;="&amp;$A126,Summary!$A$5:$A$241,"&lt;"&amp;$A126+7))</f>
        <v>0</v>
      </c>
      <c r="J126">
        <f>IF(J105="","",COUNTIFS(Summary!$E$5:$E$241,J105,Summary!$A$5:$A$241,"&gt;="&amp;$A126,Summary!$A$5:$A$241,"&lt;"&amp;$A126+7))</f>
        <v>0</v>
      </c>
      <c r="K126">
        <f>IF(K105="","",COUNTIFS(Summary!$E$5:$E$241,K105,Summary!$A$5:$A$241,"&gt;="&amp;$A126,Summary!$A$5:$A$241,"&lt;"&amp;$A126+7))</f>
        <v>0</v>
      </c>
      <c r="L126">
        <f>IF(L105="","",COUNTIFS(Summary!$E$5:$E$241,L105,Summary!$A$5:$A$241,"&gt;="&amp;$A126,Summary!$A$5:$A$241,"&lt;"&amp;$A126+7))</f>
        <v>0</v>
      </c>
      <c r="M126">
        <f>IF(M105="","",COUNTIFS(Summary!$E$5:$E$241,M105,Summary!$A$5:$A$241,"&gt;="&amp;$A126,Summary!$A$5:$A$241,"&lt;"&amp;$A126+7))</f>
        <v>0</v>
      </c>
      <c r="N126">
        <f>IF(N105="","",COUNTIFS(Summary!$E$5:$E$241,N105,Summary!$A$5:$A$241,"&gt;="&amp;$A126,Summary!$A$5:$A$241,"&lt;"&amp;$A126+7))</f>
        <v>0</v>
      </c>
      <c r="O126">
        <f>IF(O105="","",COUNTIFS(Summary!$E$5:$E$241,O105,Summary!$A$5:$A$241,"&gt;="&amp;$A126,Summary!$A$5:$A$241,"&lt;"&amp;$A126+7))</f>
        <v>0</v>
      </c>
      <c r="P126">
        <f>IF(P105="","",COUNTIFS(Summary!$E$5:$E$241,P105,Summary!$A$5:$A$241,"&gt;="&amp;$A126,Summary!$A$5:$A$241,"&lt;"&amp;$A126+7))</f>
        <v>0</v>
      </c>
      <c r="Q126">
        <f>IF(Q105="","",COUNTIFS(Summary!$E$5:$E$241,Q105,Summary!$A$5:$A$241,"&gt;="&amp;$A126,Summary!$A$5:$A$241,"&lt;"&amp;$A126+7))</f>
        <v>0</v>
      </c>
      <c r="R126">
        <f>IF(R105="","",COUNTIFS(Summary!$E$5:$E$241,R105,Summary!$A$5:$A$241,"&gt;="&amp;$A126,Summary!$A$5:$A$241,"&lt;"&amp;$A126+7))</f>
        <v>0</v>
      </c>
      <c r="S126">
        <f>IF(S105="","",COUNTIFS(Summary!$E$5:$E$241,S105,Summary!$A$5:$A$241,"&gt;="&amp;$A126,Summary!$A$5:$A$241,"&lt;"&amp;$A126+7))</f>
        <v>0</v>
      </c>
      <c r="T126">
        <f>IF(T105="","",COUNTIFS(Summary!$E$5:$E$241,T105,Summary!$A$5:$A$241,"&gt;="&amp;$A126,Summary!$A$5:$A$241,"&lt;"&amp;$A126+7))</f>
        <v>0</v>
      </c>
      <c r="U126">
        <f>IF(U105="","",COUNTIFS(Summary!$E$5:$E$241,U105,Summary!$A$5:$A$241,"&gt;="&amp;$A126,Summary!$A$5:$A$241,"&lt;"&amp;$A126+7))</f>
        <v>0</v>
      </c>
      <c r="V126">
        <f>IF(V105="","",COUNTIFS(Summary!$E$5:$E$241,V105,Summary!$A$5:$A$241,"&gt;="&amp;$A126,Summary!$A$5:$A$241,"&lt;"&amp;$A126+7))</f>
        <v>0</v>
      </c>
      <c r="W126">
        <f>IF(W105="","",COUNTIFS(Summary!$E$5:$E$241,W105,Summary!$A$5:$A$241,"&gt;="&amp;$A126,Summary!$A$5:$A$241,"&lt;"&amp;$A126+7))</f>
        <v>0</v>
      </c>
      <c r="X126">
        <f>IF(X105="","",COUNTIFS(Summary!$E$5:$E$241,X105,Summary!$A$5:$A$241,"&gt;="&amp;$A126,Summary!$A$5:$A$241,"&lt;"&amp;$A126+7))</f>
        <v>0</v>
      </c>
      <c r="Y126">
        <f>IF(Y105="","",COUNTIFS(Summary!$E$5:$E$241,Y105,Summary!$A$5:$A$241,"&gt;="&amp;$A126,Summary!$A$5:$A$241,"&lt;"&amp;$A126+7))</f>
        <v>0</v>
      </c>
      <c r="Z126">
        <f>IF(Z105="","",COUNTIFS(Summary!$E$5:$E$241,Z105,Summary!$A$5:$A$241,"&gt;="&amp;$A126,Summary!$A$5:$A$241,"&lt;"&amp;$A126+7))</f>
        <v>0</v>
      </c>
      <c r="AA126">
        <f>IF(AA105="","",COUNTIFS(Summary!$E$5:$E$241,AA105,Summary!$A$5:$A$241,"&gt;="&amp;$A126,Summary!$A$5:$A$241,"&lt;"&amp;$A126+7))</f>
        <v>0</v>
      </c>
      <c r="AB126">
        <f>IF(AB105="","",COUNTIFS(Summary!$E$5:$E$241,AB105,Summary!$A$5:$A$241,"&gt;="&amp;$A126,Summary!$A$5:$A$241,"&lt;"&amp;$A126+7))</f>
        <v>0</v>
      </c>
      <c r="AC126">
        <f>IF(AC105="","",COUNTIFS(Summary!$E$5:$E$241,AC105,Summary!$A$5:$A$241,"&gt;="&amp;$A126,Summary!$A$5:$A$241,"&lt;"&amp;$A126+7))</f>
        <v>0</v>
      </c>
      <c r="AD126">
        <f>IF(AD105="","",COUNTIFS(Summary!$E$5:$E$241,AD105,Summary!$A$5:$A$241,"&gt;="&amp;$A126,Summary!$A$5:$A$241,"&lt;"&amp;$A126+7))</f>
        <v>0</v>
      </c>
      <c r="AE126">
        <f>IF(AE105="","",COUNTIFS(Summary!$E$5:$E$241,AE105,Summary!$A$5:$A$241,"&gt;="&amp;$A126,Summary!$A$5:$A$241,"&lt;"&amp;$A126+7))</f>
        <v>0</v>
      </c>
      <c r="AF126">
        <f>IF(AF105="","",COUNTIFS(Summary!$E$5:$E$241,AF105,Summary!$A$5:$A$241,"&gt;="&amp;$A126,Summary!$A$5:$A$241,"&lt;"&amp;$A126+7))</f>
        <v>0</v>
      </c>
      <c r="AG126">
        <f>IF(AG105="","",COUNTIFS(Summary!$E$5:$E$241,AG105,Summary!$A$5:$A$241,"&gt;="&amp;$A126,Summary!$A$5:$A$241,"&lt;"&amp;$A126+7))</f>
        <v>0</v>
      </c>
      <c r="AH126">
        <f>IF(AH105="","",COUNTIFS(Summary!$E$5:$E$241,AH105,Summary!$A$5:$A$241,"&gt;="&amp;$A126,Summary!$A$5:$A$241,"&lt;"&amp;$A126+7))</f>
        <v>0</v>
      </c>
      <c r="AI126">
        <f>IF(AI105="","",COUNTIFS(Summary!$E$5:$E$241,AI105,Summary!$A$5:$A$241,"&gt;="&amp;$A126,Summary!$A$5:$A$241,"&lt;"&amp;$A126+7))</f>
        <v>0</v>
      </c>
      <c r="AJ126">
        <f>IF(AJ105="","",COUNTIFS(Summary!$E$5:$E$241,AJ105,Summary!$A$5:$A$241,"&gt;="&amp;$A126,Summary!$A$5:$A$241,"&lt;"&amp;$A126+7))</f>
        <v>0</v>
      </c>
      <c r="AK126">
        <f>IF(AK105="","",COUNTIFS(Summary!$E$5:$E$241,AK105,Summary!$A$5:$A$241,"&gt;="&amp;$A126,Summary!$A$5:$A$241,"&lt;"&amp;$A126+7))</f>
        <v>0</v>
      </c>
      <c r="AL126">
        <f>IF(AL105="","",COUNTIFS(Summary!$E$5:$E$241,AL105,Summary!$A$5:$A$241,"&gt;="&amp;$A126,Summary!$A$5:$A$241,"&lt;"&amp;$A126+7))</f>
        <v>0</v>
      </c>
      <c r="AM126">
        <f>IF(AM105="","",COUNTIFS(Summary!$E$5:$E$241,AM105,Summary!$A$5:$A$241,"&gt;="&amp;$A126,Summary!$A$5:$A$241,"&lt;"&amp;$A126+7))</f>
        <v>0</v>
      </c>
      <c r="AN126">
        <f>IF(AN105="","",COUNTIFS(Summary!$E$5:$E$241,AN105,Summary!$A$5:$A$241,"&gt;="&amp;$A126,Summary!$A$5:$A$241,"&lt;"&amp;$A126+7))</f>
        <v>0</v>
      </c>
      <c r="AO126">
        <f>IF(AO105="","",COUNTIFS(Summary!$E$5:$E$241,AO105,Summary!$A$5:$A$241,"&gt;="&amp;$A126,Summary!$A$5:$A$241,"&lt;"&amp;$A126+7))</f>
        <v>0</v>
      </c>
      <c r="AP126">
        <f>IF(AP105="","",COUNTIFS(Summary!$E$5:$E$241,AP105,Summary!$A$5:$A$241,"&gt;="&amp;$A126,Summary!$A$5:$A$241,"&lt;"&amp;$A126+7))</f>
        <v>0</v>
      </c>
      <c r="AQ126">
        <f>IF(AQ105="","",COUNTIFS(Summary!$E$5:$E$241,AQ105,Summary!$A$5:$A$241,"&gt;="&amp;$A126,Summary!$A$5:$A$241,"&lt;"&amp;$A126+7))</f>
        <v>0</v>
      </c>
      <c r="AR126">
        <f>IF(AR105="","",COUNTIFS(Summary!$E$5:$E$241,AR105,Summary!$A$5:$A$241,"&gt;="&amp;$A126,Summary!$A$5:$A$241,"&lt;"&amp;$A126+7))</f>
        <v>0</v>
      </c>
      <c r="AS126">
        <f>IF(AS105="","",COUNTIFS(Summary!$E$5:$E$241,AS105,Summary!$A$5:$A$241,"&gt;="&amp;$A126,Summary!$A$5:$A$241,"&lt;"&amp;$A126+7))</f>
        <v>0</v>
      </c>
      <c r="AT126">
        <f>IF(AT105="","",COUNTIFS(Summary!$E$5:$E$241,AT105,Summary!$A$5:$A$241,"&gt;="&amp;$A126,Summary!$A$5:$A$241,"&lt;"&amp;$A126+7))</f>
        <v>0</v>
      </c>
      <c r="AU126">
        <f>IF(AU105="","",COUNTIFS(Summary!$E$5:$E$241,AU105,Summary!$A$5:$A$241,"&gt;="&amp;$A126,Summary!$A$5:$A$241,"&lt;"&amp;$A126+7))</f>
        <v>0</v>
      </c>
      <c r="AV126">
        <f>IF(AV105="","",COUNTIFS(Summary!$E$5:$E$241,AV105,Summary!$A$5:$A$241,"&gt;="&amp;$A126,Summary!$A$5:$A$241,"&lt;"&amp;$A126+7))</f>
        <v>0</v>
      </c>
      <c r="AW126">
        <f>IF(AW105="","",COUNTIFS(Summary!$E$5:$E$241,AW105,Summary!$A$5:$A$241,"&gt;="&amp;$A126,Summary!$A$5:$A$241,"&lt;"&amp;$A126+7))</f>
        <v>0</v>
      </c>
      <c r="AX126">
        <f>IF(AX105="","",COUNTIFS(Summary!$E$5:$E$241,AX105,Summary!$A$5:$A$241,"&gt;="&amp;$A126,Summary!$A$5:$A$241,"&lt;"&amp;$A126+7))</f>
        <v>0</v>
      </c>
      <c r="AY126">
        <f>IF(AY105="","",COUNTIFS(Summary!$E$5:$E$241,AY105,Summary!$A$5:$A$241,"&gt;="&amp;$A126,Summary!$A$5:$A$241,"&lt;"&amp;$A126+7))</f>
        <v>0</v>
      </c>
      <c r="AZ126">
        <f>IF(AZ105="","",COUNTIFS(Summary!$E$5:$E$241,AZ105,Summary!$A$5:$A$241,"&gt;="&amp;$A126,Summary!$A$5:$A$241,"&lt;"&amp;$A126+7))</f>
        <v>0</v>
      </c>
      <c r="BA126">
        <f>IF(BA105="","",COUNTIFS(Summary!$E$5:$E$241,BA105,Summary!$A$5:$A$241,"&gt;="&amp;$A126,Summary!$A$5:$A$241,"&lt;"&amp;$A126+7))</f>
        <v>0</v>
      </c>
      <c r="BB126">
        <f>IF(BB105="","",COUNTIFS(Summary!$E$5:$E$241,BB105,Summary!$A$5:$A$241,"&gt;="&amp;$A126,Summary!$A$5:$A$241,"&lt;"&amp;$A126+7))</f>
        <v>0</v>
      </c>
      <c r="BC126">
        <f>IF(BC105="","",COUNTIFS(Summary!$E$5:$E$241,BC105,Summary!$A$5:$A$241,"&gt;="&amp;$A126,Summary!$A$5:$A$241,"&lt;"&amp;$A126+7))</f>
        <v>0</v>
      </c>
      <c r="BD126">
        <f>IF(BD105="","",COUNTIFS(Summary!$E$5:$E$241,BD105,Summary!$A$5:$A$241,"&gt;="&amp;$A126,Summary!$A$5:$A$241,"&lt;"&amp;$A126+7))</f>
        <v>0</v>
      </c>
      <c r="BE126">
        <f>IF(BE105="","",COUNTIFS(Summary!$E$5:$E$241,BE105,Summary!$A$5:$A$241,"&gt;="&amp;$A126,Summary!$A$5:$A$241,"&lt;"&amp;$A126+7))</f>
        <v>0</v>
      </c>
      <c r="BF126" s="28">
        <f>IF(BF105="","",COUNTIFS(Summary!$E$5:$E$241,BF105,Summary!$A$5:$A$241,"&gt;="&amp;$A126,Summary!$A$5:$A$241,"&lt;"&amp;$A126+7))</f>
        <v>0</v>
      </c>
    </row>
    <row r="127" spans="1:58">
      <c r="A127" s="18">
        <f t="shared" si="9"/>
        <v>46237.344340277778</v>
      </c>
      <c r="B127" s="2" t="str">
        <f t="shared" si="8"/>
        <v>Aug 3</v>
      </c>
      <c r="C127">
        <f>IF(C105="","",COUNTIFS(Summary!$E$5:$E$241,C105,Summary!$A$5:$A$241,"&gt;="&amp;$A127,Summary!$A$5:$A$241,"&lt;"&amp;$A127+7))</f>
        <v>0</v>
      </c>
      <c r="D127">
        <f>IF(D105="","",COUNTIFS(Summary!$E$5:$E$241,D105,Summary!$A$5:$A$241,"&gt;="&amp;$A127,Summary!$A$5:$A$241,"&lt;"&amp;$A127+7))</f>
        <v>0</v>
      </c>
      <c r="E127">
        <f>IF(E105="","",COUNTIFS(Summary!$E$5:$E$241,E105,Summary!$A$5:$A$241,"&gt;="&amp;$A127,Summary!$A$5:$A$241,"&lt;"&amp;$A127+7))</f>
        <v>0</v>
      </c>
      <c r="F127">
        <f>IF(F105="","",COUNTIFS(Summary!$E$5:$E$241,F105,Summary!$A$5:$A$241,"&gt;="&amp;$A127,Summary!$A$5:$A$241,"&lt;"&amp;$A127+7))</f>
        <v>0</v>
      </c>
      <c r="G127">
        <f>IF(G105="","",COUNTIFS(Summary!$E$5:$E$241,G105,Summary!$A$5:$A$241,"&gt;="&amp;$A127,Summary!$A$5:$A$241,"&lt;"&amp;$A127+7))</f>
        <v>0</v>
      </c>
      <c r="H127">
        <f>IF(H105="","",COUNTIFS(Summary!$E$5:$E$241,H105,Summary!$A$5:$A$241,"&gt;="&amp;$A127,Summary!$A$5:$A$241,"&lt;"&amp;$A127+7))</f>
        <v>0</v>
      </c>
      <c r="I127">
        <f>IF(I105="","",COUNTIFS(Summary!$E$5:$E$241,I105,Summary!$A$5:$A$241,"&gt;="&amp;$A127,Summary!$A$5:$A$241,"&lt;"&amp;$A127+7))</f>
        <v>0</v>
      </c>
      <c r="J127">
        <f>IF(J105="","",COUNTIFS(Summary!$E$5:$E$241,J105,Summary!$A$5:$A$241,"&gt;="&amp;$A127,Summary!$A$5:$A$241,"&lt;"&amp;$A127+7))</f>
        <v>0</v>
      </c>
      <c r="K127">
        <f>IF(K105="","",COUNTIFS(Summary!$E$5:$E$241,K105,Summary!$A$5:$A$241,"&gt;="&amp;$A127,Summary!$A$5:$A$241,"&lt;"&amp;$A127+7))</f>
        <v>0</v>
      </c>
      <c r="L127">
        <f>IF(L105="","",COUNTIFS(Summary!$E$5:$E$241,L105,Summary!$A$5:$A$241,"&gt;="&amp;$A127,Summary!$A$5:$A$241,"&lt;"&amp;$A127+7))</f>
        <v>0</v>
      </c>
      <c r="M127">
        <f>IF(M105="","",COUNTIFS(Summary!$E$5:$E$241,M105,Summary!$A$5:$A$241,"&gt;="&amp;$A127,Summary!$A$5:$A$241,"&lt;"&amp;$A127+7))</f>
        <v>0</v>
      </c>
      <c r="N127">
        <f>IF(N105="","",COUNTIFS(Summary!$E$5:$E$241,N105,Summary!$A$5:$A$241,"&gt;="&amp;$A127,Summary!$A$5:$A$241,"&lt;"&amp;$A127+7))</f>
        <v>0</v>
      </c>
      <c r="O127">
        <f>IF(O105="","",COUNTIFS(Summary!$E$5:$E$241,O105,Summary!$A$5:$A$241,"&gt;="&amp;$A127,Summary!$A$5:$A$241,"&lt;"&amp;$A127+7))</f>
        <v>0</v>
      </c>
      <c r="P127">
        <f>IF(P105="","",COUNTIFS(Summary!$E$5:$E$241,P105,Summary!$A$5:$A$241,"&gt;="&amp;$A127,Summary!$A$5:$A$241,"&lt;"&amp;$A127+7))</f>
        <v>0</v>
      </c>
      <c r="Q127">
        <f>IF(Q105="","",COUNTIFS(Summary!$E$5:$E$241,Q105,Summary!$A$5:$A$241,"&gt;="&amp;$A127,Summary!$A$5:$A$241,"&lt;"&amp;$A127+7))</f>
        <v>0</v>
      </c>
      <c r="R127">
        <f>IF(R105="","",COUNTIFS(Summary!$E$5:$E$241,R105,Summary!$A$5:$A$241,"&gt;="&amp;$A127,Summary!$A$5:$A$241,"&lt;"&amp;$A127+7))</f>
        <v>0</v>
      </c>
      <c r="S127">
        <f>IF(S105="","",COUNTIFS(Summary!$E$5:$E$241,S105,Summary!$A$5:$A$241,"&gt;="&amp;$A127,Summary!$A$5:$A$241,"&lt;"&amp;$A127+7))</f>
        <v>0</v>
      </c>
      <c r="T127">
        <f>IF(T105="","",COUNTIFS(Summary!$E$5:$E$241,T105,Summary!$A$5:$A$241,"&gt;="&amp;$A127,Summary!$A$5:$A$241,"&lt;"&amp;$A127+7))</f>
        <v>0</v>
      </c>
      <c r="U127">
        <f>IF(U105="","",COUNTIFS(Summary!$E$5:$E$241,U105,Summary!$A$5:$A$241,"&gt;="&amp;$A127,Summary!$A$5:$A$241,"&lt;"&amp;$A127+7))</f>
        <v>0</v>
      </c>
      <c r="V127">
        <f>IF(V105="","",COUNTIFS(Summary!$E$5:$E$241,V105,Summary!$A$5:$A$241,"&gt;="&amp;$A127,Summary!$A$5:$A$241,"&lt;"&amp;$A127+7))</f>
        <v>0</v>
      </c>
      <c r="W127">
        <f>IF(W105="","",COUNTIFS(Summary!$E$5:$E$241,W105,Summary!$A$5:$A$241,"&gt;="&amp;$A127,Summary!$A$5:$A$241,"&lt;"&amp;$A127+7))</f>
        <v>0</v>
      </c>
      <c r="X127">
        <f>IF(X105="","",COUNTIFS(Summary!$E$5:$E$241,X105,Summary!$A$5:$A$241,"&gt;="&amp;$A127,Summary!$A$5:$A$241,"&lt;"&amp;$A127+7))</f>
        <v>0</v>
      </c>
      <c r="Y127">
        <f>IF(Y105="","",COUNTIFS(Summary!$E$5:$E$241,Y105,Summary!$A$5:$A$241,"&gt;="&amp;$A127,Summary!$A$5:$A$241,"&lt;"&amp;$A127+7))</f>
        <v>0</v>
      </c>
      <c r="Z127">
        <f>IF(Z105="","",COUNTIFS(Summary!$E$5:$E$241,Z105,Summary!$A$5:$A$241,"&gt;="&amp;$A127,Summary!$A$5:$A$241,"&lt;"&amp;$A127+7))</f>
        <v>0</v>
      </c>
      <c r="AA127">
        <f>IF(AA105="","",COUNTIFS(Summary!$E$5:$E$241,AA105,Summary!$A$5:$A$241,"&gt;="&amp;$A127,Summary!$A$5:$A$241,"&lt;"&amp;$A127+7))</f>
        <v>0</v>
      </c>
      <c r="AB127">
        <f>IF(AB105="","",COUNTIFS(Summary!$E$5:$E$241,AB105,Summary!$A$5:$A$241,"&gt;="&amp;$A127,Summary!$A$5:$A$241,"&lt;"&amp;$A127+7))</f>
        <v>0</v>
      </c>
      <c r="AC127">
        <f>IF(AC105="","",COUNTIFS(Summary!$E$5:$E$241,AC105,Summary!$A$5:$A$241,"&gt;="&amp;$A127,Summary!$A$5:$A$241,"&lt;"&amp;$A127+7))</f>
        <v>0</v>
      </c>
      <c r="AD127">
        <f>IF(AD105="","",COUNTIFS(Summary!$E$5:$E$241,AD105,Summary!$A$5:$A$241,"&gt;="&amp;$A127,Summary!$A$5:$A$241,"&lt;"&amp;$A127+7))</f>
        <v>0</v>
      </c>
      <c r="AE127">
        <f>IF(AE105="","",COUNTIFS(Summary!$E$5:$E$241,AE105,Summary!$A$5:$A$241,"&gt;="&amp;$A127,Summary!$A$5:$A$241,"&lt;"&amp;$A127+7))</f>
        <v>0</v>
      </c>
      <c r="AF127">
        <f>IF(AF105="","",COUNTIFS(Summary!$E$5:$E$241,AF105,Summary!$A$5:$A$241,"&gt;="&amp;$A127,Summary!$A$5:$A$241,"&lt;"&amp;$A127+7))</f>
        <v>0</v>
      </c>
      <c r="AG127">
        <f>IF(AG105="","",COUNTIFS(Summary!$E$5:$E$241,AG105,Summary!$A$5:$A$241,"&gt;="&amp;$A127,Summary!$A$5:$A$241,"&lt;"&amp;$A127+7))</f>
        <v>0</v>
      </c>
      <c r="AH127">
        <f>IF(AH105="","",COUNTIFS(Summary!$E$5:$E$241,AH105,Summary!$A$5:$A$241,"&gt;="&amp;$A127,Summary!$A$5:$A$241,"&lt;"&amp;$A127+7))</f>
        <v>0</v>
      </c>
      <c r="AI127">
        <f>IF(AI105="","",COUNTIFS(Summary!$E$5:$E$241,AI105,Summary!$A$5:$A$241,"&gt;="&amp;$A127,Summary!$A$5:$A$241,"&lt;"&amp;$A127+7))</f>
        <v>0</v>
      </c>
      <c r="AJ127">
        <f>IF(AJ105="","",COUNTIFS(Summary!$E$5:$E$241,AJ105,Summary!$A$5:$A$241,"&gt;="&amp;$A127,Summary!$A$5:$A$241,"&lt;"&amp;$A127+7))</f>
        <v>0</v>
      </c>
      <c r="AK127">
        <f>IF(AK105="","",COUNTIFS(Summary!$E$5:$E$241,AK105,Summary!$A$5:$A$241,"&gt;="&amp;$A127,Summary!$A$5:$A$241,"&lt;"&amp;$A127+7))</f>
        <v>0</v>
      </c>
      <c r="AL127">
        <f>IF(AL105="","",COUNTIFS(Summary!$E$5:$E$241,AL105,Summary!$A$5:$A$241,"&gt;="&amp;$A127,Summary!$A$5:$A$241,"&lt;"&amp;$A127+7))</f>
        <v>0</v>
      </c>
      <c r="AM127">
        <f>IF(AM105="","",COUNTIFS(Summary!$E$5:$E$241,AM105,Summary!$A$5:$A$241,"&gt;="&amp;$A127,Summary!$A$5:$A$241,"&lt;"&amp;$A127+7))</f>
        <v>0</v>
      </c>
      <c r="AN127">
        <f>IF(AN105="","",COUNTIFS(Summary!$E$5:$E$241,AN105,Summary!$A$5:$A$241,"&gt;="&amp;$A127,Summary!$A$5:$A$241,"&lt;"&amp;$A127+7))</f>
        <v>0</v>
      </c>
      <c r="AO127">
        <f>IF(AO105="","",COUNTIFS(Summary!$E$5:$E$241,AO105,Summary!$A$5:$A$241,"&gt;="&amp;$A127,Summary!$A$5:$A$241,"&lt;"&amp;$A127+7))</f>
        <v>0</v>
      </c>
      <c r="AP127">
        <f>IF(AP105="","",COUNTIFS(Summary!$E$5:$E$241,AP105,Summary!$A$5:$A$241,"&gt;="&amp;$A127,Summary!$A$5:$A$241,"&lt;"&amp;$A127+7))</f>
        <v>0</v>
      </c>
      <c r="AQ127">
        <f>IF(AQ105="","",COUNTIFS(Summary!$E$5:$E$241,AQ105,Summary!$A$5:$A$241,"&gt;="&amp;$A127,Summary!$A$5:$A$241,"&lt;"&amp;$A127+7))</f>
        <v>0</v>
      </c>
      <c r="AR127">
        <f>IF(AR105="","",COUNTIFS(Summary!$E$5:$E$241,AR105,Summary!$A$5:$A$241,"&gt;="&amp;$A127,Summary!$A$5:$A$241,"&lt;"&amp;$A127+7))</f>
        <v>0</v>
      </c>
      <c r="AS127">
        <f>IF(AS105="","",COUNTIFS(Summary!$E$5:$E$241,AS105,Summary!$A$5:$A$241,"&gt;="&amp;$A127,Summary!$A$5:$A$241,"&lt;"&amp;$A127+7))</f>
        <v>0</v>
      </c>
      <c r="AT127">
        <f>IF(AT105="","",COUNTIFS(Summary!$E$5:$E$241,AT105,Summary!$A$5:$A$241,"&gt;="&amp;$A127,Summary!$A$5:$A$241,"&lt;"&amp;$A127+7))</f>
        <v>0</v>
      </c>
      <c r="AU127">
        <f>IF(AU105="","",COUNTIFS(Summary!$E$5:$E$241,AU105,Summary!$A$5:$A$241,"&gt;="&amp;$A127,Summary!$A$5:$A$241,"&lt;"&amp;$A127+7))</f>
        <v>0</v>
      </c>
      <c r="AV127">
        <f>IF(AV105="","",COUNTIFS(Summary!$E$5:$E$241,AV105,Summary!$A$5:$A$241,"&gt;="&amp;$A127,Summary!$A$5:$A$241,"&lt;"&amp;$A127+7))</f>
        <v>0</v>
      </c>
      <c r="AW127">
        <f>IF(AW105="","",COUNTIFS(Summary!$E$5:$E$241,AW105,Summary!$A$5:$A$241,"&gt;="&amp;$A127,Summary!$A$5:$A$241,"&lt;"&amp;$A127+7))</f>
        <v>0</v>
      </c>
      <c r="AX127">
        <f>IF(AX105="","",COUNTIFS(Summary!$E$5:$E$241,AX105,Summary!$A$5:$A$241,"&gt;="&amp;$A127,Summary!$A$5:$A$241,"&lt;"&amp;$A127+7))</f>
        <v>0</v>
      </c>
      <c r="AY127">
        <f>IF(AY105="","",COUNTIFS(Summary!$E$5:$E$241,AY105,Summary!$A$5:$A$241,"&gt;="&amp;$A127,Summary!$A$5:$A$241,"&lt;"&amp;$A127+7))</f>
        <v>0</v>
      </c>
      <c r="AZ127">
        <f>IF(AZ105="","",COUNTIFS(Summary!$E$5:$E$241,AZ105,Summary!$A$5:$A$241,"&gt;="&amp;$A127,Summary!$A$5:$A$241,"&lt;"&amp;$A127+7))</f>
        <v>0</v>
      </c>
      <c r="BA127">
        <f>IF(BA105="","",COUNTIFS(Summary!$E$5:$E$241,BA105,Summary!$A$5:$A$241,"&gt;="&amp;$A127,Summary!$A$5:$A$241,"&lt;"&amp;$A127+7))</f>
        <v>0</v>
      </c>
      <c r="BB127">
        <f>IF(BB105="","",COUNTIFS(Summary!$E$5:$E$241,BB105,Summary!$A$5:$A$241,"&gt;="&amp;$A127,Summary!$A$5:$A$241,"&lt;"&amp;$A127+7))</f>
        <v>0</v>
      </c>
      <c r="BC127">
        <f>IF(BC105="","",COUNTIFS(Summary!$E$5:$E$241,BC105,Summary!$A$5:$A$241,"&gt;="&amp;$A127,Summary!$A$5:$A$241,"&lt;"&amp;$A127+7))</f>
        <v>0</v>
      </c>
      <c r="BD127">
        <f>IF(BD105="","",COUNTIFS(Summary!$E$5:$E$241,BD105,Summary!$A$5:$A$241,"&gt;="&amp;$A127,Summary!$A$5:$A$241,"&lt;"&amp;$A127+7))</f>
        <v>0</v>
      </c>
      <c r="BE127">
        <f>IF(BE105="","",COUNTIFS(Summary!$E$5:$E$241,BE105,Summary!$A$5:$A$241,"&gt;="&amp;$A127,Summary!$A$5:$A$241,"&lt;"&amp;$A127+7))</f>
        <v>0</v>
      </c>
      <c r="BF127" s="28">
        <f>IF(BF105="","",COUNTIFS(Summary!$E$5:$E$241,BF105,Summary!$A$5:$A$241,"&gt;="&amp;$A127,Summary!$A$5:$A$241,"&lt;"&amp;$A127+7))</f>
        <v>0</v>
      </c>
    </row>
    <row r="128" spans="1:58">
      <c r="A128" s="18">
        <f t="shared" si="9"/>
        <v>46244.344340277778</v>
      </c>
      <c r="B128" s="2" t="str">
        <f t="shared" si="8"/>
        <v>Aug 10</v>
      </c>
      <c r="C128">
        <f>IF(C105="","",COUNTIFS(Summary!$E$5:$E$241,C105,Summary!$A$5:$A$241,"&gt;="&amp;$A128,Summary!$A$5:$A$241,"&lt;"&amp;$A128+7))</f>
        <v>0</v>
      </c>
      <c r="D128">
        <f>IF(D105="","",COUNTIFS(Summary!$E$5:$E$241,D105,Summary!$A$5:$A$241,"&gt;="&amp;$A128,Summary!$A$5:$A$241,"&lt;"&amp;$A128+7))</f>
        <v>0</v>
      </c>
      <c r="E128">
        <f>IF(E105="","",COUNTIFS(Summary!$E$5:$E$241,E105,Summary!$A$5:$A$241,"&gt;="&amp;$A128,Summary!$A$5:$A$241,"&lt;"&amp;$A128+7))</f>
        <v>0</v>
      </c>
      <c r="F128">
        <f>IF(F105="","",COUNTIFS(Summary!$E$5:$E$241,F105,Summary!$A$5:$A$241,"&gt;="&amp;$A128,Summary!$A$5:$A$241,"&lt;"&amp;$A128+7))</f>
        <v>0</v>
      </c>
      <c r="G128">
        <f>IF(G105="","",COUNTIFS(Summary!$E$5:$E$241,G105,Summary!$A$5:$A$241,"&gt;="&amp;$A128,Summary!$A$5:$A$241,"&lt;"&amp;$A128+7))</f>
        <v>0</v>
      </c>
      <c r="H128">
        <f>IF(H105="","",COUNTIFS(Summary!$E$5:$E$241,H105,Summary!$A$5:$A$241,"&gt;="&amp;$A128,Summary!$A$5:$A$241,"&lt;"&amp;$A128+7))</f>
        <v>0</v>
      </c>
      <c r="I128">
        <f>IF(I105="","",COUNTIFS(Summary!$E$5:$E$241,I105,Summary!$A$5:$A$241,"&gt;="&amp;$A128,Summary!$A$5:$A$241,"&lt;"&amp;$A128+7))</f>
        <v>0</v>
      </c>
      <c r="J128">
        <f>IF(J105="","",COUNTIFS(Summary!$E$5:$E$241,J105,Summary!$A$5:$A$241,"&gt;="&amp;$A128,Summary!$A$5:$A$241,"&lt;"&amp;$A128+7))</f>
        <v>0</v>
      </c>
      <c r="K128">
        <f>IF(K105="","",COUNTIFS(Summary!$E$5:$E$241,K105,Summary!$A$5:$A$241,"&gt;="&amp;$A128,Summary!$A$5:$A$241,"&lt;"&amp;$A128+7))</f>
        <v>0</v>
      </c>
      <c r="L128">
        <f>IF(L105="","",COUNTIFS(Summary!$E$5:$E$241,L105,Summary!$A$5:$A$241,"&gt;="&amp;$A128,Summary!$A$5:$A$241,"&lt;"&amp;$A128+7))</f>
        <v>0</v>
      </c>
      <c r="M128">
        <f>IF(M105="","",COUNTIFS(Summary!$E$5:$E$241,M105,Summary!$A$5:$A$241,"&gt;="&amp;$A128,Summary!$A$5:$A$241,"&lt;"&amp;$A128+7))</f>
        <v>0</v>
      </c>
      <c r="N128">
        <f>IF(N105="","",COUNTIFS(Summary!$E$5:$E$241,N105,Summary!$A$5:$A$241,"&gt;="&amp;$A128,Summary!$A$5:$A$241,"&lt;"&amp;$A128+7))</f>
        <v>0</v>
      </c>
      <c r="O128">
        <f>IF(O105="","",COUNTIFS(Summary!$E$5:$E$241,O105,Summary!$A$5:$A$241,"&gt;="&amp;$A128,Summary!$A$5:$A$241,"&lt;"&amp;$A128+7))</f>
        <v>0</v>
      </c>
      <c r="P128">
        <f>IF(P105="","",COUNTIFS(Summary!$E$5:$E$241,P105,Summary!$A$5:$A$241,"&gt;="&amp;$A128,Summary!$A$5:$A$241,"&lt;"&amp;$A128+7))</f>
        <v>0</v>
      </c>
      <c r="Q128">
        <f>IF(Q105="","",COUNTIFS(Summary!$E$5:$E$241,Q105,Summary!$A$5:$A$241,"&gt;="&amp;$A128,Summary!$A$5:$A$241,"&lt;"&amp;$A128+7))</f>
        <v>0</v>
      </c>
      <c r="R128">
        <f>IF(R105="","",COUNTIFS(Summary!$E$5:$E$241,R105,Summary!$A$5:$A$241,"&gt;="&amp;$A128,Summary!$A$5:$A$241,"&lt;"&amp;$A128+7))</f>
        <v>0</v>
      </c>
      <c r="S128">
        <f>IF(S105="","",COUNTIFS(Summary!$E$5:$E$241,S105,Summary!$A$5:$A$241,"&gt;="&amp;$A128,Summary!$A$5:$A$241,"&lt;"&amp;$A128+7))</f>
        <v>0</v>
      </c>
      <c r="T128">
        <f>IF(T105="","",COUNTIFS(Summary!$E$5:$E$241,T105,Summary!$A$5:$A$241,"&gt;="&amp;$A128,Summary!$A$5:$A$241,"&lt;"&amp;$A128+7))</f>
        <v>0</v>
      </c>
      <c r="U128">
        <f>IF(U105="","",COUNTIFS(Summary!$E$5:$E$241,U105,Summary!$A$5:$A$241,"&gt;="&amp;$A128,Summary!$A$5:$A$241,"&lt;"&amp;$A128+7))</f>
        <v>0</v>
      </c>
      <c r="V128">
        <f>IF(V105="","",COUNTIFS(Summary!$E$5:$E$241,V105,Summary!$A$5:$A$241,"&gt;="&amp;$A128,Summary!$A$5:$A$241,"&lt;"&amp;$A128+7))</f>
        <v>0</v>
      </c>
      <c r="W128">
        <f>IF(W105="","",COUNTIFS(Summary!$E$5:$E$241,W105,Summary!$A$5:$A$241,"&gt;="&amp;$A128,Summary!$A$5:$A$241,"&lt;"&amp;$A128+7))</f>
        <v>0</v>
      </c>
      <c r="X128">
        <f>IF(X105="","",COUNTIFS(Summary!$E$5:$E$241,X105,Summary!$A$5:$A$241,"&gt;="&amp;$A128,Summary!$A$5:$A$241,"&lt;"&amp;$A128+7))</f>
        <v>0</v>
      </c>
      <c r="Y128">
        <f>IF(Y105="","",COUNTIFS(Summary!$E$5:$E$241,Y105,Summary!$A$5:$A$241,"&gt;="&amp;$A128,Summary!$A$5:$A$241,"&lt;"&amp;$A128+7))</f>
        <v>0</v>
      </c>
      <c r="Z128">
        <f>IF(Z105="","",COUNTIFS(Summary!$E$5:$E$241,Z105,Summary!$A$5:$A$241,"&gt;="&amp;$A128,Summary!$A$5:$A$241,"&lt;"&amp;$A128+7))</f>
        <v>0</v>
      </c>
      <c r="AA128">
        <f>IF(AA105="","",COUNTIFS(Summary!$E$5:$E$241,AA105,Summary!$A$5:$A$241,"&gt;="&amp;$A128,Summary!$A$5:$A$241,"&lt;"&amp;$A128+7))</f>
        <v>0</v>
      </c>
      <c r="AB128">
        <f>IF(AB105="","",COUNTIFS(Summary!$E$5:$E$241,AB105,Summary!$A$5:$A$241,"&gt;="&amp;$A128,Summary!$A$5:$A$241,"&lt;"&amp;$A128+7))</f>
        <v>0</v>
      </c>
      <c r="AC128">
        <f>IF(AC105="","",COUNTIFS(Summary!$E$5:$E$241,AC105,Summary!$A$5:$A$241,"&gt;="&amp;$A128,Summary!$A$5:$A$241,"&lt;"&amp;$A128+7))</f>
        <v>0</v>
      </c>
      <c r="AD128">
        <f>IF(AD105="","",COUNTIFS(Summary!$E$5:$E$241,AD105,Summary!$A$5:$A$241,"&gt;="&amp;$A128,Summary!$A$5:$A$241,"&lt;"&amp;$A128+7))</f>
        <v>0</v>
      </c>
      <c r="AE128">
        <f>IF(AE105="","",COUNTIFS(Summary!$E$5:$E$241,AE105,Summary!$A$5:$A$241,"&gt;="&amp;$A128,Summary!$A$5:$A$241,"&lt;"&amp;$A128+7))</f>
        <v>0</v>
      </c>
      <c r="AF128">
        <f>IF(AF105="","",COUNTIFS(Summary!$E$5:$E$241,AF105,Summary!$A$5:$A$241,"&gt;="&amp;$A128,Summary!$A$5:$A$241,"&lt;"&amp;$A128+7))</f>
        <v>0</v>
      </c>
      <c r="AG128">
        <f>IF(AG105="","",COUNTIFS(Summary!$E$5:$E$241,AG105,Summary!$A$5:$A$241,"&gt;="&amp;$A128,Summary!$A$5:$A$241,"&lt;"&amp;$A128+7))</f>
        <v>0</v>
      </c>
      <c r="AH128">
        <f>IF(AH105="","",COUNTIFS(Summary!$E$5:$E$241,AH105,Summary!$A$5:$A$241,"&gt;="&amp;$A128,Summary!$A$5:$A$241,"&lt;"&amp;$A128+7))</f>
        <v>0</v>
      </c>
      <c r="AI128">
        <f>IF(AI105="","",COUNTIFS(Summary!$E$5:$E$241,AI105,Summary!$A$5:$A$241,"&gt;="&amp;$A128,Summary!$A$5:$A$241,"&lt;"&amp;$A128+7))</f>
        <v>0</v>
      </c>
      <c r="AJ128">
        <f>IF(AJ105="","",COUNTIFS(Summary!$E$5:$E$241,AJ105,Summary!$A$5:$A$241,"&gt;="&amp;$A128,Summary!$A$5:$A$241,"&lt;"&amp;$A128+7))</f>
        <v>0</v>
      </c>
      <c r="AK128">
        <f>IF(AK105="","",COUNTIFS(Summary!$E$5:$E$241,AK105,Summary!$A$5:$A$241,"&gt;="&amp;$A128,Summary!$A$5:$A$241,"&lt;"&amp;$A128+7))</f>
        <v>0</v>
      </c>
      <c r="AL128">
        <f>IF(AL105="","",COUNTIFS(Summary!$E$5:$E$241,AL105,Summary!$A$5:$A$241,"&gt;="&amp;$A128,Summary!$A$5:$A$241,"&lt;"&amp;$A128+7))</f>
        <v>0</v>
      </c>
      <c r="AM128">
        <f>IF(AM105="","",COUNTIFS(Summary!$E$5:$E$241,AM105,Summary!$A$5:$A$241,"&gt;="&amp;$A128,Summary!$A$5:$A$241,"&lt;"&amp;$A128+7))</f>
        <v>0</v>
      </c>
      <c r="AN128">
        <f>IF(AN105="","",COUNTIFS(Summary!$E$5:$E$241,AN105,Summary!$A$5:$A$241,"&gt;="&amp;$A128,Summary!$A$5:$A$241,"&lt;"&amp;$A128+7))</f>
        <v>0</v>
      </c>
      <c r="AO128">
        <f>IF(AO105="","",COUNTIFS(Summary!$E$5:$E$241,AO105,Summary!$A$5:$A$241,"&gt;="&amp;$A128,Summary!$A$5:$A$241,"&lt;"&amp;$A128+7))</f>
        <v>0</v>
      </c>
      <c r="AP128">
        <f>IF(AP105="","",COUNTIFS(Summary!$E$5:$E$241,AP105,Summary!$A$5:$A$241,"&gt;="&amp;$A128,Summary!$A$5:$A$241,"&lt;"&amp;$A128+7))</f>
        <v>0</v>
      </c>
      <c r="AQ128">
        <f>IF(AQ105="","",COUNTIFS(Summary!$E$5:$E$241,AQ105,Summary!$A$5:$A$241,"&gt;="&amp;$A128,Summary!$A$5:$A$241,"&lt;"&amp;$A128+7))</f>
        <v>0</v>
      </c>
      <c r="AR128">
        <f>IF(AR105="","",COUNTIFS(Summary!$E$5:$E$241,AR105,Summary!$A$5:$A$241,"&gt;="&amp;$A128,Summary!$A$5:$A$241,"&lt;"&amp;$A128+7))</f>
        <v>0</v>
      </c>
      <c r="AS128">
        <f>IF(AS105="","",COUNTIFS(Summary!$E$5:$E$241,AS105,Summary!$A$5:$A$241,"&gt;="&amp;$A128,Summary!$A$5:$A$241,"&lt;"&amp;$A128+7))</f>
        <v>0</v>
      </c>
      <c r="AT128">
        <f>IF(AT105="","",COUNTIFS(Summary!$E$5:$E$241,AT105,Summary!$A$5:$A$241,"&gt;="&amp;$A128,Summary!$A$5:$A$241,"&lt;"&amp;$A128+7))</f>
        <v>0</v>
      </c>
      <c r="AU128">
        <f>IF(AU105="","",COUNTIFS(Summary!$E$5:$E$241,AU105,Summary!$A$5:$A$241,"&gt;="&amp;$A128,Summary!$A$5:$A$241,"&lt;"&amp;$A128+7))</f>
        <v>0</v>
      </c>
      <c r="AV128">
        <f>IF(AV105="","",COUNTIFS(Summary!$E$5:$E$241,AV105,Summary!$A$5:$A$241,"&gt;="&amp;$A128,Summary!$A$5:$A$241,"&lt;"&amp;$A128+7))</f>
        <v>0</v>
      </c>
      <c r="AW128">
        <f>IF(AW105="","",COUNTIFS(Summary!$E$5:$E$241,AW105,Summary!$A$5:$A$241,"&gt;="&amp;$A128,Summary!$A$5:$A$241,"&lt;"&amp;$A128+7))</f>
        <v>0</v>
      </c>
      <c r="AX128">
        <f>IF(AX105="","",COUNTIFS(Summary!$E$5:$E$241,AX105,Summary!$A$5:$A$241,"&gt;="&amp;$A128,Summary!$A$5:$A$241,"&lt;"&amp;$A128+7))</f>
        <v>0</v>
      </c>
      <c r="AY128">
        <f>IF(AY105="","",COUNTIFS(Summary!$E$5:$E$241,AY105,Summary!$A$5:$A$241,"&gt;="&amp;$A128,Summary!$A$5:$A$241,"&lt;"&amp;$A128+7))</f>
        <v>0</v>
      </c>
      <c r="AZ128">
        <f>IF(AZ105="","",COUNTIFS(Summary!$E$5:$E$241,AZ105,Summary!$A$5:$A$241,"&gt;="&amp;$A128,Summary!$A$5:$A$241,"&lt;"&amp;$A128+7))</f>
        <v>0</v>
      </c>
      <c r="BA128">
        <f>IF(BA105="","",COUNTIFS(Summary!$E$5:$E$241,BA105,Summary!$A$5:$A$241,"&gt;="&amp;$A128,Summary!$A$5:$A$241,"&lt;"&amp;$A128+7))</f>
        <v>0</v>
      </c>
      <c r="BB128">
        <f>IF(BB105="","",COUNTIFS(Summary!$E$5:$E$241,BB105,Summary!$A$5:$A$241,"&gt;="&amp;$A128,Summary!$A$5:$A$241,"&lt;"&amp;$A128+7))</f>
        <v>0</v>
      </c>
      <c r="BC128">
        <f>IF(BC105="","",COUNTIFS(Summary!$E$5:$E$241,BC105,Summary!$A$5:$A$241,"&gt;="&amp;$A128,Summary!$A$5:$A$241,"&lt;"&amp;$A128+7))</f>
        <v>0</v>
      </c>
      <c r="BD128">
        <f>IF(BD105="","",COUNTIFS(Summary!$E$5:$E$241,BD105,Summary!$A$5:$A$241,"&gt;="&amp;$A128,Summary!$A$5:$A$241,"&lt;"&amp;$A128+7))</f>
        <v>0</v>
      </c>
      <c r="BE128">
        <f>IF(BE105="","",COUNTIFS(Summary!$E$5:$E$241,BE105,Summary!$A$5:$A$241,"&gt;="&amp;$A128,Summary!$A$5:$A$241,"&lt;"&amp;$A128+7))</f>
        <v>0</v>
      </c>
      <c r="BF128" s="28">
        <f>IF(BF105="","",COUNTIFS(Summary!$E$5:$E$241,BF105,Summary!$A$5:$A$241,"&gt;="&amp;$A128,Summary!$A$5:$A$241,"&lt;"&amp;$A128+7))</f>
        <v>0</v>
      </c>
    </row>
    <row r="129" spans="1:58">
      <c r="A129" s="18">
        <f t="shared" si="9"/>
        <v>46251.344340277778</v>
      </c>
      <c r="B129" s="2" t="str">
        <f t="shared" si="8"/>
        <v>Aug 17</v>
      </c>
      <c r="C129">
        <f>IF(C105="","",COUNTIFS(Summary!$E$5:$E$241,C105,Summary!$A$5:$A$241,"&gt;="&amp;$A129,Summary!$A$5:$A$241,"&lt;"&amp;$A129+7))</f>
        <v>0</v>
      </c>
      <c r="D129">
        <f>IF(D105="","",COUNTIFS(Summary!$E$5:$E$241,D105,Summary!$A$5:$A$241,"&gt;="&amp;$A129,Summary!$A$5:$A$241,"&lt;"&amp;$A129+7))</f>
        <v>0</v>
      </c>
      <c r="E129">
        <f>IF(E105="","",COUNTIFS(Summary!$E$5:$E$241,E105,Summary!$A$5:$A$241,"&gt;="&amp;$A129,Summary!$A$5:$A$241,"&lt;"&amp;$A129+7))</f>
        <v>0</v>
      </c>
      <c r="F129">
        <f>IF(F105="","",COUNTIFS(Summary!$E$5:$E$241,F105,Summary!$A$5:$A$241,"&gt;="&amp;$A129,Summary!$A$5:$A$241,"&lt;"&amp;$A129+7))</f>
        <v>0</v>
      </c>
      <c r="G129">
        <f>IF(G105="","",COUNTIFS(Summary!$E$5:$E$241,G105,Summary!$A$5:$A$241,"&gt;="&amp;$A129,Summary!$A$5:$A$241,"&lt;"&amp;$A129+7))</f>
        <v>0</v>
      </c>
      <c r="H129">
        <f>IF(H105="","",COUNTIFS(Summary!$E$5:$E$241,H105,Summary!$A$5:$A$241,"&gt;="&amp;$A129,Summary!$A$5:$A$241,"&lt;"&amp;$A129+7))</f>
        <v>0</v>
      </c>
      <c r="I129">
        <f>IF(I105="","",COUNTIFS(Summary!$E$5:$E$241,I105,Summary!$A$5:$A$241,"&gt;="&amp;$A129,Summary!$A$5:$A$241,"&lt;"&amp;$A129+7))</f>
        <v>0</v>
      </c>
      <c r="J129">
        <f>IF(J105="","",COUNTIFS(Summary!$E$5:$E$241,J105,Summary!$A$5:$A$241,"&gt;="&amp;$A129,Summary!$A$5:$A$241,"&lt;"&amp;$A129+7))</f>
        <v>0</v>
      </c>
      <c r="K129">
        <f>IF(K105="","",COUNTIFS(Summary!$E$5:$E$241,K105,Summary!$A$5:$A$241,"&gt;="&amp;$A129,Summary!$A$5:$A$241,"&lt;"&amp;$A129+7))</f>
        <v>0</v>
      </c>
      <c r="L129">
        <f>IF(L105="","",COUNTIFS(Summary!$E$5:$E$241,L105,Summary!$A$5:$A$241,"&gt;="&amp;$A129,Summary!$A$5:$A$241,"&lt;"&amp;$A129+7))</f>
        <v>0</v>
      </c>
      <c r="M129">
        <f>IF(M105="","",COUNTIFS(Summary!$E$5:$E$241,M105,Summary!$A$5:$A$241,"&gt;="&amp;$A129,Summary!$A$5:$A$241,"&lt;"&amp;$A129+7))</f>
        <v>0</v>
      </c>
      <c r="N129">
        <f>IF(N105="","",COUNTIFS(Summary!$E$5:$E$241,N105,Summary!$A$5:$A$241,"&gt;="&amp;$A129,Summary!$A$5:$A$241,"&lt;"&amp;$A129+7))</f>
        <v>0</v>
      </c>
      <c r="O129">
        <f>IF(O105="","",COUNTIFS(Summary!$E$5:$E$241,O105,Summary!$A$5:$A$241,"&gt;="&amp;$A129,Summary!$A$5:$A$241,"&lt;"&amp;$A129+7))</f>
        <v>0</v>
      </c>
      <c r="P129">
        <f>IF(P105="","",COUNTIFS(Summary!$E$5:$E$241,P105,Summary!$A$5:$A$241,"&gt;="&amp;$A129,Summary!$A$5:$A$241,"&lt;"&amp;$A129+7))</f>
        <v>0</v>
      </c>
      <c r="Q129">
        <f>IF(Q105="","",COUNTIFS(Summary!$E$5:$E$241,Q105,Summary!$A$5:$A$241,"&gt;="&amp;$A129,Summary!$A$5:$A$241,"&lt;"&amp;$A129+7))</f>
        <v>0</v>
      </c>
      <c r="R129">
        <f>IF(R105="","",COUNTIFS(Summary!$E$5:$E$241,R105,Summary!$A$5:$A$241,"&gt;="&amp;$A129,Summary!$A$5:$A$241,"&lt;"&amp;$A129+7))</f>
        <v>0</v>
      </c>
      <c r="S129">
        <f>IF(S105="","",COUNTIFS(Summary!$E$5:$E$241,S105,Summary!$A$5:$A$241,"&gt;="&amp;$A129,Summary!$A$5:$A$241,"&lt;"&amp;$A129+7))</f>
        <v>0</v>
      </c>
      <c r="T129">
        <f>IF(T105="","",COUNTIFS(Summary!$E$5:$E$241,T105,Summary!$A$5:$A$241,"&gt;="&amp;$A129,Summary!$A$5:$A$241,"&lt;"&amp;$A129+7))</f>
        <v>0</v>
      </c>
      <c r="U129">
        <f>IF(U105="","",COUNTIFS(Summary!$E$5:$E$241,U105,Summary!$A$5:$A$241,"&gt;="&amp;$A129,Summary!$A$5:$A$241,"&lt;"&amp;$A129+7))</f>
        <v>0</v>
      </c>
      <c r="V129">
        <f>IF(V105="","",COUNTIFS(Summary!$E$5:$E$241,V105,Summary!$A$5:$A$241,"&gt;="&amp;$A129,Summary!$A$5:$A$241,"&lt;"&amp;$A129+7))</f>
        <v>0</v>
      </c>
      <c r="W129">
        <f>IF(W105="","",COUNTIFS(Summary!$E$5:$E$241,W105,Summary!$A$5:$A$241,"&gt;="&amp;$A129,Summary!$A$5:$A$241,"&lt;"&amp;$A129+7))</f>
        <v>0</v>
      </c>
      <c r="X129">
        <f>IF(X105="","",COUNTIFS(Summary!$E$5:$E$241,X105,Summary!$A$5:$A$241,"&gt;="&amp;$A129,Summary!$A$5:$A$241,"&lt;"&amp;$A129+7))</f>
        <v>0</v>
      </c>
      <c r="Y129">
        <f>IF(Y105="","",COUNTIFS(Summary!$E$5:$E$241,Y105,Summary!$A$5:$A$241,"&gt;="&amp;$A129,Summary!$A$5:$A$241,"&lt;"&amp;$A129+7))</f>
        <v>0</v>
      </c>
      <c r="Z129">
        <f>IF(Z105="","",COUNTIFS(Summary!$E$5:$E$241,Z105,Summary!$A$5:$A$241,"&gt;="&amp;$A129,Summary!$A$5:$A$241,"&lt;"&amp;$A129+7))</f>
        <v>0</v>
      </c>
      <c r="AA129">
        <f>IF(AA105="","",COUNTIFS(Summary!$E$5:$E$241,AA105,Summary!$A$5:$A$241,"&gt;="&amp;$A129,Summary!$A$5:$A$241,"&lt;"&amp;$A129+7))</f>
        <v>0</v>
      </c>
      <c r="AB129">
        <f>IF(AB105="","",COUNTIFS(Summary!$E$5:$E$241,AB105,Summary!$A$5:$A$241,"&gt;="&amp;$A129,Summary!$A$5:$A$241,"&lt;"&amp;$A129+7))</f>
        <v>0</v>
      </c>
      <c r="AC129">
        <f>IF(AC105="","",COUNTIFS(Summary!$E$5:$E$241,AC105,Summary!$A$5:$A$241,"&gt;="&amp;$A129,Summary!$A$5:$A$241,"&lt;"&amp;$A129+7))</f>
        <v>0</v>
      </c>
      <c r="AD129">
        <f>IF(AD105="","",COUNTIFS(Summary!$E$5:$E$241,AD105,Summary!$A$5:$A$241,"&gt;="&amp;$A129,Summary!$A$5:$A$241,"&lt;"&amp;$A129+7))</f>
        <v>0</v>
      </c>
      <c r="AE129">
        <f>IF(AE105="","",COUNTIFS(Summary!$E$5:$E$241,AE105,Summary!$A$5:$A$241,"&gt;="&amp;$A129,Summary!$A$5:$A$241,"&lt;"&amp;$A129+7))</f>
        <v>0</v>
      </c>
      <c r="AF129">
        <f>IF(AF105="","",COUNTIFS(Summary!$E$5:$E$241,AF105,Summary!$A$5:$A$241,"&gt;="&amp;$A129,Summary!$A$5:$A$241,"&lt;"&amp;$A129+7))</f>
        <v>0</v>
      </c>
      <c r="AG129">
        <f>IF(AG105="","",COUNTIFS(Summary!$E$5:$E$241,AG105,Summary!$A$5:$A$241,"&gt;="&amp;$A129,Summary!$A$5:$A$241,"&lt;"&amp;$A129+7))</f>
        <v>0</v>
      </c>
      <c r="AH129">
        <f>IF(AH105="","",COUNTIFS(Summary!$E$5:$E$241,AH105,Summary!$A$5:$A$241,"&gt;="&amp;$A129,Summary!$A$5:$A$241,"&lt;"&amp;$A129+7))</f>
        <v>0</v>
      </c>
      <c r="AI129">
        <f>IF(AI105="","",COUNTIFS(Summary!$E$5:$E$241,AI105,Summary!$A$5:$A$241,"&gt;="&amp;$A129,Summary!$A$5:$A$241,"&lt;"&amp;$A129+7))</f>
        <v>0</v>
      </c>
      <c r="AJ129">
        <f>IF(AJ105="","",COUNTIFS(Summary!$E$5:$E$241,AJ105,Summary!$A$5:$A$241,"&gt;="&amp;$A129,Summary!$A$5:$A$241,"&lt;"&amp;$A129+7))</f>
        <v>0</v>
      </c>
      <c r="AK129">
        <f>IF(AK105="","",COUNTIFS(Summary!$E$5:$E$241,AK105,Summary!$A$5:$A$241,"&gt;="&amp;$A129,Summary!$A$5:$A$241,"&lt;"&amp;$A129+7))</f>
        <v>0</v>
      </c>
      <c r="AL129">
        <f>IF(AL105="","",COUNTIFS(Summary!$E$5:$E$241,AL105,Summary!$A$5:$A$241,"&gt;="&amp;$A129,Summary!$A$5:$A$241,"&lt;"&amp;$A129+7))</f>
        <v>0</v>
      </c>
      <c r="AM129">
        <f>IF(AM105="","",COUNTIFS(Summary!$E$5:$E$241,AM105,Summary!$A$5:$A$241,"&gt;="&amp;$A129,Summary!$A$5:$A$241,"&lt;"&amp;$A129+7))</f>
        <v>0</v>
      </c>
      <c r="AN129">
        <f>IF(AN105="","",COUNTIFS(Summary!$E$5:$E$241,AN105,Summary!$A$5:$A$241,"&gt;="&amp;$A129,Summary!$A$5:$A$241,"&lt;"&amp;$A129+7))</f>
        <v>0</v>
      </c>
      <c r="AO129">
        <f>IF(AO105="","",COUNTIFS(Summary!$E$5:$E$241,AO105,Summary!$A$5:$A$241,"&gt;="&amp;$A129,Summary!$A$5:$A$241,"&lt;"&amp;$A129+7))</f>
        <v>0</v>
      </c>
      <c r="AP129">
        <f>IF(AP105="","",COUNTIFS(Summary!$E$5:$E$241,AP105,Summary!$A$5:$A$241,"&gt;="&amp;$A129,Summary!$A$5:$A$241,"&lt;"&amp;$A129+7))</f>
        <v>0</v>
      </c>
      <c r="AQ129">
        <f>IF(AQ105="","",COUNTIFS(Summary!$E$5:$E$241,AQ105,Summary!$A$5:$A$241,"&gt;="&amp;$A129,Summary!$A$5:$A$241,"&lt;"&amp;$A129+7))</f>
        <v>0</v>
      </c>
      <c r="AR129">
        <f>IF(AR105="","",COUNTIFS(Summary!$E$5:$E$241,AR105,Summary!$A$5:$A$241,"&gt;="&amp;$A129,Summary!$A$5:$A$241,"&lt;"&amp;$A129+7))</f>
        <v>0</v>
      </c>
      <c r="AS129">
        <f>IF(AS105="","",COUNTIFS(Summary!$E$5:$E$241,AS105,Summary!$A$5:$A$241,"&gt;="&amp;$A129,Summary!$A$5:$A$241,"&lt;"&amp;$A129+7))</f>
        <v>0</v>
      </c>
      <c r="AT129">
        <f>IF(AT105="","",COUNTIFS(Summary!$E$5:$E$241,AT105,Summary!$A$5:$A$241,"&gt;="&amp;$A129,Summary!$A$5:$A$241,"&lt;"&amp;$A129+7))</f>
        <v>0</v>
      </c>
      <c r="AU129">
        <f>IF(AU105="","",COUNTIFS(Summary!$E$5:$E$241,AU105,Summary!$A$5:$A$241,"&gt;="&amp;$A129,Summary!$A$5:$A$241,"&lt;"&amp;$A129+7))</f>
        <v>0</v>
      </c>
      <c r="AV129">
        <f>IF(AV105="","",COUNTIFS(Summary!$E$5:$E$241,AV105,Summary!$A$5:$A$241,"&gt;="&amp;$A129,Summary!$A$5:$A$241,"&lt;"&amp;$A129+7))</f>
        <v>0</v>
      </c>
      <c r="AW129">
        <f>IF(AW105="","",COUNTIFS(Summary!$E$5:$E$241,AW105,Summary!$A$5:$A$241,"&gt;="&amp;$A129,Summary!$A$5:$A$241,"&lt;"&amp;$A129+7))</f>
        <v>0</v>
      </c>
      <c r="AX129">
        <f>IF(AX105="","",COUNTIFS(Summary!$E$5:$E$241,AX105,Summary!$A$5:$A$241,"&gt;="&amp;$A129,Summary!$A$5:$A$241,"&lt;"&amp;$A129+7))</f>
        <v>0</v>
      </c>
      <c r="AY129">
        <f>IF(AY105="","",COUNTIFS(Summary!$E$5:$E$241,AY105,Summary!$A$5:$A$241,"&gt;="&amp;$A129,Summary!$A$5:$A$241,"&lt;"&amp;$A129+7))</f>
        <v>0</v>
      </c>
      <c r="AZ129">
        <f>IF(AZ105="","",COUNTIFS(Summary!$E$5:$E$241,AZ105,Summary!$A$5:$A$241,"&gt;="&amp;$A129,Summary!$A$5:$A$241,"&lt;"&amp;$A129+7))</f>
        <v>0</v>
      </c>
      <c r="BA129">
        <f>IF(BA105="","",COUNTIFS(Summary!$E$5:$E$241,BA105,Summary!$A$5:$A$241,"&gt;="&amp;$A129,Summary!$A$5:$A$241,"&lt;"&amp;$A129+7))</f>
        <v>0</v>
      </c>
      <c r="BB129">
        <f>IF(BB105="","",COUNTIFS(Summary!$E$5:$E$241,BB105,Summary!$A$5:$A$241,"&gt;="&amp;$A129,Summary!$A$5:$A$241,"&lt;"&amp;$A129+7))</f>
        <v>0</v>
      </c>
      <c r="BC129">
        <f>IF(BC105="","",COUNTIFS(Summary!$E$5:$E$241,BC105,Summary!$A$5:$A$241,"&gt;="&amp;$A129,Summary!$A$5:$A$241,"&lt;"&amp;$A129+7))</f>
        <v>0</v>
      </c>
      <c r="BD129">
        <f>IF(BD105="","",COUNTIFS(Summary!$E$5:$E$241,BD105,Summary!$A$5:$A$241,"&gt;="&amp;$A129,Summary!$A$5:$A$241,"&lt;"&amp;$A129+7))</f>
        <v>0</v>
      </c>
      <c r="BE129">
        <f>IF(BE105="","",COUNTIFS(Summary!$E$5:$E$241,BE105,Summary!$A$5:$A$241,"&gt;="&amp;$A129,Summary!$A$5:$A$241,"&lt;"&amp;$A129+7))</f>
        <v>0</v>
      </c>
      <c r="BF129" s="28">
        <f>IF(BF105="","",COUNTIFS(Summary!$E$5:$E$241,BF105,Summary!$A$5:$A$241,"&gt;="&amp;$A129,Summary!$A$5:$A$241,"&lt;"&amp;$A129+7))</f>
        <v>0</v>
      </c>
    </row>
    <row r="130" spans="1:58">
      <c r="A130" s="18">
        <f t="shared" si="9"/>
        <v>46258.344340277778</v>
      </c>
      <c r="B130" s="2" t="str">
        <f t="shared" si="8"/>
        <v>Aug 24</v>
      </c>
      <c r="C130">
        <f>IF(C105="","",COUNTIFS(Summary!$E$5:$E$241,C105,Summary!$A$5:$A$241,"&gt;="&amp;$A130,Summary!$A$5:$A$241,"&lt;"&amp;$A130+7))</f>
        <v>0</v>
      </c>
      <c r="D130">
        <f>IF(D105="","",COUNTIFS(Summary!$E$5:$E$241,D105,Summary!$A$5:$A$241,"&gt;="&amp;$A130,Summary!$A$5:$A$241,"&lt;"&amp;$A130+7))</f>
        <v>0</v>
      </c>
      <c r="E130">
        <f>IF(E105="","",COUNTIFS(Summary!$E$5:$E$241,E105,Summary!$A$5:$A$241,"&gt;="&amp;$A130,Summary!$A$5:$A$241,"&lt;"&amp;$A130+7))</f>
        <v>0</v>
      </c>
      <c r="F130">
        <f>IF(F105="","",COUNTIFS(Summary!$E$5:$E$241,F105,Summary!$A$5:$A$241,"&gt;="&amp;$A130,Summary!$A$5:$A$241,"&lt;"&amp;$A130+7))</f>
        <v>0</v>
      </c>
      <c r="G130">
        <f>IF(G105="","",COUNTIFS(Summary!$E$5:$E$241,G105,Summary!$A$5:$A$241,"&gt;="&amp;$A130,Summary!$A$5:$A$241,"&lt;"&amp;$A130+7))</f>
        <v>0</v>
      </c>
      <c r="H130">
        <f>IF(H105="","",COUNTIFS(Summary!$E$5:$E$241,H105,Summary!$A$5:$A$241,"&gt;="&amp;$A130,Summary!$A$5:$A$241,"&lt;"&amp;$A130+7))</f>
        <v>0</v>
      </c>
      <c r="I130">
        <f>IF(I105="","",COUNTIFS(Summary!$E$5:$E$241,I105,Summary!$A$5:$A$241,"&gt;="&amp;$A130,Summary!$A$5:$A$241,"&lt;"&amp;$A130+7))</f>
        <v>0</v>
      </c>
      <c r="J130">
        <f>IF(J105="","",COUNTIFS(Summary!$E$5:$E$241,J105,Summary!$A$5:$A$241,"&gt;="&amp;$A130,Summary!$A$5:$A$241,"&lt;"&amp;$A130+7))</f>
        <v>0</v>
      </c>
      <c r="K130">
        <f>IF(K105="","",COUNTIFS(Summary!$E$5:$E$241,K105,Summary!$A$5:$A$241,"&gt;="&amp;$A130,Summary!$A$5:$A$241,"&lt;"&amp;$A130+7))</f>
        <v>0</v>
      </c>
      <c r="L130">
        <f>IF(L105="","",COUNTIFS(Summary!$E$5:$E$241,L105,Summary!$A$5:$A$241,"&gt;="&amp;$A130,Summary!$A$5:$A$241,"&lt;"&amp;$A130+7))</f>
        <v>0</v>
      </c>
      <c r="M130">
        <f>IF(M105="","",COUNTIFS(Summary!$E$5:$E$241,M105,Summary!$A$5:$A$241,"&gt;="&amp;$A130,Summary!$A$5:$A$241,"&lt;"&amp;$A130+7))</f>
        <v>0</v>
      </c>
      <c r="N130">
        <f>IF(N105="","",COUNTIFS(Summary!$E$5:$E$241,N105,Summary!$A$5:$A$241,"&gt;="&amp;$A130,Summary!$A$5:$A$241,"&lt;"&amp;$A130+7))</f>
        <v>0</v>
      </c>
      <c r="O130">
        <f>IF(O105="","",COUNTIFS(Summary!$E$5:$E$241,O105,Summary!$A$5:$A$241,"&gt;="&amp;$A130,Summary!$A$5:$A$241,"&lt;"&amp;$A130+7))</f>
        <v>0</v>
      </c>
      <c r="P130">
        <f>IF(P105="","",COUNTIFS(Summary!$E$5:$E$241,P105,Summary!$A$5:$A$241,"&gt;="&amp;$A130,Summary!$A$5:$A$241,"&lt;"&amp;$A130+7))</f>
        <v>0</v>
      </c>
      <c r="Q130">
        <f>IF(Q105="","",COUNTIFS(Summary!$E$5:$E$241,Q105,Summary!$A$5:$A$241,"&gt;="&amp;$A130,Summary!$A$5:$A$241,"&lt;"&amp;$A130+7))</f>
        <v>0</v>
      </c>
      <c r="R130">
        <f>IF(R105="","",COUNTIFS(Summary!$E$5:$E$241,R105,Summary!$A$5:$A$241,"&gt;="&amp;$A130,Summary!$A$5:$A$241,"&lt;"&amp;$A130+7))</f>
        <v>0</v>
      </c>
      <c r="S130">
        <f>IF(S105="","",COUNTIFS(Summary!$E$5:$E$241,S105,Summary!$A$5:$A$241,"&gt;="&amp;$A130,Summary!$A$5:$A$241,"&lt;"&amp;$A130+7))</f>
        <v>0</v>
      </c>
      <c r="T130">
        <f>IF(T105="","",COUNTIFS(Summary!$E$5:$E$241,T105,Summary!$A$5:$A$241,"&gt;="&amp;$A130,Summary!$A$5:$A$241,"&lt;"&amp;$A130+7))</f>
        <v>0</v>
      </c>
      <c r="U130">
        <f>IF(U105="","",COUNTIFS(Summary!$E$5:$E$241,U105,Summary!$A$5:$A$241,"&gt;="&amp;$A130,Summary!$A$5:$A$241,"&lt;"&amp;$A130+7))</f>
        <v>0</v>
      </c>
      <c r="V130">
        <f>IF(V105="","",COUNTIFS(Summary!$E$5:$E$241,V105,Summary!$A$5:$A$241,"&gt;="&amp;$A130,Summary!$A$5:$A$241,"&lt;"&amp;$A130+7))</f>
        <v>0</v>
      </c>
      <c r="W130">
        <f>IF(W105="","",COUNTIFS(Summary!$E$5:$E$241,W105,Summary!$A$5:$A$241,"&gt;="&amp;$A130,Summary!$A$5:$A$241,"&lt;"&amp;$A130+7))</f>
        <v>0</v>
      </c>
      <c r="X130">
        <f>IF(X105="","",COUNTIFS(Summary!$E$5:$E$241,X105,Summary!$A$5:$A$241,"&gt;="&amp;$A130,Summary!$A$5:$A$241,"&lt;"&amp;$A130+7))</f>
        <v>0</v>
      </c>
      <c r="Y130">
        <f>IF(Y105="","",COUNTIFS(Summary!$E$5:$E$241,Y105,Summary!$A$5:$A$241,"&gt;="&amp;$A130,Summary!$A$5:$A$241,"&lt;"&amp;$A130+7))</f>
        <v>0</v>
      </c>
      <c r="Z130">
        <f>IF(Z105="","",COUNTIFS(Summary!$E$5:$E$241,Z105,Summary!$A$5:$A$241,"&gt;="&amp;$A130,Summary!$A$5:$A$241,"&lt;"&amp;$A130+7))</f>
        <v>0</v>
      </c>
      <c r="AA130">
        <f>IF(AA105="","",COUNTIFS(Summary!$E$5:$E$241,AA105,Summary!$A$5:$A$241,"&gt;="&amp;$A130,Summary!$A$5:$A$241,"&lt;"&amp;$A130+7))</f>
        <v>0</v>
      </c>
      <c r="AB130">
        <f>IF(AB105="","",COUNTIFS(Summary!$E$5:$E$241,AB105,Summary!$A$5:$A$241,"&gt;="&amp;$A130,Summary!$A$5:$A$241,"&lt;"&amp;$A130+7))</f>
        <v>0</v>
      </c>
      <c r="AC130">
        <f>IF(AC105="","",COUNTIFS(Summary!$E$5:$E$241,AC105,Summary!$A$5:$A$241,"&gt;="&amp;$A130,Summary!$A$5:$A$241,"&lt;"&amp;$A130+7))</f>
        <v>0</v>
      </c>
      <c r="AD130">
        <f>IF(AD105="","",COUNTIFS(Summary!$E$5:$E$241,AD105,Summary!$A$5:$A$241,"&gt;="&amp;$A130,Summary!$A$5:$A$241,"&lt;"&amp;$A130+7))</f>
        <v>0</v>
      </c>
      <c r="AE130">
        <f>IF(AE105="","",COUNTIFS(Summary!$E$5:$E$241,AE105,Summary!$A$5:$A$241,"&gt;="&amp;$A130,Summary!$A$5:$A$241,"&lt;"&amp;$A130+7))</f>
        <v>0</v>
      </c>
      <c r="AF130">
        <f>IF(AF105="","",COUNTIFS(Summary!$E$5:$E$241,AF105,Summary!$A$5:$A$241,"&gt;="&amp;$A130,Summary!$A$5:$A$241,"&lt;"&amp;$A130+7))</f>
        <v>0</v>
      </c>
      <c r="AG130">
        <f>IF(AG105="","",COUNTIFS(Summary!$E$5:$E$241,AG105,Summary!$A$5:$A$241,"&gt;="&amp;$A130,Summary!$A$5:$A$241,"&lt;"&amp;$A130+7))</f>
        <v>0</v>
      </c>
      <c r="AH130">
        <f>IF(AH105="","",COUNTIFS(Summary!$E$5:$E$241,AH105,Summary!$A$5:$A$241,"&gt;="&amp;$A130,Summary!$A$5:$A$241,"&lt;"&amp;$A130+7))</f>
        <v>0</v>
      </c>
      <c r="AI130">
        <f>IF(AI105="","",COUNTIFS(Summary!$E$5:$E$241,AI105,Summary!$A$5:$A$241,"&gt;="&amp;$A130,Summary!$A$5:$A$241,"&lt;"&amp;$A130+7))</f>
        <v>0</v>
      </c>
      <c r="AJ130">
        <f>IF(AJ105="","",COUNTIFS(Summary!$E$5:$E$241,AJ105,Summary!$A$5:$A$241,"&gt;="&amp;$A130,Summary!$A$5:$A$241,"&lt;"&amp;$A130+7))</f>
        <v>0</v>
      </c>
      <c r="AK130">
        <f>IF(AK105="","",COUNTIFS(Summary!$E$5:$E$241,AK105,Summary!$A$5:$A$241,"&gt;="&amp;$A130,Summary!$A$5:$A$241,"&lt;"&amp;$A130+7))</f>
        <v>0</v>
      </c>
      <c r="AL130">
        <f>IF(AL105="","",COUNTIFS(Summary!$E$5:$E$241,AL105,Summary!$A$5:$A$241,"&gt;="&amp;$A130,Summary!$A$5:$A$241,"&lt;"&amp;$A130+7))</f>
        <v>0</v>
      </c>
      <c r="AM130">
        <f>IF(AM105="","",COUNTIFS(Summary!$E$5:$E$241,AM105,Summary!$A$5:$A$241,"&gt;="&amp;$A130,Summary!$A$5:$A$241,"&lt;"&amp;$A130+7))</f>
        <v>0</v>
      </c>
      <c r="AN130">
        <f>IF(AN105="","",COUNTIFS(Summary!$E$5:$E$241,AN105,Summary!$A$5:$A$241,"&gt;="&amp;$A130,Summary!$A$5:$A$241,"&lt;"&amp;$A130+7))</f>
        <v>0</v>
      </c>
      <c r="AO130">
        <f>IF(AO105="","",COUNTIFS(Summary!$E$5:$E$241,AO105,Summary!$A$5:$A$241,"&gt;="&amp;$A130,Summary!$A$5:$A$241,"&lt;"&amp;$A130+7))</f>
        <v>0</v>
      </c>
      <c r="AP130">
        <f>IF(AP105="","",COUNTIFS(Summary!$E$5:$E$241,AP105,Summary!$A$5:$A$241,"&gt;="&amp;$A130,Summary!$A$5:$A$241,"&lt;"&amp;$A130+7))</f>
        <v>0</v>
      </c>
      <c r="AQ130">
        <f>IF(AQ105="","",COUNTIFS(Summary!$E$5:$E$241,AQ105,Summary!$A$5:$A$241,"&gt;="&amp;$A130,Summary!$A$5:$A$241,"&lt;"&amp;$A130+7))</f>
        <v>0</v>
      </c>
      <c r="AR130">
        <f>IF(AR105="","",COUNTIFS(Summary!$E$5:$E$241,AR105,Summary!$A$5:$A$241,"&gt;="&amp;$A130,Summary!$A$5:$A$241,"&lt;"&amp;$A130+7))</f>
        <v>0</v>
      </c>
      <c r="AS130">
        <f>IF(AS105="","",COUNTIFS(Summary!$E$5:$E$241,AS105,Summary!$A$5:$A$241,"&gt;="&amp;$A130,Summary!$A$5:$A$241,"&lt;"&amp;$A130+7))</f>
        <v>0</v>
      </c>
      <c r="AT130">
        <f>IF(AT105="","",COUNTIFS(Summary!$E$5:$E$241,AT105,Summary!$A$5:$A$241,"&gt;="&amp;$A130,Summary!$A$5:$A$241,"&lt;"&amp;$A130+7))</f>
        <v>0</v>
      </c>
      <c r="AU130">
        <f>IF(AU105="","",COUNTIFS(Summary!$E$5:$E$241,AU105,Summary!$A$5:$A$241,"&gt;="&amp;$A130,Summary!$A$5:$A$241,"&lt;"&amp;$A130+7))</f>
        <v>0</v>
      </c>
      <c r="AV130">
        <f>IF(AV105="","",COUNTIFS(Summary!$E$5:$E$241,AV105,Summary!$A$5:$A$241,"&gt;="&amp;$A130,Summary!$A$5:$A$241,"&lt;"&amp;$A130+7))</f>
        <v>0</v>
      </c>
      <c r="AW130">
        <f>IF(AW105="","",COUNTIFS(Summary!$E$5:$E$241,AW105,Summary!$A$5:$A$241,"&gt;="&amp;$A130,Summary!$A$5:$A$241,"&lt;"&amp;$A130+7))</f>
        <v>0</v>
      </c>
      <c r="AX130">
        <f>IF(AX105="","",COUNTIFS(Summary!$E$5:$E$241,AX105,Summary!$A$5:$A$241,"&gt;="&amp;$A130,Summary!$A$5:$A$241,"&lt;"&amp;$A130+7))</f>
        <v>0</v>
      </c>
      <c r="AY130">
        <f>IF(AY105="","",COUNTIFS(Summary!$E$5:$E$241,AY105,Summary!$A$5:$A$241,"&gt;="&amp;$A130,Summary!$A$5:$A$241,"&lt;"&amp;$A130+7))</f>
        <v>0</v>
      </c>
      <c r="AZ130">
        <f>IF(AZ105="","",COUNTIFS(Summary!$E$5:$E$241,AZ105,Summary!$A$5:$A$241,"&gt;="&amp;$A130,Summary!$A$5:$A$241,"&lt;"&amp;$A130+7))</f>
        <v>0</v>
      </c>
      <c r="BA130">
        <f>IF(BA105="","",COUNTIFS(Summary!$E$5:$E$241,BA105,Summary!$A$5:$A$241,"&gt;="&amp;$A130,Summary!$A$5:$A$241,"&lt;"&amp;$A130+7))</f>
        <v>0</v>
      </c>
      <c r="BB130">
        <f>IF(BB105="","",COUNTIFS(Summary!$E$5:$E$241,BB105,Summary!$A$5:$A$241,"&gt;="&amp;$A130,Summary!$A$5:$A$241,"&lt;"&amp;$A130+7))</f>
        <v>0</v>
      </c>
      <c r="BC130">
        <f>IF(BC105="","",COUNTIFS(Summary!$E$5:$E$241,BC105,Summary!$A$5:$A$241,"&gt;="&amp;$A130,Summary!$A$5:$A$241,"&lt;"&amp;$A130+7))</f>
        <v>0</v>
      </c>
      <c r="BD130">
        <f>IF(BD105="","",COUNTIFS(Summary!$E$5:$E$241,BD105,Summary!$A$5:$A$241,"&gt;="&amp;$A130,Summary!$A$5:$A$241,"&lt;"&amp;$A130+7))</f>
        <v>0</v>
      </c>
      <c r="BE130">
        <f>IF(BE105="","",COUNTIFS(Summary!$E$5:$E$241,BE105,Summary!$A$5:$A$241,"&gt;="&amp;$A130,Summary!$A$5:$A$241,"&lt;"&amp;$A130+7))</f>
        <v>0</v>
      </c>
      <c r="BF130" s="28">
        <f>IF(BF105="","",COUNTIFS(Summary!$E$5:$E$241,BF105,Summary!$A$5:$A$241,"&gt;="&amp;$A130,Summary!$A$5:$A$241,"&lt;"&amp;$A130+7))</f>
        <v>0</v>
      </c>
    </row>
    <row r="131" spans="1:58">
      <c r="A131" s="18">
        <f t="shared" si="9"/>
        <v>46265.344340277778</v>
      </c>
      <c r="B131" s="2" t="str">
        <f t="shared" si="8"/>
        <v>Aug 31</v>
      </c>
      <c r="C131">
        <f>IF(C105="","",COUNTIFS(Summary!$E$5:$E$241,C105,Summary!$A$5:$A$241,"&gt;="&amp;$A131,Summary!$A$5:$A$241,"&lt;"&amp;$A131+7))</f>
        <v>0</v>
      </c>
      <c r="D131">
        <f>IF(D105="","",COUNTIFS(Summary!$E$5:$E$241,D105,Summary!$A$5:$A$241,"&gt;="&amp;$A131,Summary!$A$5:$A$241,"&lt;"&amp;$A131+7))</f>
        <v>0</v>
      </c>
      <c r="E131">
        <f>IF(E105="","",COUNTIFS(Summary!$E$5:$E$241,E105,Summary!$A$5:$A$241,"&gt;="&amp;$A131,Summary!$A$5:$A$241,"&lt;"&amp;$A131+7))</f>
        <v>0</v>
      </c>
      <c r="F131">
        <f>IF(F105="","",COUNTIFS(Summary!$E$5:$E$241,F105,Summary!$A$5:$A$241,"&gt;="&amp;$A131,Summary!$A$5:$A$241,"&lt;"&amp;$A131+7))</f>
        <v>0</v>
      </c>
      <c r="G131">
        <f>IF(G105="","",COUNTIFS(Summary!$E$5:$E$241,G105,Summary!$A$5:$A$241,"&gt;="&amp;$A131,Summary!$A$5:$A$241,"&lt;"&amp;$A131+7))</f>
        <v>0</v>
      </c>
      <c r="H131">
        <f>IF(H105="","",COUNTIFS(Summary!$E$5:$E$241,H105,Summary!$A$5:$A$241,"&gt;="&amp;$A131,Summary!$A$5:$A$241,"&lt;"&amp;$A131+7))</f>
        <v>0</v>
      </c>
      <c r="I131">
        <f>IF(I105="","",COUNTIFS(Summary!$E$5:$E$241,I105,Summary!$A$5:$A$241,"&gt;="&amp;$A131,Summary!$A$5:$A$241,"&lt;"&amp;$A131+7))</f>
        <v>0</v>
      </c>
      <c r="J131">
        <f>IF(J105="","",COUNTIFS(Summary!$E$5:$E$241,J105,Summary!$A$5:$A$241,"&gt;="&amp;$A131,Summary!$A$5:$A$241,"&lt;"&amp;$A131+7))</f>
        <v>0</v>
      </c>
      <c r="K131">
        <f>IF(K105="","",COUNTIFS(Summary!$E$5:$E$241,K105,Summary!$A$5:$A$241,"&gt;="&amp;$A131,Summary!$A$5:$A$241,"&lt;"&amp;$A131+7))</f>
        <v>0</v>
      </c>
      <c r="L131">
        <f>IF(L105="","",COUNTIFS(Summary!$E$5:$E$241,L105,Summary!$A$5:$A$241,"&gt;="&amp;$A131,Summary!$A$5:$A$241,"&lt;"&amp;$A131+7))</f>
        <v>0</v>
      </c>
      <c r="M131">
        <f>IF(M105="","",COUNTIFS(Summary!$E$5:$E$241,M105,Summary!$A$5:$A$241,"&gt;="&amp;$A131,Summary!$A$5:$A$241,"&lt;"&amp;$A131+7))</f>
        <v>0</v>
      </c>
      <c r="N131">
        <f>IF(N105="","",COUNTIFS(Summary!$E$5:$E$241,N105,Summary!$A$5:$A$241,"&gt;="&amp;$A131,Summary!$A$5:$A$241,"&lt;"&amp;$A131+7))</f>
        <v>0</v>
      </c>
      <c r="O131">
        <f>IF(O105="","",COUNTIFS(Summary!$E$5:$E$241,O105,Summary!$A$5:$A$241,"&gt;="&amp;$A131,Summary!$A$5:$A$241,"&lt;"&amp;$A131+7))</f>
        <v>0</v>
      </c>
      <c r="P131">
        <f>IF(P105="","",COUNTIFS(Summary!$E$5:$E$241,P105,Summary!$A$5:$A$241,"&gt;="&amp;$A131,Summary!$A$5:$A$241,"&lt;"&amp;$A131+7))</f>
        <v>0</v>
      </c>
      <c r="Q131">
        <f>IF(Q105="","",COUNTIFS(Summary!$E$5:$E$241,Q105,Summary!$A$5:$A$241,"&gt;="&amp;$A131,Summary!$A$5:$A$241,"&lt;"&amp;$A131+7))</f>
        <v>0</v>
      </c>
      <c r="R131">
        <f>IF(R105="","",COUNTIFS(Summary!$E$5:$E$241,R105,Summary!$A$5:$A$241,"&gt;="&amp;$A131,Summary!$A$5:$A$241,"&lt;"&amp;$A131+7))</f>
        <v>0</v>
      </c>
      <c r="S131">
        <f>IF(S105="","",COUNTIFS(Summary!$E$5:$E$241,S105,Summary!$A$5:$A$241,"&gt;="&amp;$A131,Summary!$A$5:$A$241,"&lt;"&amp;$A131+7))</f>
        <v>0</v>
      </c>
      <c r="T131">
        <f>IF(T105="","",COUNTIFS(Summary!$E$5:$E$241,T105,Summary!$A$5:$A$241,"&gt;="&amp;$A131,Summary!$A$5:$A$241,"&lt;"&amp;$A131+7))</f>
        <v>0</v>
      </c>
      <c r="U131">
        <f>IF(U105="","",COUNTIFS(Summary!$E$5:$E$241,U105,Summary!$A$5:$A$241,"&gt;="&amp;$A131,Summary!$A$5:$A$241,"&lt;"&amp;$A131+7))</f>
        <v>0</v>
      </c>
      <c r="V131">
        <f>IF(V105="","",COUNTIFS(Summary!$E$5:$E$241,V105,Summary!$A$5:$A$241,"&gt;="&amp;$A131,Summary!$A$5:$A$241,"&lt;"&amp;$A131+7))</f>
        <v>0</v>
      </c>
      <c r="W131">
        <f>IF(W105="","",COUNTIFS(Summary!$E$5:$E$241,W105,Summary!$A$5:$A$241,"&gt;="&amp;$A131,Summary!$A$5:$A$241,"&lt;"&amp;$A131+7))</f>
        <v>0</v>
      </c>
      <c r="X131">
        <f>IF(X105="","",COUNTIFS(Summary!$E$5:$E$241,X105,Summary!$A$5:$A$241,"&gt;="&amp;$A131,Summary!$A$5:$A$241,"&lt;"&amp;$A131+7))</f>
        <v>0</v>
      </c>
      <c r="Y131">
        <f>IF(Y105="","",COUNTIFS(Summary!$E$5:$E$241,Y105,Summary!$A$5:$A$241,"&gt;="&amp;$A131,Summary!$A$5:$A$241,"&lt;"&amp;$A131+7))</f>
        <v>0</v>
      </c>
      <c r="Z131">
        <f>IF(Z105="","",COUNTIFS(Summary!$E$5:$E$241,Z105,Summary!$A$5:$A$241,"&gt;="&amp;$A131,Summary!$A$5:$A$241,"&lt;"&amp;$A131+7))</f>
        <v>0</v>
      </c>
      <c r="AA131">
        <f>IF(AA105="","",COUNTIFS(Summary!$E$5:$E$241,AA105,Summary!$A$5:$A$241,"&gt;="&amp;$A131,Summary!$A$5:$A$241,"&lt;"&amp;$A131+7))</f>
        <v>0</v>
      </c>
      <c r="AB131">
        <f>IF(AB105="","",COUNTIFS(Summary!$E$5:$E$241,AB105,Summary!$A$5:$A$241,"&gt;="&amp;$A131,Summary!$A$5:$A$241,"&lt;"&amp;$A131+7))</f>
        <v>0</v>
      </c>
      <c r="AC131">
        <f>IF(AC105="","",COUNTIFS(Summary!$E$5:$E$241,AC105,Summary!$A$5:$A$241,"&gt;="&amp;$A131,Summary!$A$5:$A$241,"&lt;"&amp;$A131+7))</f>
        <v>0</v>
      </c>
      <c r="AD131">
        <f>IF(AD105="","",COUNTIFS(Summary!$E$5:$E$241,AD105,Summary!$A$5:$A$241,"&gt;="&amp;$A131,Summary!$A$5:$A$241,"&lt;"&amp;$A131+7))</f>
        <v>0</v>
      </c>
      <c r="AE131">
        <f>IF(AE105="","",COUNTIFS(Summary!$E$5:$E$241,AE105,Summary!$A$5:$A$241,"&gt;="&amp;$A131,Summary!$A$5:$A$241,"&lt;"&amp;$A131+7))</f>
        <v>0</v>
      </c>
      <c r="AF131">
        <f>IF(AF105="","",COUNTIFS(Summary!$E$5:$E$241,AF105,Summary!$A$5:$A$241,"&gt;="&amp;$A131,Summary!$A$5:$A$241,"&lt;"&amp;$A131+7))</f>
        <v>0</v>
      </c>
      <c r="AG131">
        <f>IF(AG105="","",COUNTIFS(Summary!$E$5:$E$241,AG105,Summary!$A$5:$A$241,"&gt;="&amp;$A131,Summary!$A$5:$A$241,"&lt;"&amp;$A131+7))</f>
        <v>0</v>
      </c>
      <c r="AH131">
        <f>IF(AH105="","",COUNTIFS(Summary!$E$5:$E$241,AH105,Summary!$A$5:$A$241,"&gt;="&amp;$A131,Summary!$A$5:$A$241,"&lt;"&amp;$A131+7))</f>
        <v>0</v>
      </c>
      <c r="AI131">
        <f>IF(AI105="","",COUNTIFS(Summary!$E$5:$E$241,AI105,Summary!$A$5:$A$241,"&gt;="&amp;$A131,Summary!$A$5:$A$241,"&lt;"&amp;$A131+7))</f>
        <v>0</v>
      </c>
      <c r="AJ131">
        <f>IF(AJ105="","",COUNTIFS(Summary!$E$5:$E$241,AJ105,Summary!$A$5:$A$241,"&gt;="&amp;$A131,Summary!$A$5:$A$241,"&lt;"&amp;$A131+7))</f>
        <v>0</v>
      </c>
      <c r="AK131">
        <f>IF(AK105="","",COUNTIFS(Summary!$E$5:$E$241,AK105,Summary!$A$5:$A$241,"&gt;="&amp;$A131,Summary!$A$5:$A$241,"&lt;"&amp;$A131+7))</f>
        <v>0</v>
      </c>
      <c r="AL131">
        <f>IF(AL105="","",COUNTIFS(Summary!$E$5:$E$241,AL105,Summary!$A$5:$A$241,"&gt;="&amp;$A131,Summary!$A$5:$A$241,"&lt;"&amp;$A131+7))</f>
        <v>0</v>
      </c>
      <c r="AM131">
        <f>IF(AM105="","",COUNTIFS(Summary!$E$5:$E$241,AM105,Summary!$A$5:$A$241,"&gt;="&amp;$A131,Summary!$A$5:$A$241,"&lt;"&amp;$A131+7))</f>
        <v>0</v>
      </c>
      <c r="AN131">
        <f>IF(AN105="","",COUNTIFS(Summary!$E$5:$E$241,AN105,Summary!$A$5:$A$241,"&gt;="&amp;$A131,Summary!$A$5:$A$241,"&lt;"&amp;$A131+7))</f>
        <v>0</v>
      </c>
      <c r="AO131">
        <f>IF(AO105="","",COUNTIFS(Summary!$E$5:$E$241,AO105,Summary!$A$5:$A$241,"&gt;="&amp;$A131,Summary!$A$5:$A$241,"&lt;"&amp;$A131+7))</f>
        <v>0</v>
      </c>
      <c r="AP131">
        <f>IF(AP105="","",COUNTIFS(Summary!$E$5:$E$241,AP105,Summary!$A$5:$A$241,"&gt;="&amp;$A131,Summary!$A$5:$A$241,"&lt;"&amp;$A131+7))</f>
        <v>0</v>
      </c>
      <c r="AQ131">
        <f>IF(AQ105="","",COUNTIFS(Summary!$E$5:$E$241,AQ105,Summary!$A$5:$A$241,"&gt;="&amp;$A131,Summary!$A$5:$A$241,"&lt;"&amp;$A131+7))</f>
        <v>0</v>
      </c>
      <c r="AR131">
        <f>IF(AR105="","",COUNTIFS(Summary!$E$5:$E$241,AR105,Summary!$A$5:$A$241,"&gt;="&amp;$A131,Summary!$A$5:$A$241,"&lt;"&amp;$A131+7))</f>
        <v>0</v>
      </c>
      <c r="AS131">
        <f>IF(AS105="","",COUNTIFS(Summary!$E$5:$E$241,AS105,Summary!$A$5:$A$241,"&gt;="&amp;$A131,Summary!$A$5:$A$241,"&lt;"&amp;$A131+7))</f>
        <v>0</v>
      </c>
      <c r="AT131">
        <f>IF(AT105="","",COUNTIFS(Summary!$E$5:$E$241,AT105,Summary!$A$5:$A$241,"&gt;="&amp;$A131,Summary!$A$5:$A$241,"&lt;"&amp;$A131+7))</f>
        <v>0</v>
      </c>
      <c r="AU131">
        <f>IF(AU105="","",COUNTIFS(Summary!$E$5:$E$241,AU105,Summary!$A$5:$A$241,"&gt;="&amp;$A131,Summary!$A$5:$A$241,"&lt;"&amp;$A131+7))</f>
        <v>0</v>
      </c>
      <c r="AV131">
        <f>IF(AV105="","",COUNTIFS(Summary!$E$5:$E$241,AV105,Summary!$A$5:$A$241,"&gt;="&amp;$A131,Summary!$A$5:$A$241,"&lt;"&amp;$A131+7))</f>
        <v>0</v>
      </c>
      <c r="AW131">
        <f>IF(AW105="","",COUNTIFS(Summary!$E$5:$E$241,AW105,Summary!$A$5:$A$241,"&gt;="&amp;$A131,Summary!$A$5:$A$241,"&lt;"&amp;$A131+7))</f>
        <v>0</v>
      </c>
      <c r="AX131">
        <f>IF(AX105="","",COUNTIFS(Summary!$E$5:$E$241,AX105,Summary!$A$5:$A$241,"&gt;="&amp;$A131,Summary!$A$5:$A$241,"&lt;"&amp;$A131+7))</f>
        <v>0</v>
      </c>
      <c r="AY131">
        <f>IF(AY105="","",COUNTIFS(Summary!$E$5:$E$241,AY105,Summary!$A$5:$A$241,"&gt;="&amp;$A131,Summary!$A$5:$A$241,"&lt;"&amp;$A131+7))</f>
        <v>0</v>
      </c>
      <c r="AZ131">
        <f>IF(AZ105="","",COUNTIFS(Summary!$E$5:$E$241,AZ105,Summary!$A$5:$A$241,"&gt;="&amp;$A131,Summary!$A$5:$A$241,"&lt;"&amp;$A131+7))</f>
        <v>0</v>
      </c>
      <c r="BA131">
        <f>IF(BA105="","",COUNTIFS(Summary!$E$5:$E$241,BA105,Summary!$A$5:$A$241,"&gt;="&amp;$A131,Summary!$A$5:$A$241,"&lt;"&amp;$A131+7))</f>
        <v>0</v>
      </c>
      <c r="BB131">
        <f>IF(BB105="","",COUNTIFS(Summary!$E$5:$E$241,BB105,Summary!$A$5:$A$241,"&gt;="&amp;$A131,Summary!$A$5:$A$241,"&lt;"&amp;$A131+7))</f>
        <v>0</v>
      </c>
      <c r="BC131">
        <f>IF(BC105="","",COUNTIFS(Summary!$E$5:$E$241,BC105,Summary!$A$5:$A$241,"&gt;="&amp;$A131,Summary!$A$5:$A$241,"&lt;"&amp;$A131+7))</f>
        <v>0</v>
      </c>
      <c r="BD131">
        <f>IF(BD105="","",COUNTIFS(Summary!$E$5:$E$241,BD105,Summary!$A$5:$A$241,"&gt;="&amp;$A131,Summary!$A$5:$A$241,"&lt;"&amp;$A131+7))</f>
        <v>0</v>
      </c>
      <c r="BE131">
        <f>IF(BE105="","",COUNTIFS(Summary!$E$5:$E$241,BE105,Summary!$A$5:$A$241,"&gt;="&amp;$A131,Summary!$A$5:$A$241,"&lt;"&amp;$A131+7))</f>
        <v>0</v>
      </c>
      <c r="BF131" s="28">
        <f>IF(BF105="","",COUNTIFS(Summary!$E$5:$E$241,BF105,Summary!$A$5:$A$241,"&gt;="&amp;$A131,Summary!$A$5:$A$241,"&lt;"&amp;$A131+7))</f>
        <v>0</v>
      </c>
    </row>
    <row r="132" spans="1:58">
      <c r="A132" s="18">
        <f t="shared" si="9"/>
        <v>46272.344340277778</v>
      </c>
      <c r="B132" s="2" t="str">
        <f t="shared" si="8"/>
        <v>Sep 7</v>
      </c>
      <c r="C132">
        <f>IF(C105="","",COUNTIFS(Summary!$E$5:$E$241,C105,Summary!$A$5:$A$241,"&gt;="&amp;$A132,Summary!$A$5:$A$241,"&lt;"&amp;$A132+7))</f>
        <v>0</v>
      </c>
      <c r="D132">
        <f>IF(D105="","",COUNTIFS(Summary!$E$5:$E$241,D105,Summary!$A$5:$A$241,"&gt;="&amp;$A132,Summary!$A$5:$A$241,"&lt;"&amp;$A132+7))</f>
        <v>0</v>
      </c>
      <c r="E132">
        <f>IF(E105="","",COUNTIFS(Summary!$E$5:$E$241,E105,Summary!$A$5:$A$241,"&gt;="&amp;$A132,Summary!$A$5:$A$241,"&lt;"&amp;$A132+7))</f>
        <v>0</v>
      </c>
      <c r="F132">
        <f>IF(F105="","",COUNTIFS(Summary!$E$5:$E$241,F105,Summary!$A$5:$A$241,"&gt;="&amp;$A132,Summary!$A$5:$A$241,"&lt;"&amp;$A132+7))</f>
        <v>0</v>
      </c>
      <c r="G132">
        <f>IF(G105="","",COUNTIFS(Summary!$E$5:$E$241,G105,Summary!$A$5:$A$241,"&gt;="&amp;$A132,Summary!$A$5:$A$241,"&lt;"&amp;$A132+7))</f>
        <v>0</v>
      </c>
      <c r="H132">
        <f>IF(H105="","",COUNTIFS(Summary!$E$5:$E$241,H105,Summary!$A$5:$A$241,"&gt;="&amp;$A132,Summary!$A$5:$A$241,"&lt;"&amp;$A132+7))</f>
        <v>0</v>
      </c>
      <c r="I132">
        <f>IF(I105="","",COUNTIFS(Summary!$E$5:$E$241,I105,Summary!$A$5:$A$241,"&gt;="&amp;$A132,Summary!$A$5:$A$241,"&lt;"&amp;$A132+7))</f>
        <v>0</v>
      </c>
      <c r="J132">
        <f>IF(J105="","",COUNTIFS(Summary!$E$5:$E$241,J105,Summary!$A$5:$A$241,"&gt;="&amp;$A132,Summary!$A$5:$A$241,"&lt;"&amp;$A132+7))</f>
        <v>0</v>
      </c>
      <c r="K132">
        <f>IF(K105="","",COUNTIFS(Summary!$E$5:$E$241,K105,Summary!$A$5:$A$241,"&gt;="&amp;$A132,Summary!$A$5:$A$241,"&lt;"&amp;$A132+7))</f>
        <v>0</v>
      </c>
      <c r="L132">
        <f>IF(L105="","",COUNTIFS(Summary!$E$5:$E$241,L105,Summary!$A$5:$A$241,"&gt;="&amp;$A132,Summary!$A$5:$A$241,"&lt;"&amp;$A132+7))</f>
        <v>0</v>
      </c>
      <c r="M132">
        <f>IF(M105="","",COUNTIFS(Summary!$E$5:$E$241,M105,Summary!$A$5:$A$241,"&gt;="&amp;$A132,Summary!$A$5:$A$241,"&lt;"&amp;$A132+7))</f>
        <v>0</v>
      </c>
      <c r="N132">
        <f>IF(N105="","",COUNTIFS(Summary!$E$5:$E$241,N105,Summary!$A$5:$A$241,"&gt;="&amp;$A132,Summary!$A$5:$A$241,"&lt;"&amp;$A132+7))</f>
        <v>0</v>
      </c>
      <c r="O132">
        <f>IF(O105="","",COUNTIFS(Summary!$E$5:$E$241,O105,Summary!$A$5:$A$241,"&gt;="&amp;$A132,Summary!$A$5:$A$241,"&lt;"&amp;$A132+7))</f>
        <v>0</v>
      </c>
      <c r="P132">
        <f>IF(P105="","",COUNTIFS(Summary!$E$5:$E$241,P105,Summary!$A$5:$A$241,"&gt;="&amp;$A132,Summary!$A$5:$A$241,"&lt;"&amp;$A132+7))</f>
        <v>0</v>
      </c>
      <c r="Q132">
        <f>IF(Q105="","",COUNTIFS(Summary!$E$5:$E$241,Q105,Summary!$A$5:$A$241,"&gt;="&amp;$A132,Summary!$A$5:$A$241,"&lt;"&amp;$A132+7))</f>
        <v>0</v>
      </c>
      <c r="R132">
        <f>IF(R105="","",COUNTIFS(Summary!$E$5:$E$241,R105,Summary!$A$5:$A$241,"&gt;="&amp;$A132,Summary!$A$5:$A$241,"&lt;"&amp;$A132+7))</f>
        <v>0</v>
      </c>
      <c r="S132">
        <f>IF(S105="","",COUNTIFS(Summary!$E$5:$E$241,S105,Summary!$A$5:$A$241,"&gt;="&amp;$A132,Summary!$A$5:$A$241,"&lt;"&amp;$A132+7))</f>
        <v>0</v>
      </c>
      <c r="T132">
        <f>IF(T105="","",COUNTIFS(Summary!$E$5:$E$241,T105,Summary!$A$5:$A$241,"&gt;="&amp;$A132,Summary!$A$5:$A$241,"&lt;"&amp;$A132+7))</f>
        <v>0</v>
      </c>
      <c r="U132">
        <f>IF(U105="","",COUNTIFS(Summary!$E$5:$E$241,U105,Summary!$A$5:$A$241,"&gt;="&amp;$A132,Summary!$A$5:$A$241,"&lt;"&amp;$A132+7))</f>
        <v>0</v>
      </c>
      <c r="V132">
        <f>IF(V105="","",COUNTIFS(Summary!$E$5:$E$241,V105,Summary!$A$5:$A$241,"&gt;="&amp;$A132,Summary!$A$5:$A$241,"&lt;"&amp;$A132+7))</f>
        <v>0</v>
      </c>
      <c r="W132">
        <f>IF(W105="","",COUNTIFS(Summary!$E$5:$E$241,W105,Summary!$A$5:$A$241,"&gt;="&amp;$A132,Summary!$A$5:$A$241,"&lt;"&amp;$A132+7))</f>
        <v>0</v>
      </c>
      <c r="X132">
        <f>IF(X105="","",COUNTIFS(Summary!$E$5:$E$241,X105,Summary!$A$5:$A$241,"&gt;="&amp;$A132,Summary!$A$5:$A$241,"&lt;"&amp;$A132+7))</f>
        <v>0</v>
      </c>
      <c r="Y132">
        <f>IF(Y105="","",COUNTIFS(Summary!$E$5:$E$241,Y105,Summary!$A$5:$A$241,"&gt;="&amp;$A132,Summary!$A$5:$A$241,"&lt;"&amp;$A132+7))</f>
        <v>0</v>
      </c>
      <c r="Z132">
        <f>IF(Z105="","",COUNTIFS(Summary!$E$5:$E$241,Z105,Summary!$A$5:$A$241,"&gt;="&amp;$A132,Summary!$A$5:$A$241,"&lt;"&amp;$A132+7))</f>
        <v>0</v>
      </c>
      <c r="AA132">
        <f>IF(AA105="","",COUNTIFS(Summary!$E$5:$E$241,AA105,Summary!$A$5:$A$241,"&gt;="&amp;$A132,Summary!$A$5:$A$241,"&lt;"&amp;$A132+7))</f>
        <v>0</v>
      </c>
      <c r="AB132">
        <f>IF(AB105="","",COUNTIFS(Summary!$E$5:$E$241,AB105,Summary!$A$5:$A$241,"&gt;="&amp;$A132,Summary!$A$5:$A$241,"&lt;"&amp;$A132+7))</f>
        <v>0</v>
      </c>
      <c r="AC132">
        <f>IF(AC105="","",COUNTIFS(Summary!$E$5:$E$241,AC105,Summary!$A$5:$A$241,"&gt;="&amp;$A132,Summary!$A$5:$A$241,"&lt;"&amp;$A132+7))</f>
        <v>0</v>
      </c>
      <c r="AD132">
        <f>IF(AD105="","",COUNTIFS(Summary!$E$5:$E$241,AD105,Summary!$A$5:$A$241,"&gt;="&amp;$A132,Summary!$A$5:$A$241,"&lt;"&amp;$A132+7))</f>
        <v>0</v>
      </c>
      <c r="AE132">
        <f>IF(AE105="","",COUNTIFS(Summary!$E$5:$E$241,AE105,Summary!$A$5:$A$241,"&gt;="&amp;$A132,Summary!$A$5:$A$241,"&lt;"&amp;$A132+7))</f>
        <v>0</v>
      </c>
      <c r="AF132">
        <f>IF(AF105="","",COUNTIFS(Summary!$E$5:$E$241,AF105,Summary!$A$5:$A$241,"&gt;="&amp;$A132,Summary!$A$5:$A$241,"&lt;"&amp;$A132+7))</f>
        <v>0</v>
      </c>
      <c r="AG132">
        <f>IF(AG105="","",COUNTIFS(Summary!$E$5:$E$241,AG105,Summary!$A$5:$A$241,"&gt;="&amp;$A132,Summary!$A$5:$A$241,"&lt;"&amp;$A132+7))</f>
        <v>0</v>
      </c>
      <c r="AH132">
        <f>IF(AH105="","",COUNTIFS(Summary!$E$5:$E$241,AH105,Summary!$A$5:$A$241,"&gt;="&amp;$A132,Summary!$A$5:$A$241,"&lt;"&amp;$A132+7))</f>
        <v>0</v>
      </c>
      <c r="AI132">
        <f>IF(AI105="","",COUNTIFS(Summary!$E$5:$E$241,AI105,Summary!$A$5:$A$241,"&gt;="&amp;$A132,Summary!$A$5:$A$241,"&lt;"&amp;$A132+7))</f>
        <v>0</v>
      </c>
      <c r="AJ132">
        <f>IF(AJ105="","",COUNTIFS(Summary!$E$5:$E$241,AJ105,Summary!$A$5:$A$241,"&gt;="&amp;$A132,Summary!$A$5:$A$241,"&lt;"&amp;$A132+7))</f>
        <v>0</v>
      </c>
      <c r="AK132">
        <f>IF(AK105="","",COUNTIFS(Summary!$E$5:$E$241,AK105,Summary!$A$5:$A$241,"&gt;="&amp;$A132,Summary!$A$5:$A$241,"&lt;"&amp;$A132+7))</f>
        <v>0</v>
      </c>
      <c r="AL132">
        <f>IF(AL105="","",COUNTIFS(Summary!$E$5:$E$241,AL105,Summary!$A$5:$A$241,"&gt;="&amp;$A132,Summary!$A$5:$A$241,"&lt;"&amp;$A132+7))</f>
        <v>0</v>
      </c>
      <c r="AM132">
        <f>IF(AM105="","",COUNTIFS(Summary!$E$5:$E$241,AM105,Summary!$A$5:$A$241,"&gt;="&amp;$A132,Summary!$A$5:$A$241,"&lt;"&amp;$A132+7))</f>
        <v>0</v>
      </c>
      <c r="AN132">
        <f>IF(AN105="","",COUNTIFS(Summary!$E$5:$E$241,AN105,Summary!$A$5:$A$241,"&gt;="&amp;$A132,Summary!$A$5:$A$241,"&lt;"&amp;$A132+7))</f>
        <v>0</v>
      </c>
      <c r="AO132">
        <f>IF(AO105="","",COUNTIFS(Summary!$E$5:$E$241,AO105,Summary!$A$5:$A$241,"&gt;="&amp;$A132,Summary!$A$5:$A$241,"&lt;"&amp;$A132+7))</f>
        <v>0</v>
      </c>
      <c r="AP132">
        <f>IF(AP105="","",COUNTIFS(Summary!$E$5:$E$241,AP105,Summary!$A$5:$A$241,"&gt;="&amp;$A132,Summary!$A$5:$A$241,"&lt;"&amp;$A132+7))</f>
        <v>0</v>
      </c>
      <c r="AQ132">
        <f>IF(AQ105="","",COUNTIFS(Summary!$E$5:$E$241,AQ105,Summary!$A$5:$A$241,"&gt;="&amp;$A132,Summary!$A$5:$A$241,"&lt;"&amp;$A132+7))</f>
        <v>0</v>
      </c>
      <c r="AR132">
        <f>IF(AR105="","",COUNTIFS(Summary!$E$5:$E$241,AR105,Summary!$A$5:$A$241,"&gt;="&amp;$A132,Summary!$A$5:$A$241,"&lt;"&amp;$A132+7))</f>
        <v>0</v>
      </c>
      <c r="AS132">
        <f>IF(AS105="","",COUNTIFS(Summary!$E$5:$E$241,AS105,Summary!$A$5:$A$241,"&gt;="&amp;$A132,Summary!$A$5:$A$241,"&lt;"&amp;$A132+7))</f>
        <v>0</v>
      </c>
      <c r="AT132">
        <f>IF(AT105="","",COUNTIFS(Summary!$E$5:$E$241,AT105,Summary!$A$5:$A$241,"&gt;="&amp;$A132,Summary!$A$5:$A$241,"&lt;"&amp;$A132+7))</f>
        <v>0</v>
      </c>
      <c r="AU132">
        <f>IF(AU105="","",COUNTIFS(Summary!$E$5:$E$241,AU105,Summary!$A$5:$A$241,"&gt;="&amp;$A132,Summary!$A$5:$A$241,"&lt;"&amp;$A132+7))</f>
        <v>0</v>
      </c>
      <c r="AV132">
        <f>IF(AV105="","",COUNTIFS(Summary!$E$5:$E$241,AV105,Summary!$A$5:$A$241,"&gt;="&amp;$A132,Summary!$A$5:$A$241,"&lt;"&amp;$A132+7))</f>
        <v>0</v>
      </c>
      <c r="AW132">
        <f>IF(AW105="","",COUNTIFS(Summary!$E$5:$E$241,AW105,Summary!$A$5:$A$241,"&gt;="&amp;$A132,Summary!$A$5:$A$241,"&lt;"&amp;$A132+7))</f>
        <v>0</v>
      </c>
      <c r="AX132">
        <f>IF(AX105="","",COUNTIFS(Summary!$E$5:$E$241,AX105,Summary!$A$5:$A$241,"&gt;="&amp;$A132,Summary!$A$5:$A$241,"&lt;"&amp;$A132+7))</f>
        <v>0</v>
      </c>
      <c r="AY132">
        <f>IF(AY105="","",COUNTIFS(Summary!$E$5:$E$241,AY105,Summary!$A$5:$A$241,"&gt;="&amp;$A132,Summary!$A$5:$A$241,"&lt;"&amp;$A132+7))</f>
        <v>0</v>
      </c>
      <c r="AZ132">
        <f>IF(AZ105="","",COUNTIFS(Summary!$E$5:$E$241,AZ105,Summary!$A$5:$A$241,"&gt;="&amp;$A132,Summary!$A$5:$A$241,"&lt;"&amp;$A132+7))</f>
        <v>0</v>
      </c>
      <c r="BA132">
        <f>IF(BA105="","",COUNTIFS(Summary!$E$5:$E$241,BA105,Summary!$A$5:$A$241,"&gt;="&amp;$A132,Summary!$A$5:$A$241,"&lt;"&amp;$A132+7))</f>
        <v>0</v>
      </c>
      <c r="BB132">
        <f>IF(BB105="","",COUNTIFS(Summary!$E$5:$E$241,BB105,Summary!$A$5:$A$241,"&gt;="&amp;$A132,Summary!$A$5:$A$241,"&lt;"&amp;$A132+7))</f>
        <v>0</v>
      </c>
      <c r="BC132">
        <f>IF(BC105="","",COUNTIFS(Summary!$E$5:$E$241,BC105,Summary!$A$5:$A$241,"&gt;="&amp;$A132,Summary!$A$5:$A$241,"&lt;"&amp;$A132+7))</f>
        <v>0</v>
      </c>
      <c r="BD132">
        <f>IF(BD105="","",COUNTIFS(Summary!$E$5:$E$241,BD105,Summary!$A$5:$A$241,"&gt;="&amp;$A132,Summary!$A$5:$A$241,"&lt;"&amp;$A132+7))</f>
        <v>0</v>
      </c>
      <c r="BE132">
        <f>IF(BE105="","",COUNTIFS(Summary!$E$5:$E$241,BE105,Summary!$A$5:$A$241,"&gt;="&amp;$A132,Summary!$A$5:$A$241,"&lt;"&amp;$A132+7))</f>
        <v>0</v>
      </c>
      <c r="BF132" s="28">
        <f>IF(BF105="","",COUNTIFS(Summary!$E$5:$E$241,BF105,Summary!$A$5:$A$241,"&gt;="&amp;$A132,Summary!$A$5:$A$241,"&lt;"&amp;$A132+7))</f>
        <v>0</v>
      </c>
    </row>
    <row r="133" spans="1:58">
      <c r="A133" s="18">
        <f t="shared" si="9"/>
        <v>46279.344340277778</v>
      </c>
      <c r="B133" s="2" t="str">
        <f t="shared" si="8"/>
        <v>Sep 14</v>
      </c>
      <c r="C133">
        <f>IF(C105="","",COUNTIFS(Summary!$E$5:$E$241,C105,Summary!$A$5:$A$241,"&gt;="&amp;$A133,Summary!$A$5:$A$241,"&lt;"&amp;$A133+7))</f>
        <v>0</v>
      </c>
      <c r="D133">
        <f>IF(D105="","",COUNTIFS(Summary!$E$5:$E$241,D105,Summary!$A$5:$A$241,"&gt;="&amp;$A133,Summary!$A$5:$A$241,"&lt;"&amp;$A133+7))</f>
        <v>0</v>
      </c>
      <c r="E133">
        <f>IF(E105="","",COUNTIFS(Summary!$E$5:$E$241,E105,Summary!$A$5:$A$241,"&gt;="&amp;$A133,Summary!$A$5:$A$241,"&lt;"&amp;$A133+7))</f>
        <v>0</v>
      </c>
      <c r="F133">
        <f>IF(F105="","",COUNTIFS(Summary!$E$5:$E$241,F105,Summary!$A$5:$A$241,"&gt;="&amp;$A133,Summary!$A$5:$A$241,"&lt;"&amp;$A133+7))</f>
        <v>0</v>
      </c>
      <c r="G133">
        <f>IF(G105="","",COUNTIFS(Summary!$E$5:$E$241,G105,Summary!$A$5:$A$241,"&gt;="&amp;$A133,Summary!$A$5:$A$241,"&lt;"&amp;$A133+7))</f>
        <v>0</v>
      </c>
      <c r="H133">
        <f>IF(H105="","",COUNTIFS(Summary!$E$5:$E$241,H105,Summary!$A$5:$A$241,"&gt;="&amp;$A133,Summary!$A$5:$A$241,"&lt;"&amp;$A133+7))</f>
        <v>0</v>
      </c>
      <c r="I133">
        <f>IF(I105="","",COUNTIFS(Summary!$E$5:$E$241,I105,Summary!$A$5:$A$241,"&gt;="&amp;$A133,Summary!$A$5:$A$241,"&lt;"&amp;$A133+7))</f>
        <v>0</v>
      </c>
      <c r="J133">
        <f>IF(J105="","",COUNTIFS(Summary!$E$5:$E$241,J105,Summary!$A$5:$A$241,"&gt;="&amp;$A133,Summary!$A$5:$A$241,"&lt;"&amp;$A133+7))</f>
        <v>0</v>
      </c>
      <c r="K133">
        <f>IF(K105="","",COUNTIFS(Summary!$E$5:$E$241,K105,Summary!$A$5:$A$241,"&gt;="&amp;$A133,Summary!$A$5:$A$241,"&lt;"&amp;$A133+7))</f>
        <v>0</v>
      </c>
      <c r="L133">
        <f>IF(L105="","",COUNTIFS(Summary!$E$5:$E$241,L105,Summary!$A$5:$A$241,"&gt;="&amp;$A133,Summary!$A$5:$A$241,"&lt;"&amp;$A133+7))</f>
        <v>0</v>
      </c>
      <c r="M133">
        <f>IF(M105="","",COUNTIFS(Summary!$E$5:$E$241,M105,Summary!$A$5:$A$241,"&gt;="&amp;$A133,Summary!$A$5:$A$241,"&lt;"&amp;$A133+7))</f>
        <v>0</v>
      </c>
      <c r="N133">
        <f>IF(N105="","",COUNTIFS(Summary!$E$5:$E$241,N105,Summary!$A$5:$A$241,"&gt;="&amp;$A133,Summary!$A$5:$A$241,"&lt;"&amp;$A133+7))</f>
        <v>0</v>
      </c>
      <c r="O133">
        <f>IF(O105="","",COUNTIFS(Summary!$E$5:$E$241,O105,Summary!$A$5:$A$241,"&gt;="&amp;$A133,Summary!$A$5:$A$241,"&lt;"&amp;$A133+7))</f>
        <v>0</v>
      </c>
      <c r="P133">
        <f>IF(P105="","",COUNTIFS(Summary!$E$5:$E$241,P105,Summary!$A$5:$A$241,"&gt;="&amp;$A133,Summary!$A$5:$A$241,"&lt;"&amp;$A133+7))</f>
        <v>0</v>
      </c>
      <c r="Q133">
        <f>IF(Q105="","",COUNTIFS(Summary!$E$5:$E$241,Q105,Summary!$A$5:$A$241,"&gt;="&amp;$A133,Summary!$A$5:$A$241,"&lt;"&amp;$A133+7))</f>
        <v>0</v>
      </c>
      <c r="R133">
        <f>IF(R105="","",COUNTIFS(Summary!$E$5:$E$241,R105,Summary!$A$5:$A$241,"&gt;="&amp;$A133,Summary!$A$5:$A$241,"&lt;"&amp;$A133+7))</f>
        <v>0</v>
      </c>
      <c r="S133">
        <f>IF(S105="","",COUNTIFS(Summary!$E$5:$E$241,S105,Summary!$A$5:$A$241,"&gt;="&amp;$A133,Summary!$A$5:$A$241,"&lt;"&amp;$A133+7))</f>
        <v>0</v>
      </c>
      <c r="T133">
        <f>IF(T105="","",COUNTIFS(Summary!$E$5:$E$241,T105,Summary!$A$5:$A$241,"&gt;="&amp;$A133,Summary!$A$5:$A$241,"&lt;"&amp;$A133+7))</f>
        <v>0</v>
      </c>
      <c r="U133">
        <f>IF(U105="","",COUNTIFS(Summary!$E$5:$E$241,U105,Summary!$A$5:$A$241,"&gt;="&amp;$A133,Summary!$A$5:$A$241,"&lt;"&amp;$A133+7))</f>
        <v>0</v>
      </c>
      <c r="V133">
        <f>IF(V105="","",COUNTIFS(Summary!$E$5:$E$241,V105,Summary!$A$5:$A$241,"&gt;="&amp;$A133,Summary!$A$5:$A$241,"&lt;"&amp;$A133+7))</f>
        <v>0</v>
      </c>
      <c r="W133">
        <f>IF(W105="","",COUNTIFS(Summary!$E$5:$E$241,W105,Summary!$A$5:$A$241,"&gt;="&amp;$A133,Summary!$A$5:$A$241,"&lt;"&amp;$A133+7))</f>
        <v>0</v>
      </c>
      <c r="X133">
        <f>IF(X105="","",COUNTIFS(Summary!$E$5:$E$241,X105,Summary!$A$5:$A$241,"&gt;="&amp;$A133,Summary!$A$5:$A$241,"&lt;"&amp;$A133+7))</f>
        <v>0</v>
      </c>
      <c r="Y133">
        <f>IF(Y105="","",COUNTIFS(Summary!$E$5:$E$241,Y105,Summary!$A$5:$A$241,"&gt;="&amp;$A133,Summary!$A$5:$A$241,"&lt;"&amp;$A133+7))</f>
        <v>0</v>
      </c>
      <c r="Z133">
        <f>IF(Z105="","",COUNTIFS(Summary!$E$5:$E$241,Z105,Summary!$A$5:$A$241,"&gt;="&amp;$A133,Summary!$A$5:$A$241,"&lt;"&amp;$A133+7))</f>
        <v>0</v>
      </c>
      <c r="AA133">
        <f>IF(AA105="","",COUNTIFS(Summary!$E$5:$E$241,AA105,Summary!$A$5:$A$241,"&gt;="&amp;$A133,Summary!$A$5:$A$241,"&lt;"&amp;$A133+7))</f>
        <v>0</v>
      </c>
      <c r="AB133">
        <f>IF(AB105="","",COUNTIFS(Summary!$E$5:$E$241,AB105,Summary!$A$5:$A$241,"&gt;="&amp;$A133,Summary!$A$5:$A$241,"&lt;"&amp;$A133+7))</f>
        <v>0</v>
      </c>
      <c r="AC133">
        <f>IF(AC105="","",COUNTIFS(Summary!$E$5:$E$241,AC105,Summary!$A$5:$A$241,"&gt;="&amp;$A133,Summary!$A$5:$A$241,"&lt;"&amp;$A133+7))</f>
        <v>0</v>
      </c>
      <c r="AD133">
        <f>IF(AD105="","",COUNTIFS(Summary!$E$5:$E$241,AD105,Summary!$A$5:$A$241,"&gt;="&amp;$A133,Summary!$A$5:$A$241,"&lt;"&amp;$A133+7))</f>
        <v>0</v>
      </c>
      <c r="AE133">
        <f>IF(AE105="","",COUNTIFS(Summary!$E$5:$E$241,AE105,Summary!$A$5:$A$241,"&gt;="&amp;$A133,Summary!$A$5:$A$241,"&lt;"&amp;$A133+7))</f>
        <v>0</v>
      </c>
      <c r="AF133">
        <f>IF(AF105="","",COUNTIFS(Summary!$E$5:$E$241,AF105,Summary!$A$5:$A$241,"&gt;="&amp;$A133,Summary!$A$5:$A$241,"&lt;"&amp;$A133+7))</f>
        <v>0</v>
      </c>
      <c r="AG133">
        <f>IF(AG105="","",COUNTIFS(Summary!$E$5:$E$241,AG105,Summary!$A$5:$A$241,"&gt;="&amp;$A133,Summary!$A$5:$A$241,"&lt;"&amp;$A133+7))</f>
        <v>0</v>
      </c>
      <c r="AH133">
        <f>IF(AH105="","",COUNTIFS(Summary!$E$5:$E$241,AH105,Summary!$A$5:$A$241,"&gt;="&amp;$A133,Summary!$A$5:$A$241,"&lt;"&amp;$A133+7))</f>
        <v>0</v>
      </c>
      <c r="AI133">
        <f>IF(AI105="","",COUNTIFS(Summary!$E$5:$E$241,AI105,Summary!$A$5:$A$241,"&gt;="&amp;$A133,Summary!$A$5:$A$241,"&lt;"&amp;$A133+7))</f>
        <v>0</v>
      </c>
      <c r="AJ133">
        <f>IF(AJ105="","",COUNTIFS(Summary!$E$5:$E$241,AJ105,Summary!$A$5:$A$241,"&gt;="&amp;$A133,Summary!$A$5:$A$241,"&lt;"&amp;$A133+7))</f>
        <v>0</v>
      </c>
      <c r="AK133">
        <f>IF(AK105="","",COUNTIFS(Summary!$E$5:$E$241,AK105,Summary!$A$5:$A$241,"&gt;="&amp;$A133,Summary!$A$5:$A$241,"&lt;"&amp;$A133+7))</f>
        <v>0</v>
      </c>
      <c r="AL133">
        <f>IF(AL105="","",COUNTIFS(Summary!$E$5:$E$241,AL105,Summary!$A$5:$A$241,"&gt;="&amp;$A133,Summary!$A$5:$A$241,"&lt;"&amp;$A133+7))</f>
        <v>0</v>
      </c>
      <c r="AM133">
        <f>IF(AM105="","",COUNTIFS(Summary!$E$5:$E$241,AM105,Summary!$A$5:$A$241,"&gt;="&amp;$A133,Summary!$A$5:$A$241,"&lt;"&amp;$A133+7))</f>
        <v>0</v>
      </c>
      <c r="AN133">
        <f>IF(AN105="","",COUNTIFS(Summary!$E$5:$E$241,AN105,Summary!$A$5:$A$241,"&gt;="&amp;$A133,Summary!$A$5:$A$241,"&lt;"&amp;$A133+7))</f>
        <v>0</v>
      </c>
      <c r="AO133">
        <f>IF(AO105="","",COUNTIFS(Summary!$E$5:$E$241,AO105,Summary!$A$5:$A$241,"&gt;="&amp;$A133,Summary!$A$5:$A$241,"&lt;"&amp;$A133+7))</f>
        <v>0</v>
      </c>
      <c r="AP133">
        <f>IF(AP105="","",COUNTIFS(Summary!$E$5:$E$241,AP105,Summary!$A$5:$A$241,"&gt;="&amp;$A133,Summary!$A$5:$A$241,"&lt;"&amp;$A133+7))</f>
        <v>0</v>
      </c>
      <c r="AQ133">
        <f>IF(AQ105="","",COUNTIFS(Summary!$E$5:$E$241,AQ105,Summary!$A$5:$A$241,"&gt;="&amp;$A133,Summary!$A$5:$A$241,"&lt;"&amp;$A133+7))</f>
        <v>0</v>
      </c>
      <c r="AR133">
        <f>IF(AR105="","",COUNTIFS(Summary!$E$5:$E$241,AR105,Summary!$A$5:$A$241,"&gt;="&amp;$A133,Summary!$A$5:$A$241,"&lt;"&amp;$A133+7))</f>
        <v>0</v>
      </c>
      <c r="AS133">
        <f>IF(AS105="","",COUNTIFS(Summary!$E$5:$E$241,AS105,Summary!$A$5:$A$241,"&gt;="&amp;$A133,Summary!$A$5:$A$241,"&lt;"&amp;$A133+7))</f>
        <v>0</v>
      </c>
      <c r="AT133">
        <f>IF(AT105="","",COUNTIFS(Summary!$E$5:$E$241,AT105,Summary!$A$5:$A$241,"&gt;="&amp;$A133,Summary!$A$5:$A$241,"&lt;"&amp;$A133+7))</f>
        <v>0</v>
      </c>
      <c r="AU133">
        <f>IF(AU105="","",COUNTIFS(Summary!$E$5:$E$241,AU105,Summary!$A$5:$A$241,"&gt;="&amp;$A133,Summary!$A$5:$A$241,"&lt;"&amp;$A133+7))</f>
        <v>0</v>
      </c>
      <c r="AV133">
        <f>IF(AV105="","",COUNTIFS(Summary!$E$5:$E$241,AV105,Summary!$A$5:$A$241,"&gt;="&amp;$A133,Summary!$A$5:$A$241,"&lt;"&amp;$A133+7))</f>
        <v>0</v>
      </c>
      <c r="AW133">
        <f>IF(AW105="","",COUNTIFS(Summary!$E$5:$E$241,AW105,Summary!$A$5:$A$241,"&gt;="&amp;$A133,Summary!$A$5:$A$241,"&lt;"&amp;$A133+7))</f>
        <v>0</v>
      </c>
      <c r="AX133">
        <f>IF(AX105="","",COUNTIFS(Summary!$E$5:$E$241,AX105,Summary!$A$5:$A$241,"&gt;="&amp;$A133,Summary!$A$5:$A$241,"&lt;"&amp;$A133+7))</f>
        <v>0</v>
      </c>
      <c r="AY133">
        <f>IF(AY105="","",COUNTIFS(Summary!$E$5:$E$241,AY105,Summary!$A$5:$A$241,"&gt;="&amp;$A133,Summary!$A$5:$A$241,"&lt;"&amp;$A133+7))</f>
        <v>0</v>
      </c>
      <c r="AZ133">
        <f>IF(AZ105="","",COUNTIFS(Summary!$E$5:$E$241,AZ105,Summary!$A$5:$A$241,"&gt;="&amp;$A133,Summary!$A$5:$A$241,"&lt;"&amp;$A133+7))</f>
        <v>0</v>
      </c>
      <c r="BA133">
        <f>IF(BA105="","",COUNTIFS(Summary!$E$5:$E$241,BA105,Summary!$A$5:$A$241,"&gt;="&amp;$A133,Summary!$A$5:$A$241,"&lt;"&amp;$A133+7))</f>
        <v>0</v>
      </c>
      <c r="BB133">
        <f>IF(BB105="","",COUNTIFS(Summary!$E$5:$E$241,BB105,Summary!$A$5:$A$241,"&gt;="&amp;$A133,Summary!$A$5:$A$241,"&lt;"&amp;$A133+7))</f>
        <v>0</v>
      </c>
      <c r="BC133">
        <f>IF(BC105="","",COUNTIFS(Summary!$E$5:$E$241,BC105,Summary!$A$5:$A$241,"&gt;="&amp;$A133,Summary!$A$5:$A$241,"&lt;"&amp;$A133+7))</f>
        <v>0</v>
      </c>
      <c r="BD133">
        <f>IF(BD105="","",COUNTIFS(Summary!$E$5:$E$241,BD105,Summary!$A$5:$A$241,"&gt;="&amp;$A133,Summary!$A$5:$A$241,"&lt;"&amp;$A133+7))</f>
        <v>0</v>
      </c>
      <c r="BE133">
        <f>IF(BE105="","",COUNTIFS(Summary!$E$5:$E$241,BE105,Summary!$A$5:$A$241,"&gt;="&amp;$A133,Summary!$A$5:$A$241,"&lt;"&amp;$A133+7))</f>
        <v>0</v>
      </c>
      <c r="BF133" s="28">
        <f>IF(BF105="","",COUNTIFS(Summary!$E$5:$E$241,BF105,Summary!$A$5:$A$241,"&gt;="&amp;$A133,Summary!$A$5:$A$241,"&lt;"&amp;$A133+7))</f>
        <v>0</v>
      </c>
    </row>
    <row r="134" spans="1:58">
      <c r="A134" s="18">
        <f t="shared" si="9"/>
        <v>46286.344340277778</v>
      </c>
      <c r="B134" s="2" t="str">
        <f t="shared" si="8"/>
        <v>Sep 21</v>
      </c>
      <c r="C134">
        <f>IF(C105="","",COUNTIFS(Summary!$E$5:$E$241,C105,Summary!$A$5:$A$241,"&gt;="&amp;$A134,Summary!$A$5:$A$241,"&lt;"&amp;$A134+7))</f>
        <v>0</v>
      </c>
      <c r="D134">
        <f>IF(D105="","",COUNTIFS(Summary!$E$5:$E$241,D105,Summary!$A$5:$A$241,"&gt;="&amp;$A134,Summary!$A$5:$A$241,"&lt;"&amp;$A134+7))</f>
        <v>0</v>
      </c>
      <c r="E134">
        <f>IF(E105="","",COUNTIFS(Summary!$E$5:$E$241,E105,Summary!$A$5:$A$241,"&gt;="&amp;$A134,Summary!$A$5:$A$241,"&lt;"&amp;$A134+7))</f>
        <v>0</v>
      </c>
      <c r="F134">
        <f>IF(F105="","",COUNTIFS(Summary!$E$5:$E$241,F105,Summary!$A$5:$A$241,"&gt;="&amp;$A134,Summary!$A$5:$A$241,"&lt;"&amp;$A134+7))</f>
        <v>0</v>
      </c>
      <c r="G134">
        <f>IF(G105="","",COUNTIFS(Summary!$E$5:$E$241,G105,Summary!$A$5:$A$241,"&gt;="&amp;$A134,Summary!$A$5:$A$241,"&lt;"&amp;$A134+7))</f>
        <v>0</v>
      </c>
      <c r="H134">
        <f>IF(H105="","",COUNTIFS(Summary!$E$5:$E$241,H105,Summary!$A$5:$A$241,"&gt;="&amp;$A134,Summary!$A$5:$A$241,"&lt;"&amp;$A134+7))</f>
        <v>0</v>
      </c>
      <c r="I134">
        <f>IF(I105="","",COUNTIFS(Summary!$E$5:$E$241,I105,Summary!$A$5:$A$241,"&gt;="&amp;$A134,Summary!$A$5:$A$241,"&lt;"&amp;$A134+7))</f>
        <v>0</v>
      </c>
      <c r="J134">
        <f>IF(J105="","",COUNTIFS(Summary!$E$5:$E$241,J105,Summary!$A$5:$A$241,"&gt;="&amp;$A134,Summary!$A$5:$A$241,"&lt;"&amp;$A134+7))</f>
        <v>0</v>
      </c>
      <c r="K134">
        <f>IF(K105="","",COUNTIFS(Summary!$E$5:$E$241,K105,Summary!$A$5:$A$241,"&gt;="&amp;$A134,Summary!$A$5:$A$241,"&lt;"&amp;$A134+7))</f>
        <v>0</v>
      </c>
      <c r="L134">
        <f>IF(L105="","",COUNTIFS(Summary!$E$5:$E$241,L105,Summary!$A$5:$A$241,"&gt;="&amp;$A134,Summary!$A$5:$A$241,"&lt;"&amp;$A134+7))</f>
        <v>0</v>
      </c>
      <c r="M134">
        <f>IF(M105="","",COUNTIFS(Summary!$E$5:$E$241,M105,Summary!$A$5:$A$241,"&gt;="&amp;$A134,Summary!$A$5:$A$241,"&lt;"&amp;$A134+7))</f>
        <v>0</v>
      </c>
      <c r="N134">
        <f>IF(N105="","",COUNTIFS(Summary!$E$5:$E$241,N105,Summary!$A$5:$A$241,"&gt;="&amp;$A134,Summary!$A$5:$A$241,"&lt;"&amp;$A134+7))</f>
        <v>0</v>
      </c>
      <c r="O134">
        <f>IF(O105="","",COUNTIFS(Summary!$E$5:$E$241,O105,Summary!$A$5:$A$241,"&gt;="&amp;$A134,Summary!$A$5:$A$241,"&lt;"&amp;$A134+7))</f>
        <v>0</v>
      </c>
      <c r="P134">
        <f>IF(P105="","",COUNTIFS(Summary!$E$5:$E$241,P105,Summary!$A$5:$A$241,"&gt;="&amp;$A134,Summary!$A$5:$A$241,"&lt;"&amp;$A134+7))</f>
        <v>0</v>
      </c>
      <c r="Q134">
        <f>IF(Q105="","",COUNTIFS(Summary!$E$5:$E$241,Q105,Summary!$A$5:$A$241,"&gt;="&amp;$A134,Summary!$A$5:$A$241,"&lt;"&amp;$A134+7))</f>
        <v>0</v>
      </c>
      <c r="R134">
        <f>IF(R105="","",COUNTIFS(Summary!$E$5:$E$241,R105,Summary!$A$5:$A$241,"&gt;="&amp;$A134,Summary!$A$5:$A$241,"&lt;"&amp;$A134+7))</f>
        <v>0</v>
      </c>
      <c r="S134">
        <f>IF(S105="","",COUNTIFS(Summary!$E$5:$E$241,S105,Summary!$A$5:$A$241,"&gt;="&amp;$A134,Summary!$A$5:$A$241,"&lt;"&amp;$A134+7))</f>
        <v>0</v>
      </c>
      <c r="T134">
        <f>IF(T105="","",COUNTIFS(Summary!$E$5:$E$241,T105,Summary!$A$5:$A$241,"&gt;="&amp;$A134,Summary!$A$5:$A$241,"&lt;"&amp;$A134+7))</f>
        <v>0</v>
      </c>
      <c r="U134">
        <f>IF(U105="","",COUNTIFS(Summary!$E$5:$E$241,U105,Summary!$A$5:$A$241,"&gt;="&amp;$A134,Summary!$A$5:$A$241,"&lt;"&amp;$A134+7))</f>
        <v>0</v>
      </c>
      <c r="V134">
        <f>IF(V105="","",COUNTIFS(Summary!$E$5:$E$241,V105,Summary!$A$5:$A$241,"&gt;="&amp;$A134,Summary!$A$5:$A$241,"&lt;"&amp;$A134+7))</f>
        <v>0</v>
      </c>
      <c r="W134">
        <f>IF(W105="","",COUNTIFS(Summary!$E$5:$E$241,W105,Summary!$A$5:$A$241,"&gt;="&amp;$A134,Summary!$A$5:$A$241,"&lt;"&amp;$A134+7))</f>
        <v>0</v>
      </c>
      <c r="X134">
        <f>IF(X105="","",COUNTIFS(Summary!$E$5:$E$241,X105,Summary!$A$5:$A$241,"&gt;="&amp;$A134,Summary!$A$5:$A$241,"&lt;"&amp;$A134+7))</f>
        <v>0</v>
      </c>
      <c r="Y134">
        <f>IF(Y105="","",COUNTIFS(Summary!$E$5:$E$241,Y105,Summary!$A$5:$A$241,"&gt;="&amp;$A134,Summary!$A$5:$A$241,"&lt;"&amp;$A134+7))</f>
        <v>0</v>
      </c>
      <c r="Z134">
        <f>IF(Z105="","",COUNTIFS(Summary!$E$5:$E$241,Z105,Summary!$A$5:$A$241,"&gt;="&amp;$A134,Summary!$A$5:$A$241,"&lt;"&amp;$A134+7))</f>
        <v>0</v>
      </c>
      <c r="AA134">
        <f>IF(AA105="","",COUNTIFS(Summary!$E$5:$E$241,AA105,Summary!$A$5:$A$241,"&gt;="&amp;$A134,Summary!$A$5:$A$241,"&lt;"&amp;$A134+7))</f>
        <v>0</v>
      </c>
      <c r="AB134">
        <f>IF(AB105="","",COUNTIFS(Summary!$E$5:$E$241,AB105,Summary!$A$5:$A$241,"&gt;="&amp;$A134,Summary!$A$5:$A$241,"&lt;"&amp;$A134+7))</f>
        <v>0</v>
      </c>
      <c r="AC134">
        <f>IF(AC105="","",COUNTIFS(Summary!$E$5:$E$241,AC105,Summary!$A$5:$A$241,"&gt;="&amp;$A134,Summary!$A$5:$A$241,"&lt;"&amp;$A134+7))</f>
        <v>0</v>
      </c>
      <c r="AD134">
        <f>IF(AD105="","",COUNTIFS(Summary!$E$5:$E$241,AD105,Summary!$A$5:$A$241,"&gt;="&amp;$A134,Summary!$A$5:$A$241,"&lt;"&amp;$A134+7))</f>
        <v>0</v>
      </c>
      <c r="AE134">
        <f>IF(AE105="","",COUNTIFS(Summary!$E$5:$E$241,AE105,Summary!$A$5:$A$241,"&gt;="&amp;$A134,Summary!$A$5:$A$241,"&lt;"&amp;$A134+7))</f>
        <v>0</v>
      </c>
      <c r="AF134">
        <f>IF(AF105="","",COUNTIFS(Summary!$E$5:$E$241,AF105,Summary!$A$5:$A$241,"&gt;="&amp;$A134,Summary!$A$5:$A$241,"&lt;"&amp;$A134+7))</f>
        <v>0</v>
      </c>
      <c r="AG134">
        <f>IF(AG105="","",COUNTIFS(Summary!$E$5:$E$241,AG105,Summary!$A$5:$A$241,"&gt;="&amp;$A134,Summary!$A$5:$A$241,"&lt;"&amp;$A134+7))</f>
        <v>0</v>
      </c>
      <c r="AH134">
        <f>IF(AH105="","",COUNTIFS(Summary!$E$5:$E$241,AH105,Summary!$A$5:$A$241,"&gt;="&amp;$A134,Summary!$A$5:$A$241,"&lt;"&amp;$A134+7))</f>
        <v>0</v>
      </c>
      <c r="AI134">
        <f>IF(AI105="","",COUNTIFS(Summary!$E$5:$E$241,AI105,Summary!$A$5:$A$241,"&gt;="&amp;$A134,Summary!$A$5:$A$241,"&lt;"&amp;$A134+7))</f>
        <v>0</v>
      </c>
      <c r="AJ134">
        <f>IF(AJ105="","",COUNTIFS(Summary!$E$5:$E$241,AJ105,Summary!$A$5:$A$241,"&gt;="&amp;$A134,Summary!$A$5:$A$241,"&lt;"&amp;$A134+7))</f>
        <v>0</v>
      </c>
      <c r="AK134">
        <f>IF(AK105="","",COUNTIFS(Summary!$E$5:$E$241,AK105,Summary!$A$5:$A$241,"&gt;="&amp;$A134,Summary!$A$5:$A$241,"&lt;"&amp;$A134+7))</f>
        <v>0</v>
      </c>
      <c r="AL134">
        <f>IF(AL105="","",COUNTIFS(Summary!$E$5:$E$241,AL105,Summary!$A$5:$A$241,"&gt;="&amp;$A134,Summary!$A$5:$A$241,"&lt;"&amp;$A134+7))</f>
        <v>0</v>
      </c>
      <c r="AM134">
        <f>IF(AM105="","",COUNTIFS(Summary!$E$5:$E$241,AM105,Summary!$A$5:$A$241,"&gt;="&amp;$A134,Summary!$A$5:$A$241,"&lt;"&amp;$A134+7))</f>
        <v>0</v>
      </c>
      <c r="AN134">
        <f>IF(AN105="","",COUNTIFS(Summary!$E$5:$E$241,AN105,Summary!$A$5:$A$241,"&gt;="&amp;$A134,Summary!$A$5:$A$241,"&lt;"&amp;$A134+7))</f>
        <v>0</v>
      </c>
      <c r="AO134">
        <f>IF(AO105="","",COUNTIFS(Summary!$E$5:$E$241,AO105,Summary!$A$5:$A$241,"&gt;="&amp;$A134,Summary!$A$5:$A$241,"&lt;"&amp;$A134+7))</f>
        <v>0</v>
      </c>
      <c r="AP134">
        <f>IF(AP105="","",COUNTIFS(Summary!$E$5:$E$241,AP105,Summary!$A$5:$A$241,"&gt;="&amp;$A134,Summary!$A$5:$A$241,"&lt;"&amp;$A134+7))</f>
        <v>0</v>
      </c>
      <c r="AQ134">
        <f>IF(AQ105="","",COUNTIFS(Summary!$E$5:$E$241,AQ105,Summary!$A$5:$A$241,"&gt;="&amp;$A134,Summary!$A$5:$A$241,"&lt;"&amp;$A134+7))</f>
        <v>0</v>
      </c>
      <c r="AR134">
        <f>IF(AR105="","",COUNTIFS(Summary!$E$5:$E$241,AR105,Summary!$A$5:$A$241,"&gt;="&amp;$A134,Summary!$A$5:$A$241,"&lt;"&amp;$A134+7))</f>
        <v>0</v>
      </c>
      <c r="AS134">
        <f>IF(AS105="","",COUNTIFS(Summary!$E$5:$E$241,AS105,Summary!$A$5:$A$241,"&gt;="&amp;$A134,Summary!$A$5:$A$241,"&lt;"&amp;$A134+7))</f>
        <v>0</v>
      </c>
      <c r="AT134">
        <f>IF(AT105="","",COUNTIFS(Summary!$E$5:$E$241,AT105,Summary!$A$5:$A$241,"&gt;="&amp;$A134,Summary!$A$5:$A$241,"&lt;"&amp;$A134+7))</f>
        <v>0</v>
      </c>
      <c r="AU134">
        <f>IF(AU105="","",COUNTIFS(Summary!$E$5:$E$241,AU105,Summary!$A$5:$A$241,"&gt;="&amp;$A134,Summary!$A$5:$A$241,"&lt;"&amp;$A134+7))</f>
        <v>0</v>
      </c>
      <c r="AV134">
        <f>IF(AV105="","",COUNTIFS(Summary!$E$5:$E$241,AV105,Summary!$A$5:$A$241,"&gt;="&amp;$A134,Summary!$A$5:$A$241,"&lt;"&amp;$A134+7))</f>
        <v>0</v>
      </c>
      <c r="AW134">
        <f>IF(AW105="","",COUNTIFS(Summary!$E$5:$E$241,AW105,Summary!$A$5:$A$241,"&gt;="&amp;$A134,Summary!$A$5:$A$241,"&lt;"&amp;$A134+7))</f>
        <v>0</v>
      </c>
      <c r="AX134">
        <f>IF(AX105="","",COUNTIFS(Summary!$E$5:$E$241,AX105,Summary!$A$5:$A$241,"&gt;="&amp;$A134,Summary!$A$5:$A$241,"&lt;"&amp;$A134+7))</f>
        <v>0</v>
      </c>
      <c r="AY134">
        <f>IF(AY105="","",COUNTIFS(Summary!$E$5:$E$241,AY105,Summary!$A$5:$A$241,"&gt;="&amp;$A134,Summary!$A$5:$A$241,"&lt;"&amp;$A134+7))</f>
        <v>0</v>
      </c>
      <c r="AZ134">
        <f>IF(AZ105="","",COUNTIFS(Summary!$E$5:$E$241,AZ105,Summary!$A$5:$A$241,"&gt;="&amp;$A134,Summary!$A$5:$A$241,"&lt;"&amp;$A134+7))</f>
        <v>0</v>
      </c>
      <c r="BA134">
        <f>IF(BA105="","",COUNTIFS(Summary!$E$5:$E$241,BA105,Summary!$A$5:$A$241,"&gt;="&amp;$A134,Summary!$A$5:$A$241,"&lt;"&amp;$A134+7))</f>
        <v>0</v>
      </c>
      <c r="BB134">
        <f>IF(BB105="","",COUNTIFS(Summary!$E$5:$E$241,BB105,Summary!$A$5:$A$241,"&gt;="&amp;$A134,Summary!$A$5:$A$241,"&lt;"&amp;$A134+7))</f>
        <v>0</v>
      </c>
      <c r="BC134">
        <f>IF(BC105="","",COUNTIFS(Summary!$E$5:$E$241,BC105,Summary!$A$5:$A$241,"&gt;="&amp;$A134,Summary!$A$5:$A$241,"&lt;"&amp;$A134+7))</f>
        <v>0</v>
      </c>
      <c r="BD134">
        <f>IF(BD105="","",COUNTIFS(Summary!$E$5:$E$241,BD105,Summary!$A$5:$A$241,"&gt;="&amp;$A134,Summary!$A$5:$A$241,"&lt;"&amp;$A134+7))</f>
        <v>0</v>
      </c>
      <c r="BE134">
        <f>IF(BE105="","",COUNTIFS(Summary!$E$5:$E$241,BE105,Summary!$A$5:$A$241,"&gt;="&amp;$A134,Summary!$A$5:$A$241,"&lt;"&amp;$A134+7))</f>
        <v>0</v>
      </c>
      <c r="BF134" s="28">
        <f>IF(BF105="","",COUNTIFS(Summary!$E$5:$E$241,BF105,Summary!$A$5:$A$241,"&gt;="&amp;$A134,Summary!$A$5:$A$241,"&lt;"&amp;$A134+7))</f>
        <v>0</v>
      </c>
    </row>
    <row r="135" spans="1:58">
      <c r="A135" s="18">
        <f t="shared" si="9"/>
        <v>46293.344340277778</v>
      </c>
      <c r="B135" s="2" t="str">
        <f t="shared" si="8"/>
        <v>Sep 28</v>
      </c>
      <c r="C135">
        <f>IF(C105="","",COUNTIFS(Summary!$E$5:$E$241,C105,Summary!$A$5:$A$241,"&gt;="&amp;$A135,Summary!$A$5:$A$241,"&lt;"&amp;$A135+7))</f>
        <v>0</v>
      </c>
      <c r="D135">
        <f>IF(D105="","",COUNTIFS(Summary!$E$5:$E$241,D105,Summary!$A$5:$A$241,"&gt;="&amp;$A135,Summary!$A$5:$A$241,"&lt;"&amp;$A135+7))</f>
        <v>0</v>
      </c>
      <c r="E135">
        <f>IF(E105="","",COUNTIFS(Summary!$E$5:$E$241,E105,Summary!$A$5:$A$241,"&gt;="&amp;$A135,Summary!$A$5:$A$241,"&lt;"&amp;$A135+7))</f>
        <v>0</v>
      </c>
      <c r="F135">
        <f>IF(F105="","",COUNTIFS(Summary!$E$5:$E$241,F105,Summary!$A$5:$A$241,"&gt;="&amp;$A135,Summary!$A$5:$A$241,"&lt;"&amp;$A135+7))</f>
        <v>0</v>
      </c>
      <c r="G135">
        <f>IF(G105="","",COUNTIFS(Summary!$E$5:$E$241,G105,Summary!$A$5:$A$241,"&gt;="&amp;$A135,Summary!$A$5:$A$241,"&lt;"&amp;$A135+7))</f>
        <v>0</v>
      </c>
      <c r="H135">
        <f>IF(H105="","",COUNTIFS(Summary!$E$5:$E$241,H105,Summary!$A$5:$A$241,"&gt;="&amp;$A135,Summary!$A$5:$A$241,"&lt;"&amp;$A135+7))</f>
        <v>0</v>
      </c>
      <c r="I135">
        <f>IF(I105="","",COUNTIFS(Summary!$E$5:$E$241,I105,Summary!$A$5:$A$241,"&gt;="&amp;$A135,Summary!$A$5:$A$241,"&lt;"&amp;$A135+7))</f>
        <v>0</v>
      </c>
      <c r="J135">
        <f>IF(J105="","",COUNTIFS(Summary!$E$5:$E$241,J105,Summary!$A$5:$A$241,"&gt;="&amp;$A135,Summary!$A$5:$A$241,"&lt;"&amp;$A135+7))</f>
        <v>0</v>
      </c>
      <c r="K135">
        <f>IF(K105="","",COUNTIFS(Summary!$E$5:$E$241,K105,Summary!$A$5:$A$241,"&gt;="&amp;$A135,Summary!$A$5:$A$241,"&lt;"&amp;$A135+7))</f>
        <v>0</v>
      </c>
      <c r="L135">
        <f>IF(L105="","",COUNTIFS(Summary!$E$5:$E$241,L105,Summary!$A$5:$A$241,"&gt;="&amp;$A135,Summary!$A$5:$A$241,"&lt;"&amp;$A135+7))</f>
        <v>0</v>
      </c>
      <c r="M135">
        <f>IF(M105="","",COUNTIFS(Summary!$E$5:$E$241,M105,Summary!$A$5:$A$241,"&gt;="&amp;$A135,Summary!$A$5:$A$241,"&lt;"&amp;$A135+7))</f>
        <v>0</v>
      </c>
      <c r="N135">
        <f>IF(N105="","",COUNTIFS(Summary!$E$5:$E$241,N105,Summary!$A$5:$A$241,"&gt;="&amp;$A135,Summary!$A$5:$A$241,"&lt;"&amp;$A135+7))</f>
        <v>0</v>
      </c>
      <c r="O135">
        <f>IF(O105="","",COUNTIFS(Summary!$E$5:$E$241,O105,Summary!$A$5:$A$241,"&gt;="&amp;$A135,Summary!$A$5:$A$241,"&lt;"&amp;$A135+7))</f>
        <v>0</v>
      </c>
      <c r="P135">
        <f>IF(P105="","",COUNTIFS(Summary!$E$5:$E$241,P105,Summary!$A$5:$A$241,"&gt;="&amp;$A135,Summary!$A$5:$A$241,"&lt;"&amp;$A135+7))</f>
        <v>0</v>
      </c>
      <c r="Q135">
        <f>IF(Q105="","",COUNTIFS(Summary!$E$5:$E$241,Q105,Summary!$A$5:$A$241,"&gt;="&amp;$A135,Summary!$A$5:$A$241,"&lt;"&amp;$A135+7))</f>
        <v>0</v>
      </c>
      <c r="R135">
        <f>IF(R105="","",COUNTIFS(Summary!$E$5:$E$241,R105,Summary!$A$5:$A$241,"&gt;="&amp;$A135,Summary!$A$5:$A$241,"&lt;"&amp;$A135+7))</f>
        <v>0</v>
      </c>
      <c r="S135">
        <f>IF(S105="","",COUNTIFS(Summary!$E$5:$E$241,S105,Summary!$A$5:$A$241,"&gt;="&amp;$A135,Summary!$A$5:$A$241,"&lt;"&amp;$A135+7))</f>
        <v>0</v>
      </c>
      <c r="T135">
        <f>IF(T105="","",COUNTIFS(Summary!$E$5:$E$241,T105,Summary!$A$5:$A$241,"&gt;="&amp;$A135,Summary!$A$5:$A$241,"&lt;"&amp;$A135+7))</f>
        <v>0</v>
      </c>
      <c r="U135">
        <f>IF(U105="","",COUNTIFS(Summary!$E$5:$E$241,U105,Summary!$A$5:$A$241,"&gt;="&amp;$A135,Summary!$A$5:$A$241,"&lt;"&amp;$A135+7))</f>
        <v>0</v>
      </c>
      <c r="V135">
        <f>IF(V105="","",COUNTIFS(Summary!$E$5:$E$241,V105,Summary!$A$5:$A$241,"&gt;="&amp;$A135,Summary!$A$5:$A$241,"&lt;"&amp;$A135+7))</f>
        <v>0</v>
      </c>
      <c r="W135">
        <f>IF(W105="","",COUNTIFS(Summary!$E$5:$E$241,W105,Summary!$A$5:$A$241,"&gt;="&amp;$A135,Summary!$A$5:$A$241,"&lt;"&amp;$A135+7))</f>
        <v>0</v>
      </c>
      <c r="X135">
        <f>IF(X105="","",COUNTIFS(Summary!$E$5:$E$241,X105,Summary!$A$5:$A$241,"&gt;="&amp;$A135,Summary!$A$5:$A$241,"&lt;"&amp;$A135+7))</f>
        <v>0</v>
      </c>
      <c r="Y135">
        <f>IF(Y105="","",COUNTIFS(Summary!$E$5:$E$241,Y105,Summary!$A$5:$A$241,"&gt;="&amp;$A135,Summary!$A$5:$A$241,"&lt;"&amp;$A135+7))</f>
        <v>0</v>
      </c>
      <c r="Z135">
        <f>IF(Z105="","",COUNTIFS(Summary!$E$5:$E$241,Z105,Summary!$A$5:$A$241,"&gt;="&amp;$A135,Summary!$A$5:$A$241,"&lt;"&amp;$A135+7))</f>
        <v>0</v>
      </c>
      <c r="AA135">
        <f>IF(AA105="","",COUNTIFS(Summary!$E$5:$E$241,AA105,Summary!$A$5:$A$241,"&gt;="&amp;$A135,Summary!$A$5:$A$241,"&lt;"&amp;$A135+7))</f>
        <v>0</v>
      </c>
      <c r="AB135">
        <f>IF(AB105="","",COUNTIFS(Summary!$E$5:$E$241,AB105,Summary!$A$5:$A$241,"&gt;="&amp;$A135,Summary!$A$5:$A$241,"&lt;"&amp;$A135+7))</f>
        <v>0</v>
      </c>
      <c r="AC135">
        <f>IF(AC105="","",COUNTIFS(Summary!$E$5:$E$241,AC105,Summary!$A$5:$A$241,"&gt;="&amp;$A135,Summary!$A$5:$A$241,"&lt;"&amp;$A135+7))</f>
        <v>0</v>
      </c>
      <c r="AD135">
        <f>IF(AD105="","",COUNTIFS(Summary!$E$5:$E$241,AD105,Summary!$A$5:$A$241,"&gt;="&amp;$A135,Summary!$A$5:$A$241,"&lt;"&amp;$A135+7))</f>
        <v>0</v>
      </c>
      <c r="AE135">
        <f>IF(AE105="","",COUNTIFS(Summary!$E$5:$E$241,AE105,Summary!$A$5:$A$241,"&gt;="&amp;$A135,Summary!$A$5:$A$241,"&lt;"&amp;$A135+7))</f>
        <v>0</v>
      </c>
      <c r="AF135">
        <f>IF(AF105="","",COUNTIFS(Summary!$E$5:$E$241,AF105,Summary!$A$5:$A$241,"&gt;="&amp;$A135,Summary!$A$5:$A$241,"&lt;"&amp;$A135+7))</f>
        <v>0</v>
      </c>
      <c r="AG135">
        <f>IF(AG105="","",COUNTIFS(Summary!$E$5:$E$241,AG105,Summary!$A$5:$A$241,"&gt;="&amp;$A135,Summary!$A$5:$A$241,"&lt;"&amp;$A135+7))</f>
        <v>0</v>
      </c>
      <c r="AH135">
        <f>IF(AH105="","",COUNTIFS(Summary!$E$5:$E$241,AH105,Summary!$A$5:$A$241,"&gt;="&amp;$A135,Summary!$A$5:$A$241,"&lt;"&amp;$A135+7))</f>
        <v>0</v>
      </c>
      <c r="AI135">
        <f>IF(AI105="","",COUNTIFS(Summary!$E$5:$E$241,AI105,Summary!$A$5:$A$241,"&gt;="&amp;$A135,Summary!$A$5:$A$241,"&lt;"&amp;$A135+7))</f>
        <v>0</v>
      </c>
      <c r="AJ135">
        <f>IF(AJ105="","",COUNTIFS(Summary!$E$5:$E$241,AJ105,Summary!$A$5:$A$241,"&gt;="&amp;$A135,Summary!$A$5:$A$241,"&lt;"&amp;$A135+7))</f>
        <v>0</v>
      </c>
      <c r="AK135">
        <f>IF(AK105="","",COUNTIFS(Summary!$E$5:$E$241,AK105,Summary!$A$5:$A$241,"&gt;="&amp;$A135,Summary!$A$5:$A$241,"&lt;"&amp;$A135+7))</f>
        <v>0</v>
      </c>
      <c r="AL135">
        <f>IF(AL105="","",COUNTIFS(Summary!$E$5:$E$241,AL105,Summary!$A$5:$A$241,"&gt;="&amp;$A135,Summary!$A$5:$A$241,"&lt;"&amp;$A135+7))</f>
        <v>0</v>
      </c>
      <c r="AM135">
        <f>IF(AM105="","",COUNTIFS(Summary!$E$5:$E$241,AM105,Summary!$A$5:$A$241,"&gt;="&amp;$A135,Summary!$A$5:$A$241,"&lt;"&amp;$A135+7))</f>
        <v>0</v>
      </c>
      <c r="AN135">
        <f>IF(AN105="","",COUNTIFS(Summary!$E$5:$E$241,AN105,Summary!$A$5:$A$241,"&gt;="&amp;$A135,Summary!$A$5:$A$241,"&lt;"&amp;$A135+7))</f>
        <v>0</v>
      </c>
      <c r="AO135">
        <f>IF(AO105="","",COUNTIFS(Summary!$E$5:$E$241,AO105,Summary!$A$5:$A$241,"&gt;="&amp;$A135,Summary!$A$5:$A$241,"&lt;"&amp;$A135+7))</f>
        <v>0</v>
      </c>
      <c r="AP135">
        <f>IF(AP105="","",COUNTIFS(Summary!$E$5:$E$241,AP105,Summary!$A$5:$A$241,"&gt;="&amp;$A135,Summary!$A$5:$A$241,"&lt;"&amp;$A135+7))</f>
        <v>0</v>
      </c>
      <c r="AQ135">
        <f>IF(AQ105="","",COUNTIFS(Summary!$E$5:$E$241,AQ105,Summary!$A$5:$A$241,"&gt;="&amp;$A135,Summary!$A$5:$A$241,"&lt;"&amp;$A135+7))</f>
        <v>0</v>
      </c>
      <c r="AR135">
        <f>IF(AR105="","",COUNTIFS(Summary!$E$5:$E$241,AR105,Summary!$A$5:$A$241,"&gt;="&amp;$A135,Summary!$A$5:$A$241,"&lt;"&amp;$A135+7))</f>
        <v>0</v>
      </c>
      <c r="AS135">
        <f>IF(AS105="","",COUNTIFS(Summary!$E$5:$E$241,AS105,Summary!$A$5:$A$241,"&gt;="&amp;$A135,Summary!$A$5:$A$241,"&lt;"&amp;$A135+7))</f>
        <v>0</v>
      </c>
      <c r="AT135">
        <f>IF(AT105="","",COUNTIFS(Summary!$E$5:$E$241,AT105,Summary!$A$5:$A$241,"&gt;="&amp;$A135,Summary!$A$5:$A$241,"&lt;"&amp;$A135+7))</f>
        <v>0</v>
      </c>
      <c r="AU135">
        <f>IF(AU105="","",COUNTIFS(Summary!$E$5:$E$241,AU105,Summary!$A$5:$A$241,"&gt;="&amp;$A135,Summary!$A$5:$A$241,"&lt;"&amp;$A135+7))</f>
        <v>0</v>
      </c>
      <c r="AV135">
        <f>IF(AV105="","",COUNTIFS(Summary!$E$5:$E$241,AV105,Summary!$A$5:$A$241,"&gt;="&amp;$A135,Summary!$A$5:$A$241,"&lt;"&amp;$A135+7))</f>
        <v>0</v>
      </c>
      <c r="AW135">
        <f>IF(AW105="","",COUNTIFS(Summary!$E$5:$E$241,AW105,Summary!$A$5:$A$241,"&gt;="&amp;$A135,Summary!$A$5:$A$241,"&lt;"&amp;$A135+7))</f>
        <v>0</v>
      </c>
      <c r="AX135">
        <f>IF(AX105="","",COUNTIFS(Summary!$E$5:$E$241,AX105,Summary!$A$5:$A$241,"&gt;="&amp;$A135,Summary!$A$5:$A$241,"&lt;"&amp;$A135+7))</f>
        <v>0</v>
      </c>
      <c r="AY135">
        <f>IF(AY105="","",COUNTIFS(Summary!$E$5:$E$241,AY105,Summary!$A$5:$A$241,"&gt;="&amp;$A135,Summary!$A$5:$A$241,"&lt;"&amp;$A135+7))</f>
        <v>0</v>
      </c>
      <c r="AZ135">
        <f>IF(AZ105="","",COUNTIFS(Summary!$E$5:$E$241,AZ105,Summary!$A$5:$A$241,"&gt;="&amp;$A135,Summary!$A$5:$A$241,"&lt;"&amp;$A135+7))</f>
        <v>0</v>
      </c>
      <c r="BA135">
        <f>IF(BA105="","",COUNTIFS(Summary!$E$5:$E$241,BA105,Summary!$A$5:$A$241,"&gt;="&amp;$A135,Summary!$A$5:$A$241,"&lt;"&amp;$A135+7))</f>
        <v>0</v>
      </c>
      <c r="BB135">
        <f>IF(BB105="","",COUNTIFS(Summary!$E$5:$E$241,BB105,Summary!$A$5:$A$241,"&gt;="&amp;$A135,Summary!$A$5:$A$241,"&lt;"&amp;$A135+7))</f>
        <v>0</v>
      </c>
      <c r="BC135">
        <f>IF(BC105="","",COUNTIFS(Summary!$E$5:$E$241,BC105,Summary!$A$5:$A$241,"&gt;="&amp;$A135,Summary!$A$5:$A$241,"&lt;"&amp;$A135+7))</f>
        <v>0</v>
      </c>
      <c r="BD135">
        <f>IF(BD105="","",COUNTIFS(Summary!$E$5:$E$241,BD105,Summary!$A$5:$A$241,"&gt;="&amp;$A135,Summary!$A$5:$A$241,"&lt;"&amp;$A135+7))</f>
        <v>0</v>
      </c>
      <c r="BE135">
        <f>IF(BE105="","",COUNTIFS(Summary!$E$5:$E$241,BE105,Summary!$A$5:$A$241,"&gt;="&amp;$A135,Summary!$A$5:$A$241,"&lt;"&amp;$A135+7))</f>
        <v>0</v>
      </c>
      <c r="BF135" s="28">
        <f>IF(BF105="","",COUNTIFS(Summary!$E$5:$E$241,BF105,Summary!$A$5:$A$241,"&gt;="&amp;$A135,Summary!$A$5:$A$241,"&lt;"&amp;$A135+7))</f>
        <v>0</v>
      </c>
    </row>
    <row r="136" spans="1:58">
      <c r="A136" s="18">
        <f t="shared" si="9"/>
        <v>46300.344340277778</v>
      </c>
      <c r="B136" s="2" t="str">
        <f t="shared" si="8"/>
        <v>Oct 5</v>
      </c>
      <c r="C136">
        <f>IF(C105="","",COUNTIFS(Summary!$E$5:$E$241,C105,Summary!$A$5:$A$241,"&gt;="&amp;$A136,Summary!$A$5:$A$241,"&lt;"&amp;$A136+7))</f>
        <v>0</v>
      </c>
      <c r="D136">
        <f>IF(D105="","",COUNTIFS(Summary!$E$5:$E$241,D105,Summary!$A$5:$A$241,"&gt;="&amp;$A136,Summary!$A$5:$A$241,"&lt;"&amp;$A136+7))</f>
        <v>0</v>
      </c>
      <c r="E136">
        <f>IF(E105="","",COUNTIFS(Summary!$E$5:$E$241,E105,Summary!$A$5:$A$241,"&gt;="&amp;$A136,Summary!$A$5:$A$241,"&lt;"&amp;$A136+7))</f>
        <v>0</v>
      </c>
      <c r="F136">
        <f>IF(F105="","",COUNTIFS(Summary!$E$5:$E$241,F105,Summary!$A$5:$A$241,"&gt;="&amp;$A136,Summary!$A$5:$A$241,"&lt;"&amp;$A136+7))</f>
        <v>0</v>
      </c>
      <c r="G136">
        <f>IF(G105="","",COUNTIFS(Summary!$E$5:$E$241,G105,Summary!$A$5:$A$241,"&gt;="&amp;$A136,Summary!$A$5:$A$241,"&lt;"&amp;$A136+7))</f>
        <v>0</v>
      </c>
      <c r="H136">
        <f>IF(H105="","",COUNTIFS(Summary!$E$5:$E$241,H105,Summary!$A$5:$A$241,"&gt;="&amp;$A136,Summary!$A$5:$A$241,"&lt;"&amp;$A136+7))</f>
        <v>0</v>
      </c>
      <c r="I136">
        <f>IF(I105="","",COUNTIFS(Summary!$E$5:$E$241,I105,Summary!$A$5:$A$241,"&gt;="&amp;$A136,Summary!$A$5:$A$241,"&lt;"&amp;$A136+7))</f>
        <v>0</v>
      </c>
      <c r="J136">
        <f>IF(J105="","",COUNTIFS(Summary!$E$5:$E$241,J105,Summary!$A$5:$A$241,"&gt;="&amp;$A136,Summary!$A$5:$A$241,"&lt;"&amp;$A136+7))</f>
        <v>0</v>
      </c>
      <c r="K136">
        <f>IF(K105="","",COUNTIFS(Summary!$E$5:$E$241,K105,Summary!$A$5:$A$241,"&gt;="&amp;$A136,Summary!$A$5:$A$241,"&lt;"&amp;$A136+7))</f>
        <v>0</v>
      </c>
      <c r="L136">
        <f>IF(L105="","",COUNTIFS(Summary!$E$5:$E$241,L105,Summary!$A$5:$A$241,"&gt;="&amp;$A136,Summary!$A$5:$A$241,"&lt;"&amp;$A136+7))</f>
        <v>0</v>
      </c>
      <c r="M136">
        <f>IF(M105="","",COUNTIFS(Summary!$E$5:$E$241,M105,Summary!$A$5:$A$241,"&gt;="&amp;$A136,Summary!$A$5:$A$241,"&lt;"&amp;$A136+7))</f>
        <v>0</v>
      </c>
      <c r="N136">
        <f>IF(N105="","",COUNTIFS(Summary!$E$5:$E$241,N105,Summary!$A$5:$A$241,"&gt;="&amp;$A136,Summary!$A$5:$A$241,"&lt;"&amp;$A136+7))</f>
        <v>0</v>
      </c>
      <c r="O136">
        <f>IF(O105="","",COUNTIFS(Summary!$E$5:$E$241,O105,Summary!$A$5:$A$241,"&gt;="&amp;$A136,Summary!$A$5:$A$241,"&lt;"&amp;$A136+7))</f>
        <v>0</v>
      </c>
      <c r="P136">
        <f>IF(P105="","",COUNTIFS(Summary!$E$5:$E$241,P105,Summary!$A$5:$A$241,"&gt;="&amp;$A136,Summary!$A$5:$A$241,"&lt;"&amp;$A136+7))</f>
        <v>0</v>
      </c>
      <c r="Q136">
        <f>IF(Q105="","",COUNTIFS(Summary!$E$5:$E$241,Q105,Summary!$A$5:$A$241,"&gt;="&amp;$A136,Summary!$A$5:$A$241,"&lt;"&amp;$A136+7))</f>
        <v>0</v>
      </c>
      <c r="R136">
        <f>IF(R105="","",COUNTIFS(Summary!$E$5:$E$241,R105,Summary!$A$5:$A$241,"&gt;="&amp;$A136,Summary!$A$5:$A$241,"&lt;"&amp;$A136+7))</f>
        <v>0</v>
      </c>
      <c r="S136">
        <f>IF(S105="","",COUNTIFS(Summary!$E$5:$E$241,S105,Summary!$A$5:$A$241,"&gt;="&amp;$A136,Summary!$A$5:$A$241,"&lt;"&amp;$A136+7))</f>
        <v>0</v>
      </c>
      <c r="T136">
        <f>IF(T105="","",COUNTIFS(Summary!$E$5:$E$241,T105,Summary!$A$5:$A$241,"&gt;="&amp;$A136,Summary!$A$5:$A$241,"&lt;"&amp;$A136+7))</f>
        <v>0</v>
      </c>
      <c r="U136">
        <f>IF(U105="","",COUNTIFS(Summary!$E$5:$E$241,U105,Summary!$A$5:$A$241,"&gt;="&amp;$A136,Summary!$A$5:$A$241,"&lt;"&amp;$A136+7))</f>
        <v>0</v>
      </c>
      <c r="V136">
        <f>IF(V105="","",COUNTIFS(Summary!$E$5:$E$241,V105,Summary!$A$5:$A$241,"&gt;="&amp;$A136,Summary!$A$5:$A$241,"&lt;"&amp;$A136+7))</f>
        <v>0</v>
      </c>
      <c r="W136">
        <f>IF(W105="","",COUNTIFS(Summary!$E$5:$E$241,W105,Summary!$A$5:$A$241,"&gt;="&amp;$A136,Summary!$A$5:$A$241,"&lt;"&amp;$A136+7))</f>
        <v>0</v>
      </c>
      <c r="X136">
        <f>IF(X105="","",COUNTIFS(Summary!$E$5:$E$241,X105,Summary!$A$5:$A$241,"&gt;="&amp;$A136,Summary!$A$5:$A$241,"&lt;"&amp;$A136+7))</f>
        <v>0</v>
      </c>
      <c r="Y136">
        <f>IF(Y105="","",COUNTIFS(Summary!$E$5:$E$241,Y105,Summary!$A$5:$A$241,"&gt;="&amp;$A136,Summary!$A$5:$A$241,"&lt;"&amp;$A136+7))</f>
        <v>0</v>
      </c>
      <c r="Z136">
        <f>IF(Z105="","",COUNTIFS(Summary!$E$5:$E$241,Z105,Summary!$A$5:$A$241,"&gt;="&amp;$A136,Summary!$A$5:$A$241,"&lt;"&amp;$A136+7))</f>
        <v>0</v>
      </c>
      <c r="AA136">
        <f>IF(AA105="","",COUNTIFS(Summary!$E$5:$E$241,AA105,Summary!$A$5:$A$241,"&gt;="&amp;$A136,Summary!$A$5:$A$241,"&lt;"&amp;$A136+7))</f>
        <v>0</v>
      </c>
      <c r="AB136">
        <f>IF(AB105="","",COUNTIFS(Summary!$E$5:$E$241,AB105,Summary!$A$5:$A$241,"&gt;="&amp;$A136,Summary!$A$5:$A$241,"&lt;"&amp;$A136+7))</f>
        <v>0</v>
      </c>
      <c r="AC136">
        <f>IF(AC105="","",COUNTIFS(Summary!$E$5:$E$241,AC105,Summary!$A$5:$A$241,"&gt;="&amp;$A136,Summary!$A$5:$A$241,"&lt;"&amp;$A136+7))</f>
        <v>0</v>
      </c>
      <c r="AD136">
        <f>IF(AD105="","",COUNTIFS(Summary!$E$5:$E$241,AD105,Summary!$A$5:$A$241,"&gt;="&amp;$A136,Summary!$A$5:$A$241,"&lt;"&amp;$A136+7))</f>
        <v>0</v>
      </c>
      <c r="AE136">
        <f>IF(AE105="","",COUNTIFS(Summary!$E$5:$E$241,AE105,Summary!$A$5:$A$241,"&gt;="&amp;$A136,Summary!$A$5:$A$241,"&lt;"&amp;$A136+7))</f>
        <v>0</v>
      </c>
      <c r="AF136">
        <f>IF(AF105="","",COUNTIFS(Summary!$E$5:$E$241,AF105,Summary!$A$5:$A$241,"&gt;="&amp;$A136,Summary!$A$5:$A$241,"&lt;"&amp;$A136+7))</f>
        <v>0</v>
      </c>
      <c r="AG136">
        <f>IF(AG105="","",COUNTIFS(Summary!$E$5:$E$241,AG105,Summary!$A$5:$A$241,"&gt;="&amp;$A136,Summary!$A$5:$A$241,"&lt;"&amp;$A136+7))</f>
        <v>0</v>
      </c>
      <c r="AH136">
        <f>IF(AH105="","",COUNTIFS(Summary!$E$5:$E$241,AH105,Summary!$A$5:$A$241,"&gt;="&amp;$A136,Summary!$A$5:$A$241,"&lt;"&amp;$A136+7))</f>
        <v>0</v>
      </c>
      <c r="AI136">
        <f>IF(AI105="","",COUNTIFS(Summary!$E$5:$E$241,AI105,Summary!$A$5:$A$241,"&gt;="&amp;$A136,Summary!$A$5:$A$241,"&lt;"&amp;$A136+7))</f>
        <v>0</v>
      </c>
      <c r="AJ136">
        <f>IF(AJ105="","",COUNTIFS(Summary!$E$5:$E$241,AJ105,Summary!$A$5:$A$241,"&gt;="&amp;$A136,Summary!$A$5:$A$241,"&lt;"&amp;$A136+7))</f>
        <v>0</v>
      </c>
      <c r="AK136">
        <f>IF(AK105="","",COUNTIFS(Summary!$E$5:$E$241,AK105,Summary!$A$5:$A$241,"&gt;="&amp;$A136,Summary!$A$5:$A$241,"&lt;"&amp;$A136+7))</f>
        <v>0</v>
      </c>
      <c r="AL136">
        <f>IF(AL105="","",COUNTIFS(Summary!$E$5:$E$241,AL105,Summary!$A$5:$A$241,"&gt;="&amp;$A136,Summary!$A$5:$A$241,"&lt;"&amp;$A136+7))</f>
        <v>0</v>
      </c>
      <c r="AM136">
        <f>IF(AM105="","",COUNTIFS(Summary!$E$5:$E$241,AM105,Summary!$A$5:$A$241,"&gt;="&amp;$A136,Summary!$A$5:$A$241,"&lt;"&amp;$A136+7))</f>
        <v>0</v>
      </c>
      <c r="AN136">
        <f>IF(AN105="","",COUNTIFS(Summary!$E$5:$E$241,AN105,Summary!$A$5:$A$241,"&gt;="&amp;$A136,Summary!$A$5:$A$241,"&lt;"&amp;$A136+7))</f>
        <v>0</v>
      </c>
      <c r="AO136">
        <f>IF(AO105="","",COUNTIFS(Summary!$E$5:$E$241,AO105,Summary!$A$5:$A$241,"&gt;="&amp;$A136,Summary!$A$5:$A$241,"&lt;"&amp;$A136+7))</f>
        <v>0</v>
      </c>
      <c r="AP136">
        <f>IF(AP105="","",COUNTIFS(Summary!$E$5:$E$241,AP105,Summary!$A$5:$A$241,"&gt;="&amp;$A136,Summary!$A$5:$A$241,"&lt;"&amp;$A136+7))</f>
        <v>0</v>
      </c>
      <c r="AQ136">
        <f>IF(AQ105="","",COUNTIFS(Summary!$E$5:$E$241,AQ105,Summary!$A$5:$A$241,"&gt;="&amp;$A136,Summary!$A$5:$A$241,"&lt;"&amp;$A136+7))</f>
        <v>0</v>
      </c>
      <c r="AR136">
        <f>IF(AR105="","",COUNTIFS(Summary!$E$5:$E$241,AR105,Summary!$A$5:$A$241,"&gt;="&amp;$A136,Summary!$A$5:$A$241,"&lt;"&amp;$A136+7))</f>
        <v>0</v>
      </c>
      <c r="AS136">
        <f>IF(AS105="","",COUNTIFS(Summary!$E$5:$E$241,AS105,Summary!$A$5:$A$241,"&gt;="&amp;$A136,Summary!$A$5:$A$241,"&lt;"&amp;$A136+7))</f>
        <v>0</v>
      </c>
      <c r="AT136">
        <f>IF(AT105="","",COUNTIFS(Summary!$E$5:$E$241,AT105,Summary!$A$5:$A$241,"&gt;="&amp;$A136,Summary!$A$5:$A$241,"&lt;"&amp;$A136+7))</f>
        <v>0</v>
      </c>
      <c r="AU136">
        <f>IF(AU105="","",COUNTIFS(Summary!$E$5:$E$241,AU105,Summary!$A$5:$A$241,"&gt;="&amp;$A136,Summary!$A$5:$A$241,"&lt;"&amp;$A136+7))</f>
        <v>0</v>
      </c>
      <c r="AV136">
        <f>IF(AV105="","",COUNTIFS(Summary!$E$5:$E$241,AV105,Summary!$A$5:$A$241,"&gt;="&amp;$A136,Summary!$A$5:$A$241,"&lt;"&amp;$A136+7))</f>
        <v>0</v>
      </c>
      <c r="AW136">
        <f>IF(AW105="","",COUNTIFS(Summary!$E$5:$E$241,AW105,Summary!$A$5:$A$241,"&gt;="&amp;$A136,Summary!$A$5:$A$241,"&lt;"&amp;$A136+7))</f>
        <v>0</v>
      </c>
      <c r="AX136">
        <f>IF(AX105="","",COUNTIFS(Summary!$E$5:$E$241,AX105,Summary!$A$5:$A$241,"&gt;="&amp;$A136,Summary!$A$5:$A$241,"&lt;"&amp;$A136+7))</f>
        <v>0</v>
      </c>
      <c r="AY136">
        <f>IF(AY105="","",COUNTIFS(Summary!$E$5:$E$241,AY105,Summary!$A$5:$A$241,"&gt;="&amp;$A136,Summary!$A$5:$A$241,"&lt;"&amp;$A136+7))</f>
        <v>0</v>
      </c>
      <c r="AZ136">
        <f>IF(AZ105="","",COUNTIFS(Summary!$E$5:$E$241,AZ105,Summary!$A$5:$A$241,"&gt;="&amp;$A136,Summary!$A$5:$A$241,"&lt;"&amp;$A136+7))</f>
        <v>0</v>
      </c>
      <c r="BA136">
        <f>IF(BA105="","",COUNTIFS(Summary!$E$5:$E$241,BA105,Summary!$A$5:$A$241,"&gt;="&amp;$A136,Summary!$A$5:$A$241,"&lt;"&amp;$A136+7))</f>
        <v>0</v>
      </c>
      <c r="BB136">
        <f>IF(BB105="","",COUNTIFS(Summary!$E$5:$E$241,BB105,Summary!$A$5:$A$241,"&gt;="&amp;$A136,Summary!$A$5:$A$241,"&lt;"&amp;$A136+7))</f>
        <v>0</v>
      </c>
      <c r="BC136">
        <f>IF(BC105="","",COUNTIFS(Summary!$E$5:$E$241,BC105,Summary!$A$5:$A$241,"&gt;="&amp;$A136,Summary!$A$5:$A$241,"&lt;"&amp;$A136+7))</f>
        <v>0</v>
      </c>
      <c r="BD136">
        <f>IF(BD105="","",COUNTIFS(Summary!$E$5:$E$241,BD105,Summary!$A$5:$A$241,"&gt;="&amp;$A136,Summary!$A$5:$A$241,"&lt;"&amp;$A136+7))</f>
        <v>0</v>
      </c>
      <c r="BE136">
        <f>IF(BE105="","",COUNTIFS(Summary!$E$5:$E$241,BE105,Summary!$A$5:$A$241,"&gt;="&amp;$A136,Summary!$A$5:$A$241,"&lt;"&amp;$A136+7))</f>
        <v>0</v>
      </c>
      <c r="BF136" s="28">
        <f>IF(BF105="","",COUNTIFS(Summary!$E$5:$E$241,BF105,Summary!$A$5:$A$241,"&gt;="&amp;$A136,Summary!$A$5:$A$241,"&lt;"&amp;$A136+7))</f>
        <v>0</v>
      </c>
    </row>
    <row r="137" spans="1:58">
      <c r="A137" s="18">
        <f t="shared" si="9"/>
        <v>46307.344340277778</v>
      </c>
      <c r="B137" s="2" t="str">
        <f t="shared" si="8"/>
        <v>Oct 12</v>
      </c>
      <c r="C137">
        <f>IF(C105="","",COUNTIFS(Summary!$E$5:$E$241,C105,Summary!$A$5:$A$241,"&gt;="&amp;$A137,Summary!$A$5:$A$241,"&lt;"&amp;$A137+7))</f>
        <v>0</v>
      </c>
      <c r="D137">
        <f>IF(D105="","",COUNTIFS(Summary!$E$5:$E$241,D105,Summary!$A$5:$A$241,"&gt;="&amp;$A137,Summary!$A$5:$A$241,"&lt;"&amp;$A137+7))</f>
        <v>0</v>
      </c>
      <c r="E137">
        <f>IF(E105="","",COUNTIFS(Summary!$E$5:$E$241,E105,Summary!$A$5:$A$241,"&gt;="&amp;$A137,Summary!$A$5:$A$241,"&lt;"&amp;$A137+7))</f>
        <v>0</v>
      </c>
      <c r="F137">
        <f>IF(F105="","",COUNTIFS(Summary!$E$5:$E$241,F105,Summary!$A$5:$A$241,"&gt;="&amp;$A137,Summary!$A$5:$A$241,"&lt;"&amp;$A137+7))</f>
        <v>0</v>
      </c>
      <c r="G137">
        <f>IF(G105="","",COUNTIFS(Summary!$E$5:$E$241,G105,Summary!$A$5:$A$241,"&gt;="&amp;$A137,Summary!$A$5:$A$241,"&lt;"&amp;$A137+7))</f>
        <v>0</v>
      </c>
      <c r="H137">
        <f>IF(H105="","",COUNTIFS(Summary!$E$5:$E$241,H105,Summary!$A$5:$A$241,"&gt;="&amp;$A137,Summary!$A$5:$A$241,"&lt;"&amp;$A137+7))</f>
        <v>0</v>
      </c>
      <c r="I137">
        <f>IF(I105="","",COUNTIFS(Summary!$E$5:$E$241,I105,Summary!$A$5:$A$241,"&gt;="&amp;$A137,Summary!$A$5:$A$241,"&lt;"&amp;$A137+7))</f>
        <v>0</v>
      </c>
      <c r="J137">
        <f>IF(J105="","",COUNTIFS(Summary!$E$5:$E$241,J105,Summary!$A$5:$A$241,"&gt;="&amp;$A137,Summary!$A$5:$A$241,"&lt;"&amp;$A137+7))</f>
        <v>0</v>
      </c>
      <c r="K137">
        <f>IF(K105="","",COUNTIFS(Summary!$E$5:$E$241,K105,Summary!$A$5:$A$241,"&gt;="&amp;$A137,Summary!$A$5:$A$241,"&lt;"&amp;$A137+7))</f>
        <v>0</v>
      </c>
      <c r="L137">
        <f>IF(L105="","",COUNTIFS(Summary!$E$5:$E$241,L105,Summary!$A$5:$A$241,"&gt;="&amp;$A137,Summary!$A$5:$A$241,"&lt;"&amp;$A137+7))</f>
        <v>0</v>
      </c>
      <c r="M137">
        <f>IF(M105="","",COUNTIFS(Summary!$E$5:$E$241,M105,Summary!$A$5:$A$241,"&gt;="&amp;$A137,Summary!$A$5:$A$241,"&lt;"&amp;$A137+7))</f>
        <v>0</v>
      </c>
      <c r="N137">
        <f>IF(N105="","",COUNTIFS(Summary!$E$5:$E$241,N105,Summary!$A$5:$A$241,"&gt;="&amp;$A137,Summary!$A$5:$A$241,"&lt;"&amp;$A137+7))</f>
        <v>0</v>
      </c>
      <c r="O137">
        <f>IF(O105="","",COUNTIFS(Summary!$E$5:$E$241,O105,Summary!$A$5:$A$241,"&gt;="&amp;$A137,Summary!$A$5:$A$241,"&lt;"&amp;$A137+7))</f>
        <v>0</v>
      </c>
      <c r="P137">
        <f>IF(P105="","",COUNTIFS(Summary!$E$5:$E$241,P105,Summary!$A$5:$A$241,"&gt;="&amp;$A137,Summary!$A$5:$A$241,"&lt;"&amp;$A137+7))</f>
        <v>0</v>
      </c>
      <c r="Q137">
        <f>IF(Q105="","",COUNTIFS(Summary!$E$5:$E$241,Q105,Summary!$A$5:$A$241,"&gt;="&amp;$A137,Summary!$A$5:$A$241,"&lt;"&amp;$A137+7))</f>
        <v>0</v>
      </c>
      <c r="R137">
        <f>IF(R105="","",COUNTIFS(Summary!$E$5:$E$241,R105,Summary!$A$5:$A$241,"&gt;="&amp;$A137,Summary!$A$5:$A$241,"&lt;"&amp;$A137+7))</f>
        <v>0</v>
      </c>
      <c r="S137">
        <f>IF(S105="","",COUNTIFS(Summary!$E$5:$E$241,S105,Summary!$A$5:$A$241,"&gt;="&amp;$A137,Summary!$A$5:$A$241,"&lt;"&amp;$A137+7))</f>
        <v>0</v>
      </c>
      <c r="T137">
        <f>IF(T105="","",COUNTIFS(Summary!$E$5:$E$241,T105,Summary!$A$5:$A$241,"&gt;="&amp;$A137,Summary!$A$5:$A$241,"&lt;"&amp;$A137+7))</f>
        <v>0</v>
      </c>
      <c r="U137">
        <f>IF(U105="","",COUNTIFS(Summary!$E$5:$E$241,U105,Summary!$A$5:$A$241,"&gt;="&amp;$A137,Summary!$A$5:$A$241,"&lt;"&amp;$A137+7))</f>
        <v>0</v>
      </c>
      <c r="V137">
        <f>IF(V105="","",COUNTIFS(Summary!$E$5:$E$241,V105,Summary!$A$5:$A$241,"&gt;="&amp;$A137,Summary!$A$5:$A$241,"&lt;"&amp;$A137+7))</f>
        <v>0</v>
      </c>
      <c r="W137">
        <f>IF(W105="","",COUNTIFS(Summary!$E$5:$E$241,W105,Summary!$A$5:$A$241,"&gt;="&amp;$A137,Summary!$A$5:$A$241,"&lt;"&amp;$A137+7))</f>
        <v>0</v>
      </c>
      <c r="X137">
        <f>IF(X105="","",COUNTIFS(Summary!$E$5:$E$241,X105,Summary!$A$5:$A$241,"&gt;="&amp;$A137,Summary!$A$5:$A$241,"&lt;"&amp;$A137+7))</f>
        <v>0</v>
      </c>
      <c r="Y137">
        <f>IF(Y105="","",COUNTIFS(Summary!$E$5:$E$241,Y105,Summary!$A$5:$A$241,"&gt;="&amp;$A137,Summary!$A$5:$A$241,"&lt;"&amp;$A137+7))</f>
        <v>0</v>
      </c>
      <c r="Z137">
        <f>IF(Z105="","",COUNTIFS(Summary!$E$5:$E$241,Z105,Summary!$A$5:$A$241,"&gt;="&amp;$A137,Summary!$A$5:$A$241,"&lt;"&amp;$A137+7))</f>
        <v>0</v>
      </c>
      <c r="AA137">
        <f>IF(AA105="","",COUNTIFS(Summary!$E$5:$E$241,AA105,Summary!$A$5:$A$241,"&gt;="&amp;$A137,Summary!$A$5:$A$241,"&lt;"&amp;$A137+7))</f>
        <v>0</v>
      </c>
      <c r="AB137">
        <f>IF(AB105="","",COUNTIFS(Summary!$E$5:$E$241,AB105,Summary!$A$5:$A$241,"&gt;="&amp;$A137,Summary!$A$5:$A$241,"&lt;"&amp;$A137+7))</f>
        <v>0</v>
      </c>
      <c r="AC137">
        <f>IF(AC105="","",COUNTIFS(Summary!$E$5:$E$241,AC105,Summary!$A$5:$A$241,"&gt;="&amp;$A137,Summary!$A$5:$A$241,"&lt;"&amp;$A137+7))</f>
        <v>0</v>
      </c>
      <c r="AD137">
        <f>IF(AD105="","",COUNTIFS(Summary!$E$5:$E$241,AD105,Summary!$A$5:$A$241,"&gt;="&amp;$A137,Summary!$A$5:$A$241,"&lt;"&amp;$A137+7))</f>
        <v>0</v>
      </c>
      <c r="AE137">
        <f>IF(AE105="","",COUNTIFS(Summary!$E$5:$E$241,AE105,Summary!$A$5:$A$241,"&gt;="&amp;$A137,Summary!$A$5:$A$241,"&lt;"&amp;$A137+7))</f>
        <v>0</v>
      </c>
      <c r="AF137">
        <f>IF(AF105="","",COUNTIFS(Summary!$E$5:$E$241,AF105,Summary!$A$5:$A$241,"&gt;="&amp;$A137,Summary!$A$5:$A$241,"&lt;"&amp;$A137+7))</f>
        <v>0</v>
      </c>
      <c r="AG137">
        <f>IF(AG105="","",COUNTIFS(Summary!$E$5:$E$241,AG105,Summary!$A$5:$A$241,"&gt;="&amp;$A137,Summary!$A$5:$A$241,"&lt;"&amp;$A137+7))</f>
        <v>0</v>
      </c>
      <c r="AH137">
        <f>IF(AH105="","",COUNTIFS(Summary!$E$5:$E$241,AH105,Summary!$A$5:$A$241,"&gt;="&amp;$A137,Summary!$A$5:$A$241,"&lt;"&amp;$A137+7))</f>
        <v>0</v>
      </c>
      <c r="AI137">
        <f>IF(AI105="","",COUNTIFS(Summary!$E$5:$E$241,AI105,Summary!$A$5:$A$241,"&gt;="&amp;$A137,Summary!$A$5:$A$241,"&lt;"&amp;$A137+7))</f>
        <v>0</v>
      </c>
      <c r="AJ137">
        <f>IF(AJ105="","",COUNTIFS(Summary!$E$5:$E$241,AJ105,Summary!$A$5:$A$241,"&gt;="&amp;$A137,Summary!$A$5:$A$241,"&lt;"&amp;$A137+7))</f>
        <v>0</v>
      </c>
      <c r="AK137">
        <f>IF(AK105="","",COUNTIFS(Summary!$E$5:$E$241,AK105,Summary!$A$5:$A$241,"&gt;="&amp;$A137,Summary!$A$5:$A$241,"&lt;"&amp;$A137+7))</f>
        <v>0</v>
      </c>
      <c r="AL137">
        <f>IF(AL105="","",COUNTIFS(Summary!$E$5:$E$241,AL105,Summary!$A$5:$A$241,"&gt;="&amp;$A137,Summary!$A$5:$A$241,"&lt;"&amp;$A137+7))</f>
        <v>0</v>
      </c>
      <c r="AM137">
        <f>IF(AM105="","",COUNTIFS(Summary!$E$5:$E$241,AM105,Summary!$A$5:$A$241,"&gt;="&amp;$A137,Summary!$A$5:$A$241,"&lt;"&amp;$A137+7))</f>
        <v>0</v>
      </c>
      <c r="AN137">
        <f>IF(AN105="","",COUNTIFS(Summary!$E$5:$E$241,AN105,Summary!$A$5:$A$241,"&gt;="&amp;$A137,Summary!$A$5:$A$241,"&lt;"&amp;$A137+7))</f>
        <v>0</v>
      </c>
      <c r="AO137">
        <f>IF(AO105="","",COUNTIFS(Summary!$E$5:$E$241,AO105,Summary!$A$5:$A$241,"&gt;="&amp;$A137,Summary!$A$5:$A$241,"&lt;"&amp;$A137+7))</f>
        <v>0</v>
      </c>
      <c r="AP137">
        <f>IF(AP105="","",COUNTIFS(Summary!$E$5:$E$241,AP105,Summary!$A$5:$A$241,"&gt;="&amp;$A137,Summary!$A$5:$A$241,"&lt;"&amp;$A137+7))</f>
        <v>0</v>
      </c>
      <c r="AQ137">
        <f>IF(AQ105="","",COUNTIFS(Summary!$E$5:$E$241,AQ105,Summary!$A$5:$A$241,"&gt;="&amp;$A137,Summary!$A$5:$A$241,"&lt;"&amp;$A137+7))</f>
        <v>0</v>
      </c>
      <c r="AR137">
        <f>IF(AR105="","",COUNTIFS(Summary!$E$5:$E$241,AR105,Summary!$A$5:$A$241,"&gt;="&amp;$A137,Summary!$A$5:$A$241,"&lt;"&amp;$A137+7))</f>
        <v>0</v>
      </c>
      <c r="AS137">
        <f>IF(AS105="","",COUNTIFS(Summary!$E$5:$E$241,AS105,Summary!$A$5:$A$241,"&gt;="&amp;$A137,Summary!$A$5:$A$241,"&lt;"&amp;$A137+7))</f>
        <v>0</v>
      </c>
      <c r="AT137">
        <f>IF(AT105="","",COUNTIFS(Summary!$E$5:$E$241,AT105,Summary!$A$5:$A$241,"&gt;="&amp;$A137,Summary!$A$5:$A$241,"&lt;"&amp;$A137+7))</f>
        <v>0</v>
      </c>
      <c r="AU137">
        <f>IF(AU105="","",COUNTIFS(Summary!$E$5:$E$241,AU105,Summary!$A$5:$A$241,"&gt;="&amp;$A137,Summary!$A$5:$A$241,"&lt;"&amp;$A137+7))</f>
        <v>0</v>
      </c>
      <c r="AV137">
        <f>IF(AV105="","",COUNTIFS(Summary!$E$5:$E$241,AV105,Summary!$A$5:$A$241,"&gt;="&amp;$A137,Summary!$A$5:$A$241,"&lt;"&amp;$A137+7))</f>
        <v>0</v>
      </c>
      <c r="AW137">
        <f>IF(AW105="","",COUNTIFS(Summary!$E$5:$E$241,AW105,Summary!$A$5:$A$241,"&gt;="&amp;$A137,Summary!$A$5:$A$241,"&lt;"&amp;$A137+7))</f>
        <v>0</v>
      </c>
      <c r="AX137">
        <f>IF(AX105="","",COUNTIFS(Summary!$E$5:$E$241,AX105,Summary!$A$5:$A$241,"&gt;="&amp;$A137,Summary!$A$5:$A$241,"&lt;"&amp;$A137+7))</f>
        <v>0</v>
      </c>
      <c r="AY137">
        <f>IF(AY105="","",COUNTIFS(Summary!$E$5:$E$241,AY105,Summary!$A$5:$A$241,"&gt;="&amp;$A137,Summary!$A$5:$A$241,"&lt;"&amp;$A137+7))</f>
        <v>0</v>
      </c>
      <c r="AZ137">
        <f>IF(AZ105="","",COUNTIFS(Summary!$E$5:$E$241,AZ105,Summary!$A$5:$A$241,"&gt;="&amp;$A137,Summary!$A$5:$A$241,"&lt;"&amp;$A137+7))</f>
        <v>0</v>
      </c>
      <c r="BA137">
        <f>IF(BA105="","",COUNTIFS(Summary!$E$5:$E$241,BA105,Summary!$A$5:$A$241,"&gt;="&amp;$A137,Summary!$A$5:$A$241,"&lt;"&amp;$A137+7))</f>
        <v>0</v>
      </c>
      <c r="BB137">
        <f>IF(BB105="","",COUNTIFS(Summary!$E$5:$E$241,BB105,Summary!$A$5:$A$241,"&gt;="&amp;$A137,Summary!$A$5:$A$241,"&lt;"&amp;$A137+7))</f>
        <v>0</v>
      </c>
      <c r="BC137">
        <f>IF(BC105="","",COUNTIFS(Summary!$E$5:$E$241,BC105,Summary!$A$5:$A$241,"&gt;="&amp;$A137,Summary!$A$5:$A$241,"&lt;"&amp;$A137+7))</f>
        <v>0</v>
      </c>
      <c r="BD137">
        <f>IF(BD105="","",COUNTIFS(Summary!$E$5:$E$241,BD105,Summary!$A$5:$A$241,"&gt;="&amp;$A137,Summary!$A$5:$A$241,"&lt;"&amp;$A137+7))</f>
        <v>0</v>
      </c>
      <c r="BE137">
        <f>IF(BE105="","",COUNTIFS(Summary!$E$5:$E$241,BE105,Summary!$A$5:$A$241,"&gt;="&amp;$A137,Summary!$A$5:$A$241,"&lt;"&amp;$A137+7))</f>
        <v>0</v>
      </c>
      <c r="BF137" s="28">
        <f>IF(BF105="","",COUNTIFS(Summary!$E$5:$E$241,BF105,Summary!$A$5:$A$241,"&gt;="&amp;$A137,Summary!$A$5:$A$241,"&lt;"&amp;$A137+7))</f>
        <v>0</v>
      </c>
    </row>
    <row r="138" spans="1:58">
      <c r="A138" s="18">
        <f t="shared" si="9"/>
        <v>46314.344340277778</v>
      </c>
      <c r="B138" s="2" t="str">
        <f t="shared" si="8"/>
        <v>Oct 19</v>
      </c>
      <c r="C138">
        <f>IF(C105="","",COUNTIFS(Summary!$E$5:$E$241,C105,Summary!$A$5:$A$241,"&gt;="&amp;$A138,Summary!$A$5:$A$241,"&lt;"&amp;$A138+7))</f>
        <v>0</v>
      </c>
      <c r="D138">
        <f>IF(D105="","",COUNTIFS(Summary!$E$5:$E$241,D105,Summary!$A$5:$A$241,"&gt;="&amp;$A138,Summary!$A$5:$A$241,"&lt;"&amp;$A138+7))</f>
        <v>0</v>
      </c>
      <c r="E138">
        <f>IF(E105="","",COUNTIFS(Summary!$E$5:$E$241,E105,Summary!$A$5:$A$241,"&gt;="&amp;$A138,Summary!$A$5:$A$241,"&lt;"&amp;$A138+7))</f>
        <v>0</v>
      </c>
      <c r="F138">
        <f>IF(F105="","",COUNTIFS(Summary!$E$5:$E$241,F105,Summary!$A$5:$A$241,"&gt;="&amp;$A138,Summary!$A$5:$A$241,"&lt;"&amp;$A138+7))</f>
        <v>0</v>
      </c>
      <c r="G138">
        <f>IF(G105="","",COUNTIFS(Summary!$E$5:$E$241,G105,Summary!$A$5:$A$241,"&gt;="&amp;$A138,Summary!$A$5:$A$241,"&lt;"&amp;$A138+7))</f>
        <v>0</v>
      </c>
      <c r="H138">
        <f>IF(H105="","",COUNTIFS(Summary!$E$5:$E$241,H105,Summary!$A$5:$A$241,"&gt;="&amp;$A138,Summary!$A$5:$A$241,"&lt;"&amp;$A138+7))</f>
        <v>0</v>
      </c>
      <c r="I138">
        <f>IF(I105="","",COUNTIFS(Summary!$E$5:$E$241,I105,Summary!$A$5:$A$241,"&gt;="&amp;$A138,Summary!$A$5:$A$241,"&lt;"&amp;$A138+7))</f>
        <v>0</v>
      </c>
      <c r="J138">
        <f>IF(J105="","",COUNTIFS(Summary!$E$5:$E$241,J105,Summary!$A$5:$A$241,"&gt;="&amp;$A138,Summary!$A$5:$A$241,"&lt;"&amp;$A138+7))</f>
        <v>0</v>
      </c>
      <c r="K138">
        <f>IF(K105="","",COUNTIFS(Summary!$E$5:$E$241,K105,Summary!$A$5:$A$241,"&gt;="&amp;$A138,Summary!$A$5:$A$241,"&lt;"&amp;$A138+7))</f>
        <v>0</v>
      </c>
      <c r="L138">
        <f>IF(L105="","",COUNTIFS(Summary!$E$5:$E$241,L105,Summary!$A$5:$A$241,"&gt;="&amp;$A138,Summary!$A$5:$A$241,"&lt;"&amp;$A138+7))</f>
        <v>0</v>
      </c>
      <c r="M138">
        <f>IF(M105="","",COUNTIFS(Summary!$E$5:$E$241,M105,Summary!$A$5:$A$241,"&gt;="&amp;$A138,Summary!$A$5:$A$241,"&lt;"&amp;$A138+7))</f>
        <v>0</v>
      </c>
      <c r="N138">
        <f>IF(N105="","",COUNTIFS(Summary!$E$5:$E$241,N105,Summary!$A$5:$A$241,"&gt;="&amp;$A138,Summary!$A$5:$A$241,"&lt;"&amp;$A138+7))</f>
        <v>0</v>
      </c>
      <c r="O138">
        <f>IF(O105="","",COUNTIFS(Summary!$E$5:$E$241,O105,Summary!$A$5:$A$241,"&gt;="&amp;$A138,Summary!$A$5:$A$241,"&lt;"&amp;$A138+7))</f>
        <v>0</v>
      </c>
      <c r="P138">
        <f>IF(P105="","",COUNTIFS(Summary!$E$5:$E$241,P105,Summary!$A$5:$A$241,"&gt;="&amp;$A138,Summary!$A$5:$A$241,"&lt;"&amp;$A138+7))</f>
        <v>0</v>
      </c>
      <c r="Q138">
        <f>IF(Q105="","",COUNTIFS(Summary!$E$5:$E$241,Q105,Summary!$A$5:$A$241,"&gt;="&amp;$A138,Summary!$A$5:$A$241,"&lt;"&amp;$A138+7))</f>
        <v>0</v>
      </c>
      <c r="R138">
        <f>IF(R105="","",COUNTIFS(Summary!$E$5:$E$241,R105,Summary!$A$5:$A$241,"&gt;="&amp;$A138,Summary!$A$5:$A$241,"&lt;"&amp;$A138+7))</f>
        <v>0</v>
      </c>
      <c r="S138">
        <f>IF(S105="","",COUNTIFS(Summary!$E$5:$E$241,S105,Summary!$A$5:$A$241,"&gt;="&amp;$A138,Summary!$A$5:$A$241,"&lt;"&amp;$A138+7))</f>
        <v>0</v>
      </c>
      <c r="T138">
        <f>IF(T105="","",COUNTIFS(Summary!$E$5:$E$241,T105,Summary!$A$5:$A$241,"&gt;="&amp;$A138,Summary!$A$5:$A$241,"&lt;"&amp;$A138+7))</f>
        <v>0</v>
      </c>
      <c r="U138">
        <f>IF(U105="","",COUNTIFS(Summary!$E$5:$E$241,U105,Summary!$A$5:$A$241,"&gt;="&amp;$A138,Summary!$A$5:$A$241,"&lt;"&amp;$A138+7))</f>
        <v>0</v>
      </c>
      <c r="V138">
        <f>IF(V105="","",COUNTIFS(Summary!$E$5:$E$241,V105,Summary!$A$5:$A$241,"&gt;="&amp;$A138,Summary!$A$5:$A$241,"&lt;"&amp;$A138+7))</f>
        <v>0</v>
      </c>
      <c r="W138">
        <f>IF(W105="","",COUNTIFS(Summary!$E$5:$E$241,W105,Summary!$A$5:$A$241,"&gt;="&amp;$A138,Summary!$A$5:$A$241,"&lt;"&amp;$A138+7))</f>
        <v>0</v>
      </c>
      <c r="X138">
        <f>IF(X105="","",COUNTIFS(Summary!$E$5:$E$241,X105,Summary!$A$5:$A$241,"&gt;="&amp;$A138,Summary!$A$5:$A$241,"&lt;"&amp;$A138+7))</f>
        <v>0</v>
      </c>
      <c r="Y138">
        <f>IF(Y105="","",COUNTIFS(Summary!$E$5:$E$241,Y105,Summary!$A$5:$A$241,"&gt;="&amp;$A138,Summary!$A$5:$A$241,"&lt;"&amp;$A138+7))</f>
        <v>0</v>
      </c>
      <c r="Z138">
        <f>IF(Z105="","",COUNTIFS(Summary!$E$5:$E$241,Z105,Summary!$A$5:$A$241,"&gt;="&amp;$A138,Summary!$A$5:$A$241,"&lt;"&amp;$A138+7))</f>
        <v>0</v>
      </c>
      <c r="AA138">
        <f>IF(AA105="","",COUNTIFS(Summary!$E$5:$E$241,AA105,Summary!$A$5:$A$241,"&gt;="&amp;$A138,Summary!$A$5:$A$241,"&lt;"&amp;$A138+7))</f>
        <v>0</v>
      </c>
      <c r="AB138">
        <f>IF(AB105="","",COUNTIFS(Summary!$E$5:$E$241,AB105,Summary!$A$5:$A$241,"&gt;="&amp;$A138,Summary!$A$5:$A$241,"&lt;"&amp;$A138+7))</f>
        <v>0</v>
      </c>
      <c r="AC138">
        <f>IF(AC105="","",COUNTIFS(Summary!$E$5:$E$241,AC105,Summary!$A$5:$A$241,"&gt;="&amp;$A138,Summary!$A$5:$A$241,"&lt;"&amp;$A138+7))</f>
        <v>0</v>
      </c>
      <c r="AD138">
        <f>IF(AD105="","",COUNTIFS(Summary!$E$5:$E$241,AD105,Summary!$A$5:$A$241,"&gt;="&amp;$A138,Summary!$A$5:$A$241,"&lt;"&amp;$A138+7))</f>
        <v>0</v>
      </c>
      <c r="AE138">
        <f>IF(AE105="","",COUNTIFS(Summary!$E$5:$E$241,AE105,Summary!$A$5:$A$241,"&gt;="&amp;$A138,Summary!$A$5:$A$241,"&lt;"&amp;$A138+7))</f>
        <v>0</v>
      </c>
      <c r="AF138">
        <f>IF(AF105="","",COUNTIFS(Summary!$E$5:$E$241,AF105,Summary!$A$5:$A$241,"&gt;="&amp;$A138,Summary!$A$5:$A$241,"&lt;"&amp;$A138+7))</f>
        <v>0</v>
      </c>
      <c r="AG138">
        <f>IF(AG105="","",COUNTIFS(Summary!$E$5:$E$241,AG105,Summary!$A$5:$A$241,"&gt;="&amp;$A138,Summary!$A$5:$A$241,"&lt;"&amp;$A138+7))</f>
        <v>0</v>
      </c>
      <c r="AH138">
        <f>IF(AH105="","",COUNTIFS(Summary!$E$5:$E$241,AH105,Summary!$A$5:$A$241,"&gt;="&amp;$A138,Summary!$A$5:$A$241,"&lt;"&amp;$A138+7))</f>
        <v>0</v>
      </c>
      <c r="AI138">
        <f>IF(AI105="","",COUNTIFS(Summary!$E$5:$E$241,AI105,Summary!$A$5:$A$241,"&gt;="&amp;$A138,Summary!$A$5:$A$241,"&lt;"&amp;$A138+7))</f>
        <v>0</v>
      </c>
      <c r="AJ138">
        <f>IF(AJ105="","",COUNTIFS(Summary!$E$5:$E$241,AJ105,Summary!$A$5:$A$241,"&gt;="&amp;$A138,Summary!$A$5:$A$241,"&lt;"&amp;$A138+7))</f>
        <v>0</v>
      </c>
      <c r="AK138">
        <f>IF(AK105="","",COUNTIFS(Summary!$E$5:$E$241,AK105,Summary!$A$5:$A$241,"&gt;="&amp;$A138,Summary!$A$5:$A$241,"&lt;"&amp;$A138+7))</f>
        <v>0</v>
      </c>
      <c r="AL138">
        <f>IF(AL105="","",COUNTIFS(Summary!$E$5:$E$241,AL105,Summary!$A$5:$A$241,"&gt;="&amp;$A138,Summary!$A$5:$A$241,"&lt;"&amp;$A138+7))</f>
        <v>0</v>
      </c>
      <c r="AM138">
        <f>IF(AM105="","",COUNTIFS(Summary!$E$5:$E$241,AM105,Summary!$A$5:$A$241,"&gt;="&amp;$A138,Summary!$A$5:$A$241,"&lt;"&amp;$A138+7))</f>
        <v>0</v>
      </c>
      <c r="AN138">
        <f>IF(AN105="","",COUNTIFS(Summary!$E$5:$E$241,AN105,Summary!$A$5:$A$241,"&gt;="&amp;$A138,Summary!$A$5:$A$241,"&lt;"&amp;$A138+7))</f>
        <v>0</v>
      </c>
      <c r="AO138">
        <f>IF(AO105="","",COUNTIFS(Summary!$E$5:$E$241,AO105,Summary!$A$5:$A$241,"&gt;="&amp;$A138,Summary!$A$5:$A$241,"&lt;"&amp;$A138+7))</f>
        <v>0</v>
      </c>
      <c r="AP138">
        <f>IF(AP105="","",COUNTIFS(Summary!$E$5:$E$241,AP105,Summary!$A$5:$A$241,"&gt;="&amp;$A138,Summary!$A$5:$A$241,"&lt;"&amp;$A138+7))</f>
        <v>0</v>
      </c>
      <c r="AQ138">
        <f>IF(AQ105="","",COUNTIFS(Summary!$E$5:$E$241,AQ105,Summary!$A$5:$A$241,"&gt;="&amp;$A138,Summary!$A$5:$A$241,"&lt;"&amp;$A138+7))</f>
        <v>0</v>
      </c>
      <c r="AR138">
        <f>IF(AR105="","",COUNTIFS(Summary!$E$5:$E$241,AR105,Summary!$A$5:$A$241,"&gt;="&amp;$A138,Summary!$A$5:$A$241,"&lt;"&amp;$A138+7))</f>
        <v>0</v>
      </c>
      <c r="AS138">
        <f>IF(AS105="","",COUNTIFS(Summary!$E$5:$E$241,AS105,Summary!$A$5:$A$241,"&gt;="&amp;$A138,Summary!$A$5:$A$241,"&lt;"&amp;$A138+7))</f>
        <v>0</v>
      </c>
      <c r="AT138">
        <f>IF(AT105="","",COUNTIFS(Summary!$E$5:$E$241,AT105,Summary!$A$5:$A$241,"&gt;="&amp;$A138,Summary!$A$5:$A$241,"&lt;"&amp;$A138+7))</f>
        <v>0</v>
      </c>
      <c r="AU138">
        <f>IF(AU105="","",COUNTIFS(Summary!$E$5:$E$241,AU105,Summary!$A$5:$A$241,"&gt;="&amp;$A138,Summary!$A$5:$A$241,"&lt;"&amp;$A138+7))</f>
        <v>0</v>
      </c>
      <c r="AV138">
        <f>IF(AV105="","",COUNTIFS(Summary!$E$5:$E$241,AV105,Summary!$A$5:$A$241,"&gt;="&amp;$A138,Summary!$A$5:$A$241,"&lt;"&amp;$A138+7))</f>
        <v>0</v>
      </c>
      <c r="AW138">
        <f>IF(AW105="","",COUNTIFS(Summary!$E$5:$E$241,AW105,Summary!$A$5:$A$241,"&gt;="&amp;$A138,Summary!$A$5:$A$241,"&lt;"&amp;$A138+7))</f>
        <v>0</v>
      </c>
      <c r="AX138">
        <f>IF(AX105="","",COUNTIFS(Summary!$E$5:$E$241,AX105,Summary!$A$5:$A$241,"&gt;="&amp;$A138,Summary!$A$5:$A$241,"&lt;"&amp;$A138+7))</f>
        <v>0</v>
      </c>
      <c r="AY138">
        <f>IF(AY105="","",COUNTIFS(Summary!$E$5:$E$241,AY105,Summary!$A$5:$A$241,"&gt;="&amp;$A138,Summary!$A$5:$A$241,"&lt;"&amp;$A138+7))</f>
        <v>0</v>
      </c>
      <c r="AZ138">
        <f>IF(AZ105="","",COUNTIFS(Summary!$E$5:$E$241,AZ105,Summary!$A$5:$A$241,"&gt;="&amp;$A138,Summary!$A$5:$A$241,"&lt;"&amp;$A138+7))</f>
        <v>0</v>
      </c>
      <c r="BA138">
        <f>IF(BA105="","",COUNTIFS(Summary!$E$5:$E$241,BA105,Summary!$A$5:$A$241,"&gt;="&amp;$A138,Summary!$A$5:$A$241,"&lt;"&amp;$A138+7))</f>
        <v>0</v>
      </c>
      <c r="BB138">
        <f>IF(BB105="","",COUNTIFS(Summary!$E$5:$E$241,BB105,Summary!$A$5:$A$241,"&gt;="&amp;$A138,Summary!$A$5:$A$241,"&lt;"&amp;$A138+7))</f>
        <v>0</v>
      </c>
      <c r="BC138">
        <f>IF(BC105="","",COUNTIFS(Summary!$E$5:$E$241,BC105,Summary!$A$5:$A$241,"&gt;="&amp;$A138,Summary!$A$5:$A$241,"&lt;"&amp;$A138+7))</f>
        <v>0</v>
      </c>
      <c r="BD138">
        <f>IF(BD105="","",COUNTIFS(Summary!$E$5:$E$241,BD105,Summary!$A$5:$A$241,"&gt;="&amp;$A138,Summary!$A$5:$A$241,"&lt;"&amp;$A138+7))</f>
        <v>0</v>
      </c>
      <c r="BE138">
        <f>IF(BE105="","",COUNTIFS(Summary!$E$5:$E$241,BE105,Summary!$A$5:$A$241,"&gt;="&amp;$A138,Summary!$A$5:$A$241,"&lt;"&amp;$A138+7))</f>
        <v>0</v>
      </c>
      <c r="BF138" s="28">
        <f>IF(BF105="","",COUNTIFS(Summary!$E$5:$E$241,BF105,Summary!$A$5:$A$241,"&gt;="&amp;$A138,Summary!$A$5:$A$241,"&lt;"&amp;$A138+7))</f>
        <v>0</v>
      </c>
    </row>
    <row r="139" spans="1:58">
      <c r="A139" s="18">
        <f t="shared" si="9"/>
        <v>46321.344340277778</v>
      </c>
      <c r="B139" s="2" t="str">
        <f t="shared" si="8"/>
        <v>Oct 26</v>
      </c>
      <c r="C139">
        <f>IF(C105="","",COUNTIFS(Summary!$E$5:$E$241,C105,Summary!$A$5:$A$241,"&gt;="&amp;$A139,Summary!$A$5:$A$241,"&lt;"&amp;$A139+7))</f>
        <v>0</v>
      </c>
      <c r="D139">
        <f>IF(D105="","",COUNTIFS(Summary!$E$5:$E$241,D105,Summary!$A$5:$A$241,"&gt;="&amp;$A139,Summary!$A$5:$A$241,"&lt;"&amp;$A139+7))</f>
        <v>0</v>
      </c>
      <c r="E139">
        <f>IF(E105="","",COUNTIFS(Summary!$E$5:$E$241,E105,Summary!$A$5:$A$241,"&gt;="&amp;$A139,Summary!$A$5:$A$241,"&lt;"&amp;$A139+7))</f>
        <v>0</v>
      </c>
      <c r="F139">
        <f>IF(F105="","",COUNTIFS(Summary!$E$5:$E$241,F105,Summary!$A$5:$A$241,"&gt;="&amp;$A139,Summary!$A$5:$A$241,"&lt;"&amp;$A139+7))</f>
        <v>0</v>
      </c>
      <c r="G139">
        <f>IF(G105="","",COUNTIFS(Summary!$E$5:$E$241,G105,Summary!$A$5:$A$241,"&gt;="&amp;$A139,Summary!$A$5:$A$241,"&lt;"&amp;$A139+7))</f>
        <v>0</v>
      </c>
      <c r="H139">
        <f>IF(H105="","",COUNTIFS(Summary!$E$5:$E$241,H105,Summary!$A$5:$A$241,"&gt;="&amp;$A139,Summary!$A$5:$A$241,"&lt;"&amp;$A139+7))</f>
        <v>0</v>
      </c>
      <c r="I139">
        <f>IF(I105="","",COUNTIFS(Summary!$E$5:$E$241,I105,Summary!$A$5:$A$241,"&gt;="&amp;$A139,Summary!$A$5:$A$241,"&lt;"&amp;$A139+7))</f>
        <v>0</v>
      </c>
      <c r="J139">
        <f>IF(J105="","",COUNTIFS(Summary!$E$5:$E$241,J105,Summary!$A$5:$A$241,"&gt;="&amp;$A139,Summary!$A$5:$A$241,"&lt;"&amp;$A139+7))</f>
        <v>0</v>
      </c>
      <c r="K139">
        <f>IF(K105="","",COUNTIFS(Summary!$E$5:$E$241,K105,Summary!$A$5:$A$241,"&gt;="&amp;$A139,Summary!$A$5:$A$241,"&lt;"&amp;$A139+7))</f>
        <v>0</v>
      </c>
      <c r="L139">
        <f>IF(L105="","",COUNTIFS(Summary!$E$5:$E$241,L105,Summary!$A$5:$A$241,"&gt;="&amp;$A139,Summary!$A$5:$A$241,"&lt;"&amp;$A139+7))</f>
        <v>0</v>
      </c>
      <c r="M139">
        <f>IF(M105="","",COUNTIFS(Summary!$E$5:$E$241,M105,Summary!$A$5:$A$241,"&gt;="&amp;$A139,Summary!$A$5:$A$241,"&lt;"&amp;$A139+7))</f>
        <v>0</v>
      </c>
      <c r="N139">
        <f>IF(N105="","",COUNTIFS(Summary!$E$5:$E$241,N105,Summary!$A$5:$A$241,"&gt;="&amp;$A139,Summary!$A$5:$A$241,"&lt;"&amp;$A139+7))</f>
        <v>0</v>
      </c>
      <c r="O139">
        <f>IF(O105="","",COUNTIFS(Summary!$E$5:$E$241,O105,Summary!$A$5:$A$241,"&gt;="&amp;$A139,Summary!$A$5:$A$241,"&lt;"&amp;$A139+7))</f>
        <v>0</v>
      </c>
      <c r="P139">
        <f>IF(P105="","",COUNTIFS(Summary!$E$5:$E$241,P105,Summary!$A$5:$A$241,"&gt;="&amp;$A139,Summary!$A$5:$A$241,"&lt;"&amp;$A139+7))</f>
        <v>0</v>
      </c>
      <c r="Q139">
        <f>IF(Q105="","",COUNTIFS(Summary!$E$5:$E$241,Q105,Summary!$A$5:$A$241,"&gt;="&amp;$A139,Summary!$A$5:$A$241,"&lt;"&amp;$A139+7))</f>
        <v>0</v>
      </c>
      <c r="R139">
        <f>IF(R105="","",COUNTIFS(Summary!$E$5:$E$241,R105,Summary!$A$5:$A$241,"&gt;="&amp;$A139,Summary!$A$5:$A$241,"&lt;"&amp;$A139+7))</f>
        <v>0</v>
      </c>
      <c r="S139">
        <f>IF(S105="","",COUNTIFS(Summary!$E$5:$E$241,S105,Summary!$A$5:$A$241,"&gt;="&amp;$A139,Summary!$A$5:$A$241,"&lt;"&amp;$A139+7))</f>
        <v>0</v>
      </c>
      <c r="T139">
        <f>IF(T105="","",COUNTIFS(Summary!$E$5:$E$241,T105,Summary!$A$5:$A$241,"&gt;="&amp;$A139,Summary!$A$5:$A$241,"&lt;"&amp;$A139+7))</f>
        <v>0</v>
      </c>
      <c r="U139">
        <f>IF(U105="","",COUNTIFS(Summary!$E$5:$E$241,U105,Summary!$A$5:$A$241,"&gt;="&amp;$A139,Summary!$A$5:$A$241,"&lt;"&amp;$A139+7))</f>
        <v>0</v>
      </c>
      <c r="V139">
        <f>IF(V105="","",COUNTIFS(Summary!$E$5:$E$241,V105,Summary!$A$5:$A$241,"&gt;="&amp;$A139,Summary!$A$5:$A$241,"&lt;"&amp;$A139+7))</f>
        <v>0</v>
      </c>
      <c r="W139">
        <f>IF(W105="","",COUNTIFS(Summary!$E$5:$E$241,W105,Summary!$A$5:$A$241,"&gt;="&amp;$A139,Summary!$A$5:$A$241,"&lt;"&amp;$A139+7))</f>
        <v>0</v>
      </c>
      <c r="X139">
        <f>IF(X105="","",COUNTIFS(Summary!$E$5:$E$241,X105,Summary!$A$5:$A$241,"&gt;="&amp;$A139,Summary!$A$5:$A$241,"&lt;"&amp;$A139+7))</f>
        <v>0</v>
      </c>
      <c r="Y139">
        <f>IF(Y105="","",COUNTIFS(Summary!$E$5:$E$241,Y105,Summary!$A$5:$A$241,"&gt;="&amp;$A139,Summary!$A$5:$A$241,"&lt;"&amp;$A139+7))</f>
        <v>0</v>
      </c>
      <c r="Z139">
        <f>IF(Z105="","",COUNTIFS(Summary!$E$5:$E$241,Z105,Summary!$A$5:$A$241,"&gt;="&amp;$A139,Summary!$A$5:$A$241,"&lt;"&amp;$A139+7))</f>
        <v>0</v>
      </c>
      <c r="AA139">
        <f>IF(AA105="","",COUNTIFS(Summary!$E$5:$E$241,AA105,Summary!$A$5:$A$241,"&gt;="&amp;$A139,Summary!$A$5:$A$241,"&lt;"&amp;$A139+7))</f>
        <v>0</v>
      </c>
      <c r="AB139">
        <f>IF(AB105="","",COUNTIFS(Summary!$E$5:$E$241,AB105,Summary!$A$5:$A$241,"&gt;="&amp;$A139,Summary!$A$5:$A$241,"&lt;"&amp;$A139+7))</f>
        <v>0</v>
      </c>
      <c r="AC139">
        <f>IF(AC105="","",COUNTIFS(Summary!$E$5:$E$241,AC105,Summary!$A$5:$A$241,"&gt;="&amp;$A139,Summary!$A$5:$A$241,"&lt;"&amp;$A139+7))</f>
        <v>0</v>
      </c>
      <c r="AD139">
        <f>IF(AD105="","",COUNTIFS(Summary!$E$5:$E$241,AD105,Summary!$A$5:$A$241,"&gt;="&amp;$A139,Summary!$A$5:$A$241,"&lt;"&amp;$A139+7))</f>
        <v>0</v>
      </c>
      <c r="AE139">
        <f>IF(AE105="","",COUNTIFS(Summary!$E$5:$E$241,AE105,Summary!$A$5:$A$241,"&gt;="&amp;$A139,Summary!$A$5:$A$241,"&lt;"&amp;$A139+7))</f>
        <v>0</v>
      </c>
      <c r="AF139">
        <f>IF(AF105="","",COUNTIFS(Summary!$E$5:$E$241,AF105,Summary!$A$5:$A$241,"&gt;="&amp;$A139,Summary!$A$5:$A$241,"&lt;"&amp;$A139+7))</f>
        <v>0</v>
      </c>
      <c r="AG139">
        <f>IF(AG105="","",COUNTIFS(Summary!$E$5:$E$241,AG105,Summary!$A$5:$A$241,"&gt;="&amp;$A139,Summary!$A$5:$A$241,"&lt;"&amp;$A139+7))</f>
        <v>0</v>
      </c>
      <c r="AH139">
        <f>IF(AH105="","",COUNTIFS(Summary!$E$5:$E$241,AH105,Summary!$A$5:$A$241,"&gt;="&amp;$A139,Summary!$A$5:$A$241,"&lt;"&amp;$A139+7))</f>
        <v>0</v>
      </c>
      <c r="AI139">
        <f>IF(AI105="","",COUNTIFS(Summary!$E$5:$E$241,AI105,Summary!$A$5:$A$241,"&gt;="&amp;$A139,Summary!$A$5:$A$241,"&lt;"&amp;$A139+7))</f>
        <v>0</v>
      </c>
      <c r="AJ139">
        <f>IF(AJ105="","",COUNTIFS(Summary!$E$5:$E$241,AJ105,Summary!$A$5:$A$241,"&gt;="&amp;$A139,Summary!$A$5:$A$241,"&lt;"&amp;$A139+7))</f>
        <v>0</v>
      </c>
      <c r="AK139">
        <f>IF(AK105="","",COUNTIFS(Summary!$E$5:$E$241,AK105,Summary!$A$5:$A$241,"&gt;="&amp;$A139,Summary!$A$5:$A$241,"&lt;"&amp;$A139+7))</f>
        <v>0</v>
      </c>
      <c r="AL139">
        <f>IF(AL105="","",COUNTIFS(Summary!$E$5:$E$241,AL105,Summary!$A$5:$A$241,"&gt;="&amp;$A139,Summary!$A$5:$A$241,"&lt;"&amp;$A139+7))</f>
        <v>0</v>
      </c>
      <c r="AM139">
        <f>IF(AM105="","",COUNTIFS(Summary!$E$5:$E$241,AM105,Summary!$A$5:$A$241,"&gt;="&amp;$A139,Summary!$A$5:$A$241,"&lt;"&amp;$A139+7))</f>
        <v>0</v>
      </c>
      <c r="AN139">
        <f>IF(AN105="","",COUNTIFS(Summary!$E$5:$E$241,AN105,Summary!$A$5:$A$241,"&gt;="&amp;$A139,Summary!$A$5:$A$241,"&lt;"&amp;$A139+7))</f>
        <v>0</v>
      </c>
      <c r="AO139">
        <f>IF(AO105="","",COUNTIFS(Summary!$E$5:$E$241,AO105,Summary!$A$5:$A$241,"&gt;="&amp;$A139,Summary!$A$5:$A$241,"&lt;"&amp;$A139+7))</f>
        <v>0</v>
      </c>
      <c r="AP139">
        <f>IF(AP105="","",COUNTIFS(Summary!$E$5:$E$241,AP105,Summary!$A$5:$A$241,"&gt;="&amp;$A139,Summary!$A$5:$A$241,"&lt;"&amp;$A139+7))</f>
        <v>0</v>
      </c>
      <c r="AQ139">
        <f>IF(AQ105="","",COUNTIFS(Summary!$E$5:$E$241,AQ105,Summary!$A$5:$A$241,"&gt;="&amp;$A139,Summary!$A$5:$A$241,"&lt;"&amp;$A139+7))</f>
        <v>0</v>
      </c>
      <c r="AR139">
        <f>IF(AR105="","",COUNTIFS(Summary!$E$5:$E$241,AR105,Summary!$A$5:$A$241,"&gt;="&amp;$A139,Summary!$A$5:$A$241,"&lt;"&amp;$A139+7))</f>
        <v>0</v>
      </c>
      <c r="AS139">
        <f>IF(AS105="","",COUNTIFS(Summary!$E$5:$E$241,AS105,Summary!$A$5:$A$241,"&gt;="&amp;$A139,Summary!$A$5:$A$241,"&lt;"&amp;$A139+7))</f>
        <v>0</v>
      </c>
      <c r="AT139">
        <f>IF(AT105="","",COUNTIFS(Summary!$E$5:$E$241,AT105,Summary!$A$5:$A$241,"&gt;="&amp;$A139,Summary!$A$5:$A$241,"&lt;"&amp;$A139+7))</f>
        <v>0</v>
      </c>
      <c r="AU139">
        <f>IF(AU105="","",COUNTIFS(Summary!$E$5:$E$241,AU105,Summary!$A$5:$A$241,"&gt;="&amp;$A139,Summary!$A$5:$A$241,"&lt;"&amp;$A139+7))</f>
        <v>0</v>
      </c>
      <c r="AV139">
        <f>IF(AV105="","",COUNTIFS(Summary!$E$5:$E$241,AV105,Summary!$A$5:$A$241,"&gt;="&amp;$A139,Summary!$A$5:$A$241,"&lt;"&amp;$A139+7))</f>
        <v>0</v>
      </c>
      <c r="AW139">
        <f>IF(AW105="","",COUNTIFS(Summary!$E$5:$E$241,AW105,Summary!$A$5:$A$241,"&gt;="&amp;$A139,Summary!$A$5:$A$241,"&lt;"&amp;$A139+7))</f>
        <v>0</v>
      </c>
      <c r="AX139">
        <f>IF(AX105="","",COUNTIFS(Summary!$E$5:$E$241,AX105,Summary!$A$5:$A$241,"&gt;="&amp;$A139,Summary!$A$5:$A$241,"&lt;"&amp;$A139+7))</f>
        <v>0</v>
      </c>
      <c r="AY139">
        <f>IF(AY105="","",COUNTIFS(Summary!$E$5:$E$241,AY105,Summary!$A$5:$A$241,"&gt;="&amp;$A139,Summary!$A$5:$A$241,"&lt;"&amp;$A139+7))</f>
        <v>0</v>
      </c>
      <c r="AZ139">
        <f>IF(AZ105="","",COUNTIFS(Summary!$E$5:$E$241,AZ105,Summary!$A$5:$A$241,"&gt;="&amp;$A139,Summary!$A$5:$A$241,"&lt;"&amp;$A139+7))</f>
        <v>0</v>
      </c>
      <c r="BA139">
        <f>IF(BA105="","",COUNTIFS(Summary!$E$5:$E$241,BA105,Summary!$A$5:$A$241,"&gt;="&amp;$A139,Summary!$A$5:$A$241,"&lt;"&amp;$A139+7))</f>
        <v>0</v>
      </c>
      <c r="BB139">
        <f>IF(BB105="","",COUNTIFS(Summary!$E$5:$E$241,BB105,Summary!$A$5:$A$241,"&gt;="&amp;$A139,Summary!$A$5:$A$241,"&lt;"&amp;$A139+7))</f>
        <v>0</v>
      </c>
      <c r="BC139">
        <f>IF(BC105="","",COUNTIFS(Summary!$E$5:$E$241,BC105,Summary!$A$5:$A$241,"&gt;="&amp;$A139,Summary!$A$5:$A$241,"&lt;"&amp;$A139+7))</f>
        <v>0</v>
      </c>
      <c r="BD139">
        <f>IF(BD105="","",COUNTIFS(Summary!$E$5:$E$241,BD105,Summary!$A$5:$A$241,"&gt;="&amp;$A139,Summary!$A$5:$A$241,"&lt;"&amp;$A139+7))</f>
        <v>0</v>
      </c>
      <c r="BE139">
        <f>IF(BE105="","",COUNTIFS(Summary!$E$5:$E$241,BE105,Summary!$A$5:$A$241,"&gt;="&amp;$A139,Summary!$A$5:$A$241,"&lt;"&amp;$A139+7))</f>
        <v>0</v>
      </c>
      <c r="BF139" s="28">
        <f>IF(BF105="","",COUNTIFS(Summary!$E$5:$E$241,BF105,Summary!$A$5:$A$241,"&gt;="&amp;$A139,Summary!$A$5:$A$241,"&lt;"&amp;$A139+7))</f>
        <v>0</v>
      </c>
    </row>
    <row r="140" spans="1:58">
      <c r="A140" s="18">
        <f t="shared" si="9"/>
        <v>46328.344340277778</v>
      </c>
      <c r="B140" s="2" t="str">
        <f t="shared" si="8"/>
        <v>Nov 2</v>
      </c>
      <c r="C140">
        <f>IF(C105="","",COUNTIFS(Summary!$E$5:$E$241,C105,Summary!$A$5:$A$241,"&gt;="&amp;$A140,Summary!$A$5:$A$241,"&lt;"&amp;$A140+7))</f>
        <v>0</v>
      </c>
      <c r="D140">
        <f>IF(D105="","",COUNTIFS(Summary!$E$5:$E$241,D105,Summary!$A$5:$A$241,"&gt;="&amp;$A140,Summary!$A$5:$A$241,"&lt;"&amp;$A140+7))</f>
        <v>0</v>
      </c>
      <c r="E140">
        <f>IF(E105="","",COUNTIFS(Summary!$E$5:$E$241,E105,Summary!$A$5:$A$241,"&gt;="&amp;$A140,Summary!$A$5:$A$241,"&lt;"&amp;$A140+7))</f>
        <v>0</v>
      </c>
      <c r="F140">
        <f>IF(F105="","",COUNTIFS(Summary!$E$5:$E$241,F105,Summary!$A$5:$A$241,"&gt;="&amp;$A140,Summary!$A$5:$A$241,"&lt;"&amp;$A140+7))</f>
        <v>0</v>
      </c>
      <c r="G140">
        <f>IF(G105="","",COUNTIFS(Summary!$E$5:$E$241,G105,Summary!$A$5:$A$241,"&gt;="&amp;$A140,Summary!$A$5:$A$241,"&lt;"&amp;$A140+7))</f>
        <v>0</v>
      </c>
      <c r="H140">
        <f>IF(H105="","",COUNTIFS(Summary!$E$5:$E$241,H105,Summary!$A$5:$A$241,"&gt;="&amp;$A140,Summary!$A$5:$A$241,"&lt;"&amp;$A140+7))</f>
        <v>0</v>
      </c>
      <c r="I140">
        <f>IF(I105="","",COUNTIFS(Summary!$E$5:$E$241,I105,Summary!$A$5:$A$241,"&gt;="&amp;$A140,Summary!$A$5:$A$241,"&lt;"&amp;$A140+7))</f>
        <v>0</v>
      </c>
      <c r="J140">
        <f>IF(J105="","",COUNTIFS(Summary!$E$5:$E$241,J105,Summary!$A$5:$A$241,"&gt;="&amp;$A140,Summary!$A$5:$A$241,"&lt;"&amp;$A140+7))</f>
        <v>0</v>
      </c>
      <c r="K140">
        <f>IF(K105="","",COUNTIFS(Summary!$E$5:$E$241,K105,Summary!$A$5:$A$241,"&gt;="&amp;$A140,Summary!$A$5:$A$241,"&lt;"&amp;$A140+7))</f>
        <v>0</v>
      </c>
      <c r="L140">
        <f>IF(L105="","",COUNTIFS(Summary!$E$5:$E$241,L105,Summary!$A$5:$A$241,"&gt;="&amp;$A140,Summary!$A$5:$A$241,"&lt;"&amp;$A140+7))</f>
        <v>0</v>
      </c>
      <c r="M140">
        <f>IF(M105="","",COUNTIFS(Summary!$E$5:$E$241,M105,Summary!$A$5:$A$241,"&gt;="&amp;$A140,Summary!$A$5:$A$241,"&lt;"&amp;$A140+7))</f>
        <v>0</v>
      </c>
      <c r="N140">
        <f>IF(N105="","",COUNTIFS(Summary!$E$5:$E$241,N105,Summary!$A$5:$A$241,"&gt;="&amp;$A140,Summary!$A$5:$A$241,"&lt;"&amp;$A140+7))</f>
        <v>0</v>
      </c>
      <c r="O140">
        <f>IF(O105="","",COUNTIFS(Summary!$E$5:$E$241,O105,Summary!$A$5:$A$241,"&gt;="&amp;$A140,Summary!$A$5:$A$241,"&lt;"&amp;$A140+7))</f>
        <v>0</v>
      </c>
      <c r="P140">
        <f>IF(P105="","",COUNTIFS(Summary!$E$5:$E$241,P105,Summary!$A$5:$A$241,"&gt;="&amp;$A140,Summary!$A$5:$A$241,"&lt;"&amp;$A140+7))</f>
        <v>0</v>
      </c>
      <c r="Q140">
        <f>IF(Q105="","",COUNTIFS(Summary!$E$5:$E$241,Q105,Summary!$A$5:$A$241,"&gt;="&amp;$A140,Summary!$A$5:$A$241,"&lt;"&amp;$A140+7))</f>
        <v>0</v>
      </c>
      <c r="R140">
        <f>IF(R105="","",COUNTIFS(Summary!$E$5:$E$241,R105,Summary!$A$5:$A$241,"&gt;="&amp;$A140,Summary!$A$5:$A$241,"&lt;"&amp;$A140+7))</f>
        <v>0</v>
      </c>
      <c r="S140">
        <f>IF(S105="","",COUNTIFS(Summary!$E$5:$E$241,S105,Summary!$A$5:$A$241,"&gt;="&amp;$A140,Summary!$A$5:$A$241,"&lt;"&amp;$A140+7))</f>
        <v>0</v>
      </c>
      <c r="T140">
        <f>IF(T105="","",COUNTIFS(Summary!$E$5:$E$241,T105,Summary!$A$5:$A$241,"&gt;="&amp;$A140,Summary!$A$5:$A$241,"&lt;"&amp;$A140+7))</f>
        <v>0</v>
      </c>
      <c r="U140">
        <f>IF(U105="","",COUNTIFS(Summary!$E$5:$E$241,U105,Summary!$A$5:$A$241,"&gt;="&amp;$A140,Summary!$A$5:$A$241,"&lt;"&amp;$A140+7))</f>
        <v>0</v>
      </c>
      <c r="V140">
        <f>IF(V105="","",COUNTIFS(Summary!$E$5:$E$241,V105,Summary!$A$5:$A$241,"&gt;="&amp;$A140,Summary!$A$5:$A$241,"&lt;"&amp;$A140+7))</f>
        <v>0</v>
      </c>
      <c r="W140">
        <f>IF(W105="","",COUNTIFS(Summary!$E$5:$E$241,W105,Summary!$A$5:$A$241,"&gt;="&amp;$A140,Summary!$A$5:$A$241,"&lt;"&amp;$A140+7))</f>
        <v>0</v>
      </c>
      <c r="X140">
        <f>IF(X105="","",COUNTIFS(Summary!$E$5:$E$241,X105,Summary!$A$5:$A$241,"&gt;="&amp;$A140,Summary!$A$5:$A$241,"&lt;"&amp;$A140+7))</f>
        <v>0</v>
      </c>
      <c r="Y140">
        <f>IF(Y105="","",COUNTIFS(Summary!$E$5:$E$241,Y105,Summary!$A$5:$A$241,"&gt;="&amp;$A140,Summary!$A$5:$A$241,"&lt;"&amp;$A140+7))</f>
        <v>0</v>
      </c>
      <c r="Z140">
        <f>IF(Z105="","",COUNTIFS(Summary!$E$5:$E$241,Z105,Summary!$A$5:$A$241,"&gt;="&amp;$A140,Summary!$A$5:$A$241,"&lt;"&amp;$A140+7))</f>
        <v>0</v>
      </c>
      <c r="AA140">
        <f>IF(AA105="","",COUNTIFS(Summary!$E$5:$E$241,AA105,Summary!$A$5:$A$241,"&gt;="&amp;$A140,Summary!$A$5:$A$241,"&lt;"&amp;$A140+7))</f>
        <v>0</v>
      </c>
      <c r="AB140">
        <f>IF(AB105="","",COUNTIFS(Summary!$E$5:$E$241,AB105,Summary!$A$5:$A$241,"&gt;="&amp;$A140,Summary!$A$5:$A$241,"&lt;"&amp;$A140+7))</f>
        <v>0</v>
      </c>
      <c r="AC140">
        <f>IF(AC105="","",COUNTIFS(Summary!$E$5:$E$241,AC105,Summary!$A$5:$A$241,"&gt;="&amp;$A140,Summary!$A$5:$A$241,"&lt;"&amp;$A140+7))</f>
        <v>0</v>
      </c>
      <c r="AD140">
        <f>IF(AD105="","",COUNTIFS(Summary!$E$5:$E$241,AD105,Summary!$A$5:$A$241,"&gt;="&amp;$A140,Summary!$A$5:$A$241,"&lt;"&amp;$A140+7))</f>
        <v>0</v>
      </c>
      <c r="AE140">
        <f>IF(AE105="","",COUNTIFS(Summary!$E$5:$E$241,AE105,Summary!$A$5:$A$241,"&gt;="&amp;$A140,Summary!$A$5:$A$241,"&lt;"&amp;$A140+7))</f>
        <v>0</v>
      </c>
      <c r="AF140">
        <f>IF(AF105="","",COUNTIFS(Summary!$E$5:$E$241,AF105,Summary!$A$5:$A$241,"&gt;="&amp;$A140,Summary!$A$5:$A$241,"&lt;"&amp;$A140+7))</f>
        <v>0</v>
      </c>
      <c r="AG140">
        <f>IF(AG105="","",COUNTIFS(Summary!$E$5:$E$241,AG105,Summary!$A$5:$A$241,"&gt;="&amp;$A140,Summary!$A$5:$A$241,"&lt;"&amp;$A140+7))</f>
        <v>0</v>
      </c>
      <c r="AH140">
        <f>IF(AH105="","",COUNTIFS(Summary!$E$5:$E$241,AH105,Summary!$A$5:$A$241,"&gt;="&amp;$A140,Summary!$A$5:$A$241,"&lt;"&amp;$A140+7))</f>
        <v>0</v>
      </c>
      <c r="AI140">
        <f>IF(AI105="","",COUNTIFS(Summary!$E$5:$E$241,AI105,Summary!$A$5:$A$241,"&gt;="&amp;$A140,Summary!$A$5:$A$241,"&lt;"&amp;$A140+7))</f>
        <v>0</v>
      </c>
      <c r="AJ140">
        <f>IF(AJ105="","",COUNTIFS(Summary!$E$5:$E$241,AJ105,Summary!$A$5:$A$241,"&gt;="&amp;$A140,Summary!$A$5:$A$241,"&lt;"&amp;$A140+7))</f>
        <v>0</v>
      </c>
      <c r="AK140">
        <f>IF(AK105="","",COUNTIFS(Summary!$E$5:$E$241,AK105,Summary!$A$5:$A$241,"&gt;="&amp;$A140,Summary!$A$5:$A$241,"&lt;"&amp;$A140+7))</f>
        <v>0</v>
      </c>
      <c r="AL140">
        <f>IF(AL105="","",COUNTIFS(Summary!$E$5:$E$241,AL105,Summary!$A$5:$A$241,"&gt;="&amp;$A140,Summary!$A$5:$A$241,"&lt;"&amp;$A140+7))</f>
        <v>0</v>
      </c>
      <c r="AM140">
        <f>IF(AM105="","",COUNTIFS(Summary!$E$5:$E$241,AM105,Summary!$A$5:$A$241,"&gt;="&amp;$A140,Summary!$A$5:$A$241,"&lt;"&amp;$A140+7))</f>
        <v>0</v>
      </c>
      <c r="AN140">
        <f>IF(AN105="","",COUNTIFS(Summary!$E$5:$E$241,AN105,Summary!$A$5:$A$241,"&gt;="&amp;$A140,Summary!$A$5:$A$241,"&lt;"&amp;$A140+7))</f>
        <v>0</v>
      </c>
      <c r="AO140">
        <f>IF(AO105="","",COUNTIFS(Summary!$E$5:$E$241,AO105,Summary!$A$5:$A$241,"&gt;="&amp;$A140,Summary!$A$5:$A$241,"&lt;"&amp;$A140+7))</f>
        <v>0</v>
      </c>
      <c r="AP140">
        <f>IF(AP105="","",COUNTIFS(Summary!$E$5:$E$241,AP105,Summary!$A$5:$A$241,"&gt;="&amp;$A140,Summary!$A$5:$A$241,"&lt;"&amp;$A140+7))</f>
        <v>0</v>
      </c>
      <c r="AQ140">
        <f>IF(AQ105="","",COUNTIFS(Summary!$E$5:$E$241,AQ105,Summary!$A$5:$A$241,"&gt;="&amp;$A140,Summary!$A$5:$A$241,"&lt;"&amp;$A140+7))</f>
        <v>0</v>
      </c>
      <c r="AR140">
        <f>IF(AR105="","",COUNTIFS(Summary!$E$5:$E$241,AR105,Summary!$A$5:$A$241,"&gt;="&amp;$A140,Summary!$A$5:$A$241,"&lt;"&amp;$A140+7))</f>
        <v>0</v>
      </c>
      <c r="AS140">
        <f>IF(AS105="","",COUNTIFS(Summary!$E$5:$E$241,AS105,Summary!$A$5:$A$241,"&gt;="&amp;$A140,Summary!$A$5:$A$241,"&lt;"&amp;$A140+7))</f>
        <v>0</v>
      </c>
      <c r="AT140">
        <f>IF(AT105="","",COUNTIFS(Summary!$E$5:$E$241,AT105,Summary!$A$5:$A$241,"&gt;="&amp;$A140,Summary!$A$5:$A$241,"&lt;"&amp;$A140+7))</f>
        <v>0</v>
      </c>
      <c r="AU140">
        <f>IF(AU105="","",COUNTIFS(Summary!$E$5:$E$241,AU105,Summary!$A$5:$A$241,"&gt;="&amp;$A140,Summary!$A$5:$A$241,"&lt;"&amp;$A140+7))</f>
        <v>0</v>
      </c>
      <c r="AV140">
        <f>IF(AV105="","",COUNTIFS(Summary!$E$5:$E$241,AV105,Summary!$A$5:$A$241,"&gt;="&amp;$A140,Summary!$A$5:$A$241,"&lt;"&amp;$A140+7))</f>
        <v>0</v>
      </c>
      <c r="AW140">
        <f>IF(AW105="","",COUNTIFS(Summary!$E$5:$E$241,AW105,Summary!$A$5:$A$241,"&gt;="&amp;$A140,Summary!$A$5:$A$241,"&lt;"&amp;$A140+7))</f>
        <v>0</v>
      </c>
      <c r="AX140">
        <f>IF(AX105="","",COUNTIFS(Summary!$E$5:$E$241,AX105,Summary!$A$5:$A$241,"&gt;="&amp;$A140,Summary!$A$5:$A$241,"&lt;"&amp;$A140+7))</f>
        <v>0</v>
      </c>
      <c r="AY140">
        <f>IF(AY105="","",COUNTIFS(Summary!$E$5:$E$241,AY105,Summary!$A$5:$A$241,"&gt;="&amp;$A140,Summary!$A$5:$A$241,"&lt;"&amp;$A140+7))</f>
        <v>0</v>
      </c>
      <c r="AZ140">
        <f>IF(AZ105="","",COUNTIFS(Summary!$E$5:$E$241,AZ105,Summary!$A$5:$A$241,"&gt;="&amp;$A140,Summary!$A$5:$A$241,"&lt;"&amp;$A140+7))</f>
        <v>0</v>
      </c>
      <c r="BA140">
        <f>IF(BA105="","",COUNTIFS(Summary!$E$5:$E$241,BA105,Summary!$A$5:$A$241,"&gt;="&amp;$A140,Summary!$A$5:$A$241,"&lt;"&amp;$A140+7))</f>
        <v>0</v>
      </c>
      <c r="BB140">
        <f>IF(BB105="","",COUNTIFS(Summary!$E$5:$E$241,BB105,Summary!$A$5:$A$241,"&gt;="&amp;$A140,Summary!$A$5:$A$241,"&lt;"&amp;$A140+7))</f>
        <v>0</v>
      </c>
      <c r="BC140">
        <f>IF(BC105="","",COUNTIFS(Summary!$E$5:$E$241,BC105,Summary!$A$5:$A$241,"&gt;="&amp;$A140,Summary!$A$5:$A$241,"&lt;"&amp;$A140+7))</f>
        <v>0</v>
      </c>
      <c r="BD140">
        <f>IF(BD105="","",COUNTIFS(Summary!$E$5:$E$241,BD105,Summary!$A$5:$A$241,"&gt;="&amp;$A140,Summary!$A$5:$A$241,"&lt;"&amp;$A140+7))</f>
        <v>0</v>
      </c>
      <c r="BE140">
        <f>IF(BE105="","",COUNTIFS(Summary!$E$5:$E$241,BE105,Summary!$A$5:$A$241,"&gt;="&amp;$A140,Summary!$A$5:$A$241,"&lt;"&amp;$A140+7))</f>
        <v>0</v>
      </c>
      <c r="BF140" s="28">
        <f>IF(BF105="","",COUNTIFS(Summary!$E$5:$E$241,BF105,Summary!$A$5:$A$241,"&gt;="&amp;$A140,Summary!$A$5:$A$241,"&lt;"&amp;$A140+7))</f>
        <v>0</v>
      </c>
    </row>
    <row r="141" spans="1:58">
      <c r="A141" s="18">
        <f t="shared" si="9"/>
        <v>46335.344340277778</v>
      </c>
      <c r="B141" s="2" t="str">
        <f t="shared" si="8"/>
        <v>Nov 9</v>
      </c>
      <c r="C141">
        <f>IF(C105="","",COUNTIFS(Summary!$E$5:$E$241,C105,Summary!$A$5:$A$241,"&gt;="&amp;$A141,Summary!$A$5:$A$241,"&lt;"&amp;$A141+7))</f>
        <v>0</v>
      </c>
      <c r="D141">
        <f>IF(D105="","",COUNTIFS(Summary!$E$5:$E$241,D105,Summary!$A$5:$A$241,"&gt;="&amp;$A141,Summary!$A$5:$A$241,"&lt;"&amp;$A141+7))</f>
        <v>0</v>
      </c>
      <c r="E141">
        <f>IF(E105="","",COUNTIFS(Summary!$E$5:$E$241,E105,Summary!$A$5:$A$241,"&gt;="&amp;$A141,Summary!$A$5:$A$241,"&lt;"&amp;$A141+7))</f>
        <v>0</v>
      </c>
      <c r="F141">
        <f>IF(F105="","",COUNTIFS(Summary!$E$5:$E$241,F105,Summary!$A$5:$A$241,"&gt;="&amp;$A141,Summary!$A$5:$A$241,"&lt;"&amp;$A141+7))</f>
        <v>0</v>
      </c>
      <c r="G141">
        <f>IF(G105="","",COUNTIFS(Summary!$E$5:$E$241,G105,Summary!$A$5:$A$241,"&gt;="&amp;$A141,Summary!$A$5:$A$241,"&lt;"&amp;$A141+7))</f>
        <v>0</v>
      </c>
      <c r="H141">
        <f>IF(H105="","",COUNTIFS(Summary!$E$5:$E$241,H105,Summary!$A$5:$A$241,"&gt;="&amp;$A141,Summary!$A$5:$A$241,"&lt;"&amp;$A141+7))</f>
        <v>0</v>
      </c>
      <c r="I141">
        <f>IF(I105="","",COUNTIFS(Summary!$E$5:$E$241,I105,Summary!$A$5:$A$241,"&gt;="&amp;$A141,Summary!$A$5:$A$241,"&lt;"&amp;$A141+7))</f>
        <v>0</v>
      </c>
      <c r="J141">
        <f>IF(J105="","",COUNTIFS(Summary!$E$5:$E$241,J105,Summary!$A$5:$A$241,"&gt;="&amp;$A141,Summary!$A$5:$A$241,"&lt;"&amp;$A141+7))</f>
        <v>0</v>
      </c>
      <c r="K141">
        <f>IF(K105="","",COUNTIFS(Summary!$E$5:$E$241,K105,Summary!$A$5:$A$241,"&gt;="&amp;$A141,Summary!$A$5:$A$241,"&lt;"&amp;$A141+7))</f>
        <v>0</v>
      </c>
      <c r="L141">
        <f>IF(L105="","",COUNTIFS(Summary!$E$5:$E$241,L105,Summary!$A$5:$A$241,"&gt;="&amp;$A141,Summary!$A$5:$A$241,"&lt;"&amp;$A141+7))</f>
        <v>0</v>
      </c>
      <c r="M141">
        <f>IF(M105="","",COUNTIFS(Summary!$E$5:$E$241,M105,Summary!$A$5:$A$241,"&gt;="&amp;$A141,Summary!$A$5:$A$241,"&lt;"&amp;$A141+7))</f>
        <v>0</v>
      </c>
      <c r="N141">
        <f>IF(N105="","",COUNTIFS(Summary!$E$5:$E$241,N105,Summary!$A$5:$A$241,"&gt;="&amp;$A141,Summary!$A$5:$A$241,"&lt;"&amp;$A141+7))</f>
        <v>0</v>
      </c>
      <c r="O141">
        <f>IF(O105="","",COUNTIFS(Summary!$E$5:$E$241,O105,Summary!$A$5:$A$241,"&gt;="&amp;$A141,Summary!$A$5:$A$241,"&lt;"&amp;$A141+7))</f>
        <v>0</v>
      </c>
      <c r="P141">
        <f>IF(P105="","",COUNTIFS(Summary!$E$5:$E$241,P105,Summary!$A$5:$A$241,"&gt;="&amp;$A141,Summary!$A$5:$A$241,"&lt;"&amp;$A141+7))</f>
        <v>0</v>
      </c>
      <c r="Q141">
        <f>IF(Q105="","",COUNTIFS(Summary!$E$5:$E$241,Q105,Summary!$A$5:$A$241,"&gt;="&amp;$A141,Summary!$A$5:$A$241,"&lt;"&amp;$A141+7))</f>
        <v>0</v>
      </c>
      <c r="R141">
        <f>IF(R105="","",COUNTIFS(Summary!$E$5:$E$241,R105,Summary!$A$5:$A$241,"&gt;="&amp;$A141,Summary!$A$5:$A$241,"&lt;"&amp;$A141+7))</f>
        <v>0</v>
      </c>
      <c r="S141">
        <f>IF(S105="","",COUNTIFS(Summary!$E$5:$E$241,S105,Summary!$A$5:$A$241,"&gt;="&amp;$A141,Summary!$A$5:$A$241,"&lt;"&amp;$A141+7))</f>
        <v>0</v>
      </c>
      <c r="T141">
        <f>IF(T105="","",COUNTIFS(Summary!$E$5:$E$241,T105,Summary!$A$5:$A$241,"&gt;="&amp;$A141,Summary!$A$5:$A$241,"&lt;"&amp;$A141+7))</f>
        <v>0</v>
      </c>
      <c r="U141">
        <f>IF(U105="","",COUNTIFS(Summary!$E$5:$E$241,U105,Summary!$A$5:$A$241,"&gt;="&amp;$A141,Summary!$A$5:$A$241,"&lt;"&amp;$A141+7))</f>
        <v>0</v>
      </c>
      <c r="V141">
        <f>IF(V105="","",COUNTIFS(Summary!$E$5:$E$241,V105,Summary!$A$5:$A$241,"&gt;="&amp;$A141,Summary!$A$5:$A$241,"&lt;"&amp;$A141+7))</f>
        <v>0</v>
      </c>
      <c r="W141">
        <f>IF(W105="","",COUNTIFS(Summary!$E$5:$E$241,W105,Summary!$A$5:$A$241,"&gt;="&amp;$A141,Summary!$A$5:$A$241,"&lt;"&amp;$A141+7))</f>
        <v>0</v>
      </c>
      <c r="X141">
        <f>IF(X105="","",COUNTIFS(Summary!$E$5:$E$241,X105,Summary!$A$5:$A$241,"&gt;="&amp;$A141,Summary!$A$5:$A$241,"&lt;"&amp;$A141+7))</f>
        <v>0</v>
      </c>
      <c r="Y141">
        <f>IF(Y105="","",COUNTIFS(Summary!$E$5:$E$241,Y105,Summary!$A$5:$A$241,"&gt;="&amp;$A141,Summary!$A$5:$A$241,"&lt;"&amp;$A141+7))</f>
        <v>0</v>
      </c>
      <c r="Z141">
        <f>IF(Z105="","",COUNTIFS(Summary!$E$5:$E$241,Z105,Summary!$A$5:$A$241,"&gt;="&amp;$A141,Summary!$A$5:$A$241,"&lt;"&amp;$A141+7))</f>
        <v>0</v>
      </c>
      <c r="AA141">
        <f>IF(AA105="","",COUNTIFS(Summary!$E$5:$E$241,AA105,Summary!$A$5:$A$241,"&gt;="&amp;$A141,Summary!$A$5:$A$241,"&lt;"&amp;$A141+7))</f>
        <v>0</v>
      </c>
      <c r="AB141">
        <f>IF(AB105="","",COUNTIFS(Summary!$E$5:$E$241,AB105,Summary!$A$5:$A$241,"&gt;="&amp;$A141,Summary!$A$5:$A$241,"&lt;"&amp;$A141+7))</f>
        <v>0</v>
      </c>
      <c r="AC141">
        <f>IF(AC105="","",COUNTIFS(Summary!$E$5:$E$241,AC105,Summary!$A$5:$A$241,"&gt;="&amp;$A141,Summary!$A$5:$A$241,"&lt;"&amp;$A141+7))</f>
        <v>0</v>
      </c>
      <c r="AD141">
        <f>IF(AD105="","",COUNTIFS(Summary!$E$5:$E$241,AD105,Summary!$A$5:$A$241,"&gt;="&amp;$A141,Summary!$A$5:$A$241,"&lt;"&amp;$A141+7))</f>
        <v>0</v>
      </c>
      <c r="AE141">
        <f>IF(AE105="","",COUNTIFS(Summary!$E$5:$E$241,AE105,Summary!$A$5:$A$241,"&gt;="&amp;$A141,Summary!$A$5:$A$241,"&lt;"&amp;$A141+7))</f>
        <v>0</v>
      </c>
      <c r="AF141">
        <f>IF(AF105="","",COUNTIFS(Summary!$E$5:$E$241,AF105,Summary!$A$5:$A$241,"&gt;="&amp;$A141,Summary!$A$5:$A$241,"&lt;"&amp;$A141+7))</f>
        <v>0</v>
      </c>
      <c r="AG141">
        <f>IF(AG105="","",COUNTIFS(Summary!$E$5:$E$241,AG105,Summary!$A$5:$A$241,"&gt;="&amp;$A141,Summary!$A$5:$A$241,"&lt;"&amp;$A141+7))</f>
        <v>0</v>
      </c>
      <c r="AH141">
        <f>IF(AH105="","",COUNTIFS(Summary!$E$5:$E$241,AH105,Summary!$A$5:$A$241,"&gt;="&amp;$A141,Summary!$A$5:$A$241,"&lt;"&amp;$A141+7))</f>
        <v>0</v>
      </c>
      <c r="AI141">
        <f>IF(AI105="","",COUNTIFS(Summary!$E$5:$E$241,AI105,Summary!$A$5:$A$241,"&gt;="&amp;$A141,Summary!$A$5:$A$241,"&lt;"&amp;$A141+7))</f>
        <v>0</v>
      </c>
      <c r="AJ141">
        <f>IF(AJ105="","",COUNTIFS(Summary!$E$5:$E$241,AJ105,Summary!$A$5:$A$241,"&gt;="&amp;$A141,Summary!$A$5:$A$241,"&lt;"&amp;$A141+7))</f>
        <v>0</v>
      </c>
      <c r="AK141">
        <f>IF(AK105="","",COUNTIFS(Summary!$E$5:$E$241,AK105,Summary!$A$5:$A$241,"&gt;="&amp;$A141,Summary!$A$5:$A$241,"&lt;"&amp;$A141+7))</f>
        <v>0</v>
      </c>
      <c r="AL141">
        <f>IF(AL105="","",COUNTIFS(Summary!$E$5:$E$241,AL105,Summary!$A$5:$A$241,"&gt;="&amp;$A141,Summary!$A$5:$A$241,"&lt;"&amp;$A141+7))</f>
        <v>0</v>
      </c>
      <c r="AM141">
        <f>IF(AM105="","",COUNTIFS(Summary!$E$5:$E$241,AM105,Summary!$A$5:$A$241,"&gt;="&amp;$A141,Summary!$A$5:$A$241,"&lt;"&amp;$A141+7))</f>
        <v>0</v>
      </c>
      <c r="AN141">
        <f>IF(AN105="","",COUNTIFS(Summary!$E$5:$E$241,AN105,Summary!$A$5:$A$241,"&gt;="&amp;$A141,Summary!$A$5:$A$241,"&lt;"&amp;$A141+7))</f>
        <v>0</v>
      </c>
      <c r="AO141">
        <f>IF(AO105="","",COUNTIFS(Summary!$E$5:$E$241,AO105,Summary!$A$5:$A$241,"&gt;="&amp;$A141,Summary!$A$5:$A$241,"&lt;"&amp;$A141+7))</f>
        <v>0</v>
      </c>
      <c r="AP141">
        <f>IF(AP105="","",COUNTIFS(Summary!$E$5:$E$241,AP105,Summary!$A$5:$A$241,"&gt;="&amp;$A141,Summary!$A$5:$A$241,"&lt;"&amp;$A141+7))</f>
        <v>0</v>
      </c>
      <c r="AQ141">
        <f>IF(AQ105="","",COUNTIFS(Summary!$E$5:$E$241,AQ105,Summary!$A$5:$A$241,"&gt;="&amp;$A141,Summary!$A$5:$A$241,"&lt;"&amp;$A141+7))</f>
        <v>0</v>
      </c>
      <c r="AR141">
        <f>IF(AR105="","",COUNTIFS(Summary!$E$5:$E$241,AR105,Summary!$A$5:$A$241,"&gt;="&amp;$A141,Summary!$A$5:$A$241,"&lt;"&amp;$A141+7))</f>
        <v>0</v>
      </c>
      <c r="AS141">
        <f>IF(AS105="","",COUNTIFS(Summary!$E$5:$E$241,AS105,Summary!$A$5:$A$241,"&gt;="&amp;$A141,Summary!$A$5:$A$241,"&lt;"&amp;$A141+7))</f>
        <v>0</v>
      </c>
      <c r="AT141">
        <f>IF(AT105="","",COUNTIFS(Summary!$E$5:$E$241,AT105,Summary!$A$5:$A$241,"&gt;="&amp;$A141,Summary!$A$5:$A$241,"&lt;"&amp;$A141+7))</f>
        <v>0</v>
      </c>
      <c r="AU141">
        <f>IF(AU105="","",COUNTIFS(Summary!$E$5:$E$241,AU105,Summary!$A$5:$A$241,"&gt;="&amp;$A141,Summary!$A$5:$A$241,"&lt;"&amp;$A141+7))</f>
        <v>0</v>
      </c>
      <c r="AV141">
        <f>IF(AV105="","",COUNTIFS(Summary!$E$5:$E$241,AV105,Summary!$A$5:$A$241,"&gt;="&amp;$A141,Summary!$A$5:$A$241,"&lt;"&amp;$A141+7))</f>
        <v>0</v>
      </c>
      <c r="AW141">
        <f>IF(AW105="","",COUNTIFS(Summary!$E$5:$E$241,AW105,Summary!$A$5:$A$241,"&gt;="&amp;$A141,Summary!$A$5:$A$241,"&lt;"&amp;$A141+7))</f>
        <v>0</v>
      </c>
      <c r="AX141">
        <f>IF(AX105="","",COUNTIFS(Summary!$E$5:$E$241,AX105,Summary!$A$5:$A$241,"&gt;="&amp;$A141,Summary!$A$5:$A$241,"&lt;"&amp;$A141+7))</f>
        <v>0</v>
      </c>
      <c r="AY141">
        <f>IF(AY105="","",COUNTIFS(Summary!$E$5:$E$241,AY105,Summary!$A$5:$A$241,"&gt;="&amp;$A141,Summary!$A$5:$A$241,"&lt;"&amp;$A141+7))</f>
        <v>0</v>
      </c>
      <c r="AZ141">
        <f>IF(AZ105="","",COUNTIFS(Summary!$E$5:$E$241,AZ105,Summary!$A$5:$A$241,"&gt;="&amp;$A141,Summary!$A$5:$A$241,"&lt;"&amp;$A141+7))</f>
        <v>0</v>
      </c>
      <c r="BA141">
        <f>IF(BA105="","",COUNTIFS(Summary!$E$5:$E$241,BA105,Summary!$A$5:$A$241,"&gt;="&amp;$A141,Summary!$A$5:$A$241,"&lt;"&amp;$A141+7))</f>
        <v>0</v>
      </c>
      <c r="BB141">
        <f>IF(BB105="","",COUNTIFS(Summary!$E$5:$E$241,BB105,Summary!$A$5:$A$241,"&gt;="&amp;$A141,Summary!$A$5:$A$241,"&lt;"&amp;$A141+7))</f>
        <v>0</v>
      </c>
      <c r="BC141">
        <f>IF(BC105="","",COUNTIFS(Summary!$E$5:$E$241,BC105,Summary!$A$5:$A$241,"&gt;="&amp;$A141,Summary!$A$5:$A$241,"&lt;"&amp;$A141+7))</f>
        <v>0</v>
      </c>
      <c r="BD141">
        <f>IF(BD105="","",COUNTIFS(Summary!$E$5:$E$241,BD105,Summary!$A$5:$A$241,"&gt;="&amp;$A141,Summary!$A$5:$A$241,"&lt;"&amp;$A141+7))</f>
        <v>0</v>
      </c>
      <c r="BE141">
        <f>IF(BE105="","",COUNTIFS(Summary!$E$5:$E$241,BE105,Summary!$A$5:$A$241,"&gt;="&amp;$A141,Summary!$A$5:$A$241,"&lt;"&amp;$A141+7))</f>
        <v>0</v>
      </c>
      <c r="BF141" s="28">
        <f>IF(BF105="","",COUNTIFS(Summary!$E$5:$E$241,BF105,Summary!$A$5:$A$241,"&gt;="&amp;$A141,Summary!$A$5:$A$241,"&lt;"&amp;$A141+7))</f>
        <v>0</v>
      </c>
    </row>
    <row r="142" spans="1:58">
      <c r="A142" s="18">
        <f t="shared" si="9"/>
        <v>46342.344340277778</v>
      </c>
      <c r="B142" s="2" t="str">
        <f t="shared" si="8"/>
        <v>Nov 16</v>
      </c>
      <c r="C142">
        <f>IF(C105="","",COUNTIFS(Summary!$E$5:$E$241,C105,Summary!$A$5:$A$241,"&gt;="&amp;$A142,Summary!$A$5:$A$241,"&lt;"&amp;$A142+7))</f>
        <v>0</v>
      </c>
      <c r="D142">
        <f>IF(D105="","",COUNTIFS(Summary!$E$5:$E$241,D105,Summary!$A$5:$A$241,"&gt;="&amp;$A142,Summary!$A$5:$A$241,"&lt;"&amp;$A142+7))</f>
        <v>0</v>
      </c>
      <c r="E142">
        <f>IF(E105="","",COUNTIFS(Summary!$E$5:$E$241,E105,Summary!$A$5:$A$241,"&gt;="&amp;$A142,Summary!$A$5:$A$241,"&lt;"&amp;$A142+7))</f>
        <v>0</v>
      </c>
      <c r="F142">
        <f>IF(F105="","",COUNTIFS(Summary!$E$5:$E$241,F105,Summary!$A$5:$A$241,"&gt;="&amp;$A142,Summary!$A$5:$A$241,"&lt;"&amp;$A142+7))</f>
        <v>0</v>
      </c>
      <c r="G142">
        <f>IF(G105="","",COUNTIFS(Summary!$E$5:$E$241,G105,Summary!$A$5:$A$241,"&gt;="&amp;$A142,Summary!$A$5:$A$241,"&lt;"&amp;$A142+7))</f>
        <v>0</v>
      </c>
      <c r="H142">
        <f>IF(H105="","",COUNTIFS(Summary!$E$5:$E$241,H105,Summary!$A$5:$A$241,"&gt;="&amp;$A142,Summary!$A$5:$A$241,"&lt;"&amp;$A142+7))</f>
        <v>0</v>
      </c>
      <c r="I142">
        <f>IF(I105="","",COUNTIFS(Summary!$E$5:$E$241,I105,Summary!$A$5:$A$241,"&gt;="&amp;$A142,Summary!$A$5:$A$241,"&lt;"&amp;$A142+7))</f>
        <v>0</v>
      </c>
      <c r="J142">
        <f>IF(J105="","",COUNTIFS(Summary!$E$5:$E$241,J105,Summary!$A$5:$A$241,"&gt;="&amp;$A142,Summary!$A$5:$A$241,"&lt;"&amp;$A142+7))</f>
        <v>0</v>
      </c>
      <c r="K142">
        <f>IF(K105="","",COUNTIFS(Summary!$E$5:$E$241,K105,Summary!$A$5:$A$241,"&gt;="&amp;$A142,Summary!$A$5:$A$241,"&lt;"&amp;$A142+7))</f>
        <v>0</v>
      </c>
      <c r="L142">
        <f>IF(L105="","",COUNTIFS(Summary!$E$5:$E$241,L105,Summary!$A$5:$A$241,"&gt;="&amp;$A142,Summary!$A$5:$A$241,"&lt;"&amp;$A142+7))</f>
        <v>0</v>
      </c>
      <c r="M142">
        <f>IF(M105="","",COUNTIFS(Summary!$E$5:$E$241,M105,Summary!$A$5:$A$241,"&gt;="&amp;$A142,Summary!$A$5:$A$241,"&lt;"&amp;$A142+7))</f>
        <v>0</v>
      </c>
      <c r="N142">
        <f>IF(N105="","",COUNTIFS(Summary!$E$5:$E$241,N105,Summary!$A$5:$A$241,"&gt;="&amp;$A142,Summary!$A$5:$A$241,"&lt;"&amp;$A142+7))</f>
        <v>0</v>
      </c>
      <c r="O142">
        <f>IF(O105="","",COUNTIFS(Summary!$E$5:$E$241,O105,Summary!$A$5:$A$241,"&gt;="&amp;$A142,Summary!$A$5:$A$241,"&lt;"&amp;$A142+7))</f>
        <v>0</v>
      </c>
      <c r="P142">
        <f>IF(P105="","",COUNTIFS(Summary!$E$5:$E$241,P105,Summary!$A$5:$A$241,"&gt;="&amp;$A142,Summary!$A$5:$A$241,"&lt;"&amp;$A142+7))</f>
        <v>0</v>
      </c>
      <c r="Q142">
        <f>IF(Q105="","",COUNTIFS(Summary!$E$5:$E$241,Q105,Summary!$A$5:$A$241,"&gt;="&amp;$A142,Summary!$A$5:$A$241,"&lt;"&amp;$A142+7))</f>
        <v>0</v>
      </c>
      <c r="R142">
        <f>IF(R105="","",COUNTIFS(Summary!$E$5:$E$241,R105,Summary!$A$5:$A$241,"&gt;="&amp;$A142,Summary!$A$5:$A$241,"&lt;"&amp;$A142+7))</f>
        <v>0</v>
      </c>
      <c r="S142">
        <f>IF(S105="","",COUNTIFS(Summary!$E$5:$E$241,S105,Summary!$A$5:$A$241,"&gt;="&amp;$A142,Summary!$A$5:$A$241,"&lt;"&amp;$A142+7))</f>
        <v>0</v>
      </c>
      <c r="T142">
        <f>IF(T105="","",COUNTIFS(Summary!$E$5:$E$241,T105,Summary!$A$5:$A$241,"&gt;="&amp;$A142,Summary!$A$5:$A$241,"&lt;"&amp;$A142+7))</f>
        <v>0</v>
      </c>
      <c r="U142">
        <f>IF(U105="","",COUNTIFS(Summary!$E$5:$E$241,U105,Summary!$A$5:$A$241,"&gt;="&amp;$A142,Summary!$A$5:$A$241,"&lt;"&amp;$A142+7))</f>
        <v>0</v>
      </c>
      <c r="V142">
        <f>IF(V105="","",COUNTIFS(Summary!$E$5:$E$241,V105,Summary!$A$5:$A$241,"&gt;="&amp;$A142,Summary!$A$5:$A$241,"&lt;"&amp;$A142+7))</f>
        <v>0</v>
      </c>
      <c r="W142">
        <f>IF(W105="","",COUNTIFS(Summary!$E$5:$E$241,W105,Summary!$A$5:$A$241,"&gt;="&amp;$A142,Summary!$A$5:$A$241,"&lt;"&amp;$A142+7))</f>
        <v>0</v>
      </c>
      <c r="X142">
        <f>IF(X105="","",COUNTIFS(Summary!$E$5:$E$241,X105,Summary!$A$5:$A$241,"&gt;="&amp;$A142,Summary!$A$5:$A$241,"&lt;"&amp;$A142+7))</f>
        <v>0</v>
      </c>
      <c r="Y142">
        <f>IF(Y105="","",COUNTIFS(Summary!$E$5:$E$241,Y105,Summary!$A$5:$A$241,"&gt;="&amp;$A142,Summary!$A$5:$A$241,"&lt;"&amp;$A142+7))</f>
        <v>0</v>
      </c>
      <c r="Z142">
        <f>IF(Z105="","",COUNTIFS(Summary!$E$5:$E$241,Z105,Summary!$A$5:$A$241,"&gt;="&amp;$A142,Summary!$A$5:$A$241,"&lt;"&amp;$A142+7))</f>
        <v>0</v>
      </c>
      <c r="AA142">
        <f>IF(AA105="","",COUNTIFS(Summary!$E$5:$E$241,AA105,Summary!$A$5:$A$241,"&gt;="&amp;$A142,Summary!$A$5:$A$241,"&lt;"&amp;$A142+7))</f>
        <v>0</v>
      </c>
      <c r="AB142">
        <f>IF(AB105="","",COUNTIFS(Summary!$E$5:$E$241,AB105,Summary!$A$5:$A$241,"&gt;="&amp;$A142,Summary!$A$5:$A$241,"&lt;"&amp;$A142+7))</f>
        <v>0</v>
      </c>
      <c r="AC142">
        <f>IF(AC105="","",COUNTIFS(Summary!$E$5:$E$241,AC105,Summary!$A$5:$A$241,"&gt;="&amp;$A142,Summary!$A$5:$A$241,"&lt;"&amp;$A142+7))</f>
        <v>0</v>
      </c>
      <c r="AD142">
        <f>IF(AD105="","",COUNTIFS(Summary!$E$5:$E$241,AD105,Summary!$A$5:$A$241,"&gt;="&amp;$A142,Summary!$A$5:$A$241,"&lt;"&amp;$A142+7))</f>
        <v>0</v>
      </c>
      <c r="AE142">
        <f>IF(AE105="","",COUNTIFS(Summary!$E$5:$E$241,AE105,Summary!$A$5:$A$241,"&gt;="&amp;$A142,Summary!$A$5:$A$241,"&lt;"&amp;$A142+7))</f>
        <v>0</v>
      </c>
      <c r="AF142">
        <f>IF(AF105="","",COUNTIFS(Summary!$E$5:$E$241,AF105,Summary!$A$5:$A$241,"&gt;="&amp;$A142,Summary!$A$5:$A$241,"&lt;"&amp;$A142+7))</f>
        <v>0</v>
      </c>
      <c r="AG142">
        <f>IF(AG105="","",COUNTIFS(Summary!$E$5:$E$241,AG105,Summary!$A$5:$A$241,"&gt;="&amp;$A142,Summary!$A$5:$A$241,"&lt;"&amp;$A142+7))</f>
        <v>0</v>
      </c>
      <c r="AH142">
        <f>IF(AH105="","",COUNTIFS(Summary!$E$5:$E$241,AH105,Summary!$A$5:$A$241,"&gt;="&amp;$A142,Summary!$A$5:$A$241,"&lt;"&amp;$A142+7))</f>
        <v>0</v>
      </c>
      <c r="AI142">
        <f>IF(AI105="","",COUNTIFS(Summary!$E$5:$E$241,AI105,Summary!$A$5:$A$241,"&gt;="&amp;$A142,Summary!$A$5:$A$241,"&lt;"&amp;$A142+7))</f>
        <v>0</v>
      </c>
      <c r="AJ142">
        <f>IF(AJ105="","",COUNTIFS(Summary!$E$5:$E$241,AJ105,Summary!$A$5:$A$241,"&gt;="&amp;$A142,Summary!$A$5:$A$241,"&lt;"&amp;$A142+7))</f>
        <v>0</v>
      </c>
      <c r="AK142">
        <f>IF(AK105="","",COUNTIFS(Summary!$E$5:$E$241,AK105,Summary!$A$5:$A$241,"&gt;="&amp;$A142,Summary!$A$5:$A$241,"&lt;"&amp;$A142+7))</f>
        <v>0</v>
      </c>
      <c r="AL142">
        <f>IF(AL105="","",COUNTIFS(Summary!$E$5:$E$241,AL105,Summary!$A$5:$A$241,"&gt;="&amp;$A142,Summary!$A$5:$A$241,"&lt;"&amp;$A142+7))</f>
        <v>0</v>
      </c>
      <c r="AM142">
        <f>IF(AM105="","",COUNTIFS(Summary!$E$5:$E$241,AM105,Summary!$A$5:$A$241,"&gt;="&amp;$A142,Summary!$A$5:$A$241,"&lt;"&amp;$A142+7))</f>
        <v>0</v>
      </c>
      <c r="AN142">
        <f>IF(AN105="","",COUNTIFS(Summary!$E$5:$E$241,AN105,Summary!$A$5:$A$241,"&gt;="&amp;$A142,Summary!$A$5:$A$241,"&lt;"&amp;$A142+7))</f>
        <v>0</v>
      </c>
      <c r="AO142">
        <f>IF(AO105="","",COUNTIFS(Summary!$E$5:$E$241,AO105,Summary!$A$5:$A$241,"&gt;="&amp;$A142,Summary!$A$5:$A$241,"&lt;"&amp;$A142+7))</f>
        <v>0</v>
      </c>
      <c r="AP142">
        <f>IF(AP105="","",COUNTIFS(Summary!$E$5:$E$241,AP105,Summary!$A$5:$A$241,"&gt;="&amp;$A142,Summary!$A$5:$A$241,"&lt;"&amp;$A142+7))</f>
        <v>0</v>
      </c>
      <c r="AQ142">
        <f>IF(AQ105="","",COUNTIFS(Summary!$E$5:$E$241,AQ105,Summary!$A$5:$A$241,"&gt;="&amp;$A142,Summary!$A$5:$A$241,"&lt;"&amp;$A142+7))</f>
        <v>0</v>
      </c>
      <c r="AR142">
        <f>IF(AR105="","",COUNTIFS(Summary!$E$5:$E$241,AR105,Summary!$A$5:$A$241,"&gt;="&amp;$A142,Summary!$A$5:$A$241,"&lt;"&amp;$A142+7))</f>
        <v>0</v>
      </c>
      <c r="AS142">
        <f>IF(AS105="","",COUNTIFS(Summary!$E$5:$E$241,AS105,Summary!$A$5:$A$241,"&gt;="&amp;$A142,Summary!$A$5:$A$241,"&lt;"&amp;$A142+7))</f>
        <v>0</v>
      </c>
      <c r="AT142">
        <f>IF(AT105="","",COUNTIFS(Summary!$E$5:$E$241,AT105,Summary!$A$5:$A$241,"&gt;="&amp;$A142,Summary!$A$5:$A$241,"&lt;"&amp;$A142+7))</f>
        <v>0</v>
      </c>
      <c r="AU142">
        <f>IF(AU105="","",COUNTIFS(Summary!$E$5:$E$241,AU105,Summary!$A$5:$A$241,"&gt;="&amp;$A142,Summary!$A$5:$A$241,"&lt;"&amp;$A142+7))</f>
        <v>0</v>
      </c>
      <c r="AV142">
        <f>IF(AV105="","",COUNTIFS(Summary!$E$5:$E$241,AV105,Summary!$A$5:$A$241,"&gt;="&amp;$A142,Summary!$A$5:$A$241,"&lt;"&amp;$A142+7))</f>
        <v>0</v>
      </c>
      <c r="AW142">
        <f>IF(AW105="","",COUNTIFS(Summary!$E$5:$E$241,AW105,Summary!$A$5:$A$241,"&gt;="&amp;$A142,Summary!$A$5:$A$241,"&lt;"&amp;$A142+7))</f>
        <v>0</v>
      </c>
      <c r="AX142">
        <f>IF(AX105="","",COUNTIFS(Summary!$E$5:$E$241,AX105,Summary!$A$5:$A$241,"&gt;="&amp;$A142,Summary!$A$5:$A$241,"&lt;"&amp;$A142+7))</f>
        <v>0</v>
      </c>
      <c r="AY142">
        <f>IF(AY105="","",COUNTIFS(Summary!$E$5:$E$241,AY105,Summary!$A$5:$A$241,"&gt;="&amp;$A142,Summary!$A$5:$A$241,"&lt;"&amp;$A142+7))</f>
        <v>0</v>
      </c>
      <c r="AZ142">
        <f>IF(AZ105="","",COUNTIFS(Summary!$E$5:$E$241,AZ105,Summary!$A$5:$A$241,"&gt;="&amp;$A142,Summary!$A$5:$A$241,"&lt;"&amp;$A142+7))</f>
        <v>0</v>
      </c>
      <c r="BA142">
        <f>IF(BA105="","",COUNTIFS(Summary!$E$5:$E$241,BA105,Summary!$A$5:$A$241,"&gt;="&amp;$A142,Summary!$A$5:$A$241,"&lt;"&amp;$A142+7))</f>
        <v>0</v>
      </c>
      <c r="BB142">
        <f>IF(BB105="","",COUNTIFS(Summary!$E$5:$E$241,BB105,Summary!$A$5:$A$241,"&gt;="&amp;$A142,Summary!$A$5:$A$241,"&lt;"&amp;$A142+7))</f>
        <v>0</v>
      </c>
      <c r="BC142">
        <f>IF(BC105="","",COUNTIFS(Summary!$E$5:$E$241,BC105,Summary!$A$5:$A$241,"&gt;="&amp;$A142,Summary!$A$5:$A$241,"&lt;"&amp;$A142+7))</f>
        <v>0</v>
      </c>
      <c r="BD142">
        <f>IF(BD105="","",COUNTIFS(Summary!$E$5:$E$241,BD105,Summary!$A$5:$A$241,"&gt;="&amp;$A142,Summary!$A$5:$A$241,"&lt;"&amp;$A142+7))</f>
        <v>0</v>
      </c>
      <c r="BE142">
        <f>IF(BE105="","",COUNTIFS(Summary!$E$5:$E$241,BE105,Summary!$A$5:$A$241,"&gt;="&amp;$A142,Summary!$A$5:$A$241,"&lt;"&amp;$A142+7))</f>
        <v>0</v>
      </c>
      <c r="BF142" s="28">
        <f>IF(BF105="","",COUNTIFS(Summary!$E$5:$E$241,BF105,Summary!$A$5:$A$241,"&gt;="&amp;$A142,Summary!$A$5:$A$241,"&lt;"&amp;$A142+7))</f>
        <v>0</v>
      </c>
    </row>
    <row r="143" spans="1:58">
      <c r="A143" s="18">
        <f t="shared" si="9"/>
        <v>46349.344340277778</v>
      </c>
      <c r="B143" s="2" t="str">
        <f t="shared" si="8"/>
        <v>Nov 23</v>
      </c>
      <c r="C143">
        <f>IF(C105="","",COUNTIFS(Summary!$E$5:$E$241,C105,Summary!$A$5:$A$241,"&gt;="&amp;$A143,Summary!$A$5:$A$241,"&lt;"&amp;$A143+7))</f>
        <v>0</v>
      </c>
      <c r="D143">
        <f>IF(D105="","",COUNTIFS(Summary!$E$5:$E$241,D105,Summary!$A$5:$A$241,"&gt;="&amp;$A143,Summary!$A$5:$A$241,"&lt;"&amp;$A143+7))</f>
        <v>0</v>
      </c>
      <c r="E143">
        <f>IF(E105="","",COUNTIFS(Summary!$E$5:$E$241,E105,Summary!$A$5:$A$241,"&gt;="&amp;$A143,Summary!$A$5:$A$241,"&lt;"&amp;$A143+7))</f>
        <v>0</v>
      </c>
      <c r="F143">
        <f>IF(F105="","",COUNTIFS(Summary!$E$5:$E$241,F105,Summary!$A$5:$A$241,"&gt;="&amp;$A143,Summary!$A$5:$A$241,"&lt;"&amp;$A143+7))</f>
        <v>0</v>
      </c>
      <c r="G143">
        <f>IF(G105="","",COUNTIFS(Summary!$E$5:$E$241,G105,Summary!$A$5:$A$241,"&gt;="&amp;$A143,Summary!$A$5:$A$241,"&lt;"&amp;$A143+7))</f>
        <v>0</v>
      </c>
      <c r="H143">
        <f>IF(H105="","",COUNTIFS(Summary!$E$5:$E$241,H105,Summary!$A$5:$A$241,"&gt;="&amp;$A143,Summary!$A$5:$A$241,"&lt;"&amp;$A143+7))</f>
        <v>0</v>
      </c>
      <c r="I143">
        <f>IF(I105="","",COUNTIFS(Summary!$E$5:$E$241,I105,Summary!$A$5:$A$241,"&gt;="&amp;$A143,Summary!$A$5:$A$241,"&lt;"&amp;$A143+7))</f>
        <v>0</v>
      </c>
      <c r="J143">
        <f>IF(J105="","",COUNTIFS(Summary!$E$5:$E$241,J105,Summary!$A$5:$A$241,"&gt;="&amp;$A143,Summary!$A$5:$A$241,"&lt;"&amp;$A143+7))</f>
        <v>0</v>
      </c>
      <c r="K143">
        <f>IF(K105="","",COUNTIFS(Summary!$E$5:$E$241,K105,Summary!$A$5:$A$241,"&gt;="&amp;$A143,Summary!$A$5:$A$241,"&lt;"&amp;$A143+7))</f>
        <v>0</v>
      </c>
      <c r="L143">
        <f>IF(L105="","",COUNTIFS(Summary!$E$5:$E$241,L105,Summary!$A$5:$A$241,"&gt;="&amp;$A143,Summary!$A$5:$A$241,"&lt;"&amp;$A143+7))</f>
        <v>0</v>
      </c>
      <c r="M143">
        <f>IF(M105="","",COUNTIFS(Summary!$E$5:$E$241,M105,Summary!$A$5:$A$241,"&gt;="&amp;$A143,Summary!$A$5:$A$241,"&lt;"&amp;$A143+7))</f>
        <v>0</v>
      </c>
      <c r="N143">
        <f>IF(N105="","",COUNTIFS(Summary!$E$5:$E$241,N105,Summary!$A$5:$A$241,"&gt;="&amp;$A143,Summary!$A$5:$A$241,"&lt;"&amp;$A143+7))</f>
        <v>0</v>
      </c>
      <c r="O143">
        <f>IF(O105="","",COUNTIFS(Summary!$E$5:$E$241,O105,Summary!$A$5:$A$241,"&gt;="&amp;$A143,Summary!$A$5:$A$241,"&lt;"&amp;$A143+7))</f>
        <v>0</v>
      </c>
      <c r="P143">
        <f>IF(P105="","",COUNTIFS(Summary!$E$5:$E$241,P105,Summary!$A$5:$A$241,"&gt;="&amp;$A143,Summary!$A$5:$A$241,"&lt;"&amp;$A143+7))</f>
        <v>0</v>
      </c>
      <c r="Q143">
        <f>IF(Q105="","",COUNTIFS(Summary!$E$5:$E$241,Q105,Summary!$A$5:$A$241,"&gt;="&amp;$A143,Summary!$A$5:$A$241,"&lt;"&amp;$A143+7))</f>
        <v>0</v>
      </c>
      <c r="R143">
        <f>IF(R105="","",COUNTIFS(Summary!$E$5:$E$241,R105,Summary!$A$5:$A$241,"&gt;="&amp;$A143,Summary!$A$5:$A$241,"&lt;"&amp;$A143+7))</f>
        <v>0</v>
      </c>
      <c r="S143">
        <f>IF(S105="","",COUNTIFS(Summary!$E$5:$E$241,S105,Summary!$A$5:$A$241,"&gt;="&amp;$A143,Summary!$A$5:$A$241,"&lt;"&amp;$A143+7))</f>
        <v>0</v>
      </c>
      <c r="T143">
        <f>IF(T105="","",COUNTIFS(Summary!$E$5:$E$241,T105,Summary!$A$5:$A$241,"&gt;="&amp;$A143,Summary!$A$5:$A$241,"&lt;"&amp;$A143+7))</f>
        <v>0</v>
      </c>
      <c r="U143">
        <f>IF(U105="","",COUNTIFS(Summary!$E$5:$E$241,U105,Summary!$A$5:$A$241,"&gt;="&amp;$A143,Summary!$A$5:$A$241,"&lt;"&amp;$A143+7))</f>
        <v>0</v>
      </c>
      <c r="V143">
        <f>IF(V105="","",COUNTIFS(Summary!$E$5:$E$241,V105,Summary!$A$5:$A$241,"&gt;="&amp;$A143,Summary!$A$5:$A$241,"&lt;"&amp;$A143+7))</f>
        <v>0</v>
      </c>
      <c r="W143">
        <f>IF(W105="","",COUNTIFS(Summary!$E$5:$E$241,W105,Summary!$A$5:$A$241,"&gt;="&amp;$A143,Summary!$A$5:$A$241,"&lt;"&amp;$A143+7))</f>
        <v>0</v>
      </c>
      <c r="X143">
        <f>IF(X105="","",COUNTIFS(Summary!$E$5:$E$241,X105,Summary!$A$5:$A$241,"&gt;="&amp;$A143,Summary!$A$5:$A$241,"&lt;"&amp;$A143+7))</f>
        <v>0</v>
      </c>
      <c r="Y143">
        <f>IF(Y105="","",COUNTIFS(Summary!$E$5:$E$241,Y105,Summary!$A$5:$A$241,"&gt;="&amp;$A143,Summary!$A$5:$A$241,"&lt;"&amp;$A143+7))</f>
        <v>0</v>
      </c>
      <c r="Z143">
        <f>IF(Z105="","",COUNTIFS(Summary!$E$5:$E$241,Z105,Summary!$A$5:$A$241,"&gt;="&amp;$A143,Summary!$A$5:$A$241,"&lt;"&amp;$A143+7))</f>
        <v>0</v>
      </c>
      <c r="AA143">
        <f>IF(AA105="","",COUNTIFS(Summary!$E$5:$E$241,AA105,Summary!$A$5:$A$241,"&gt;="&amp;$A143,Summary!$A$5:$A$241,"&lt;"&amp;$A143+7))</f>
        <v>0</v>
      </c>
      <c r="AB143">
        <f>IF(AB105="","",COUNTIFS(Summary!$E$5:$E$241,AB105,Summary!$A$5:$A$241,"&gt;="&amp;$A143,Summary!$A$5:$A$241,"&lt;"&amp;$A143+7))</f>
        <v>0</v>
      </c>
      <c r="AC143">
        <f>IF(AC105="","",COUNTIFS(Summary!$E$5:$E$241,AC105,Summary!$A$5:$A$241,"&gt;="&amp;$A143,Summary!$A$5:$A$241,"&lt;"&amp;$A143+7))</f>
        <v>0</v>
      </c>
      <c r="AD143">
        <f>IF(AD105="","",COUNTIFS(Summary!$E$5:$E$241,AD105,Summary!$A$5:$A$241,"&gt;="&amp;$A143,Summary!$A$5:$A$241,"&lt;"&amp;$A143+7))</f>
        <v>0</v>
      </c>
      <c r="AE143">
        <f>IF(AE105="","",COUNTIFS(Summary!$E$5:$E$241,AE105,Summary!$A$5:$A$241,"&gt;="&amp;$A143,Summary!$A$5:$A$241,"&lt;"&amp;$A143+7))</f>
        <v>0</v>
      </c>
      <c r="AF143">
        <f>IF(AF105="","",COUNTIFS(Summary!$E$5:$E$241,AF105,Summary!$A$5:$A$241,"&gt;="&amp;$A143,Summary!$A$5:$A$241,"&lt;"&amp;$A143+7))</f>
        <v>0</v>
      </c>
      <c r="AG143">
        <f>IF(AG105="","",COUNTIFS(Summary!$E$5:$E$241,AG105,Summary!$A$5:$A$241,"&gt;="&amp;$A143,Summary!$A$5:$A$241,"&lt;"&amp;$A143+7))</f>
        <v>0</v>
      </c>
      <c r="AH143">
        <f>IF(AH105="","",COUNTIFS(Summary!$E$5:$E$241,AH105,Summary!$A$5:$A$241,"&gt;="&amp;$A143,Summary!$A$5:$A$241,"&lt;"&amp;$A143+7))</f>
        <v>0</v>
      </c>
      <c r="AI143">
        <f>IF(AI105="","",COUNTIFS(Summary!$E$5:$E$241,AI105,Summary!$A$5:$A$241,"&gt;="&amp;$A143,Summary!$A$5:$A$241,"&lt;"&amp;$A143+7))</f>
        <v>0</v>
      </c>
      <c r="AJ143">
        <f>IF(AJ105="","",COUNTIFS(Summary!$E$5:$E$241,AJ105,Summary!$A$5:$A$241,"&gt;="&amp;$A143,Summary!$A$5:$A$241,"&lt;"&amp;$A143+7))</f>
        <v>0</v>
      </c>
      <c r="AK143">
        <f>IF(AK105="","",COUNTIFS(Summary!$E$5:$E$241,AK105,Summary!$A$5:$A$241,"&gt;="&amp;$A143,Summary!$A$5:$A$241,"&lt;"&amp;$A143+7))</f>
        <v>0</v>
      </c>
      <c r="AL143">
        <f>IF(AL105="","",COUNTIFS(Summary!$E$5:$E$241,AL105,Summary!$A$5:$A$241,"&gt;="&amp;$A143,Summary!$A$5:$A$241,"&lt;"&amp;$A143+7))</f>
        <v>0</v>
      </c>
      <c r="AM143">
        <f>IF(AM105="","",COUNTIFS(Summary!$E$5:$E$241,AM105,Summary!$A$5:$A$241,"&gt;="&amp;$A143,Summary!$A$5:$A$241,"&lt;"&amp;$A143+7))</f>
        <v>0</v>
      </c>
      <c r="AN143">
        <f>IF(AN105="","",COUNTIFS(Summary!$E$5:$E$241,AN105,Summary!$A$5:$A$241,"&gt;="&amp;$A143,Summary!$A$5:$A$241,"&lt;"&amp;$A143+7))</f>
        <v>0</v>
      </c>
      <c r="AO143">
        <f>IF(AO105="","",COUNTIFS(Summary!$E$5:$E$241,AO105,Summary!$A$5:$A$241,"&gt;="&amp;$A143,Summary!$A$5:$A$241,"&lt;"&amp;$A143+7))</f>
        <v>0</v>
      </c>
      <c r="AP143">
        <f>IF(AP105="","",COUNTIFS(Summary!$E$5:$E$241,AP105,Summary!$A$5:$A$241,"&gt;="&amp;$A143,Summary!$A$5:$A$241,"&lt;"&amp;$A143+7))</f>
        <v>0</v>
      </c>
      <c r="AQ143">
        <f>IF(AQ105="","",COUNTIFS(Summary!$E$5:$E$241,AQ105,Summary!$A$5:$A$241,"&gt;="&amp;$A143,Summary!$A$5:$A$241,"&lt;"&amp;$A143+7))</f>
        <v>0</v>
      </c>
      <c r="AR143">
        <f>IF(AR105="","",COUNTIFS(Summary!$E$5:$E$241,AR105,Summary!$A$5:$A$241,"&gt;="&amp;$A143,Summary!$A$5:$A$241,"&lt;"&amp;$A143+7))</f>
        <v>0</v>
      </c>
      <c r="AS143">
        <f>IF(AS105="","",COUNTIFS(Summary!$E$5:$E$241,AS105,Summary!$A$5:$A$241,"&gt;="&amp;$A143,Summary!$A$5:$A$241,"&lt;"&amp;$A143+7))</f>
        <v>0</v>
      </c>
      <c r="AT143">
        <f>IF(AT105="","",COUNTIFS(Summary!$E$5:$E$241,AT105,Summary!$A$5:$A$241,"&gt;="&amp;$A143,Summary!$A$5:$A$241,"&lt;"&amp;$A143+7))</f>
        <v>0</v>
      </c>
      <c r="AU143">
        <f>IF(AU105="","",COUNTIFS(Summary!$E$5:$E$241,AU105,Summary!$A$5:$A$241,"&gt;="&amp;$A143,Summary!$A$5:$A$241,"&lt;"&amp;$A143+7))</f>
        <v>0</v>
      </c>
      <c r="AV143">
        <f>IF(AV105="","",COUNTIFS(Summary!$E$5:$E$241,AV105,Summary!$A$5:$A$241,"&gt;="&amp;$A143,Summary!$A$5:$A$241,"&lt;"&amp;$A143+7))</f>
        <v>0</v>
      </c>
      <c r="AW143">
        <f>IF(AW105="","",COUNTIFS(Summary!$E$5:$E$241,AW105,Summary!$A$5:$A$241,"&gt;="&amp;$A143,Summary!$A$5:$A$241,"&lt;"&amp;$A143+7))</f>
        <v>0</v>
      </c>
      <c r="AX143">
        <f>IF(AX105="","",COUNTIFS(Summary!$E$5:$E$241,AX105,Summary!$A$5:$A$241,"&gt;="&amp;$A143,Summary!$A$5:$A$241,"&lt;"&amp;$A143+7))</f>
        <v>0</v>
      </c>
      <c r="AY143">
        <f>IF(AY105="","",COUNTIFS(Summary!$E$5:$E$241,AY105,Summary!$A$5:$A$241,"&gt;="&amp;$A143,Summary!$A$5:$A$241,"&lt;"&amp;$A143+7))</f>
        <v>0</v>
      </c>
      <c r="AZ143">
        <f>IF(AZ105="","",COUNTIFS(Summary!$E$5:$E$241,AZ105,Summary!$A$5:$A$241,"&gt;="&amp;$A143,Summary!$A$5:$A$241,"&lt;"&amp;$A143+7))</f>
        <v>0</v>
      </c>
      <c r="BA143">
        <f>IF(BA105="","",COUNTIFS(Summary!$E$5:$E$241,BA105,Summary!$A$5:$A$241,"&gt;="&amp;$A143,Summary!$A$5:$A$241,"&lt;"&amp;$A143+7))</f>
        <v>0</v>
      </c>
      <c r="BB143">
        <f>IF(BB105="","",COUNTIFS(Summary!$E$5:$E$241,BB105,Summary!$A$5:$A$241,"&gt;="&amp;$A143,Summary!$A$5:$A$241,"&lt;"&amp;$A143+7))</f>
        <v>0</v>
      </c>
      <c r="BC143">
        <f>IF(BC105="","",COUNTIFS(Summary!$E$5:$E$241,BC105,Summary!$A$5:$A$241,"&gt;="&amp;$A143,Summary!$A$5:$A$241,"&lt;"&amp;$A143+7))</f>
        <v>0</v>
      </c>
      <c r="BD143">
        <f>IF(BD105="","",COUNTIFS(Summary!$E$5:$E$241,BD105,Summary!$A$5:$A$241,"&gt;="&amp;$A143,Summary!$A$5:$A$241,"&lt;"&amp;$A143+7))</f>
        <v>0</v>
      </c>
      <c r="BE143">
        <f>IF(BE105="","",COUNTIFS(Summary!$E$5:$E$241,BE105,Summary!$A$5:$A$241,"&gt;="&amp;$A143,Summary!$A$5:$A$241,"&lt;"&amp;$A143+7))</f>
        <v>0</v>
      </c>
      <c r="BF143" s="28">
        <f>IF(BF105="","",COUNTIFS(Summary!$E$5:$E$241,BF105,Summary!$A$5:$A$241,"&gt;="&amp;$A143,Summary!$A$5:$A$241,"&lt;"&amp;$A143+7))</f>
        <v>0</v>
      </c>
    </row>
    <row r="144" spans="1:58">
      <c r="A144" s="18">
        <f t="shared" si="9"/>
        <v>46356.344340277778</v>
      </c>
      <c r="B144" s="2" t="str">
        <f t="shared" si="8"/>
        <v>Nov 30</v>
      </c>
      <c r="C144">
        <f>IF(C105="","",COUNTIFS(Summary!$E$5:$E$241,C105,Summary!$A$5:$A$241,"&gt;="&amp;$A144,Summary!$A$5:$A$241,"&lt;"&amp;$A144+7))</f>
        <v>0</v>
      </c>
      <c r="D144">
        <f>IF(D105="","",COUNTIFS(Summary!$E$5:$E$241,D105,Summary!$A$5:$A$241,"&gt;="&amp;$A144,Summary!$A$5:$A$241,"&lt;"&amp;$A144+7))</f>
        <v>0</v>
      </c>
      <c r="E144">
        <f>IF(E105="","",COUNTIFS(Summary!$E$5:$E$241,E105,Summary!$A$5:$A$241,"&gt;="&amp;$A144,Summary!$A$5:$A$241,"&lt;"&amp;$A144+7))</f>
        <v>0</v>
      </c>
      <c r="F144">
        <f>IF(F105="","",COUNTIFS(Summary!$E$5:$E$241,F105,Summary!$A$5:$A$241,"&gt;="&amp;$A144,Summary!$A$5:$A$241,"&lt;"&amp;$A144+7))</f>
        <v>0</v>
      </c>
      <c r="G144">
        <f>IF(G105="","",COUNTIFS(Summary!$E$5:$E$241,G105,Summary!$A$5:$A$241,"&gt;="&amp;$A144,Summary!$A$5:$A$241,"&lt;"&amp;$A144+7))</f>
        <v>0</v>
      </c>
      <c r="H144">
        <f>IF(H105="","",COUNTIFS(Summary!$E$5:$E$241,H105,Summary!$A$5:$A$241,"&gt;="&amp;$A144,Summary!$A$5:$A$241,"&lt;"&amp;$A144+7))</f>
        <v>0</v>
      </c>
      <c r="I144">
        <f>IF(I105="","",COUNTIFS(Summary!$E$5:$E$241,I105,Summary!$A$5:$A$241,"&gt;="&amp;$A144,Summary!$A$5:$A$241,"&lt;"&amp;$A144+7))</f>
        <v>0</v>
      </c>
      <c r="J144">
        <f>IF(J105="","",COUNTIFS(Summary!$E$5:$E$241,J105,Summary!$A$5:$A$241,"&gt;="&amp;$A144,Summary!$A$5:$A$241,"&lt;"&amp;$A144+7))</f>
        <v>0</v>
      </c>
      <c r="K144">
        <f>IF(K105="","",COUNTIFS(Summary!$E$5:$E$241,K105,Summary!$A$5:$A$241,"&gt;="&amp;$A144,Summary!$A$5:$A$241,"&lt;"&amp;$A144+7))</f>
        <v>0</v>
      </c>
      <c r="L144">
        <f>IF(L105="","",COUNTIFS(Summary!$E$5:$E$241,L105,Summary!$A$5:$A$241,"&gt;="&amp;$A144,Summary!$A$5:$A$241,"&lt;"&amp;$A144+7))</f>
        <v>0</v>
      </c>
      <c r="M144">
        <f>IF(M105="","",COUNTIFS(Summary!$E$5:$E$241,M105,Summary!$A$5:$A$241,"&gt;="&amp;$A144,Summary!$A$5:$A$241,"&lt;"&amp;$A144+7))</f>
        <v>0</v>
      </c>
      <c r="N144">
        <f>IF(N105="","",COUNTIFS(Summary!$E$5:$E$241,N105,Summary!$A$5:$A$241,"&gt;="&amp;$A144,Summary!$A$5:$A$241,"&lt;"&amp;$A144+7))</f>
        <v>0</v>
      </c>
      <c r="O144">
        <f>IF(O105="","",COUNTIFS(Summary!$E$5:$E$241,O105,Summary!$A$5:$A$241,"&gt;="&amp;$A144,Summary!$A$5:$A$241,"&lt;"&amp;$A144+7))</f>
        <v>0</v>
      </c>
      <c r="P144">
        <f>IF(P105="","",COUNTIFS(Summary!$E$5:$E$241,P105,Summary!$A$5:$A$241,"&gt;="&amp;$A144,Summary!$A$5:$A$241,"&lt;"&amp;$A144+7))</f>
        <v>0</v>
      </c>
      <c r="Q144">
        <f>IF(Q105="","",COUNTIFS(Summary!$E$5:$E$241,Q105,Summary!$A$5:$A$241,"&gt;="&amp;$A144,Summary!$A$5:$A$241,"&lt;"&amp;$A144+7))</f>
        <v>0</v>
      </c>
      <c r="R144">
        <f>IF(R105="","",COUNTIFS(Summary!$E$5:$E$241,R105,Summary!$A$5:$A$241,"&gt;="&amp;$A144,Summary!$A$5:$A$241,"&lt;"&amp;$A144+7))</f>
        <v>0</v>
      </c>
      <c r="S144">
        <f>IF(S105="","",COUNTIFS(Summary!$E$5:$E$241,S105,Summary!$A$5:$A$241,"&gt;="&amp;$A144,Summary!$A$5:$A$241,"&lt;"&amp;$A144+7))</f>
        <v>0</v>
      </c>
      <c r="T144">
        <f>IF(T105="","",COUNTIFS(Summary!$E$5:$E$241,T105,Summary!$A$5:$A$241,"&gt;="&amp;$A144,Summary!$A$5:$A$241,"&lt;"&amp;$A144+7))</f>
        <v>0</v>
      </c>
      <c r="U144">
        <f>IF(U105="","",COUNTIFS(Summary!$E$5:$E$241,U105,Summary!$A$5:$A$241,"&gt;="&amp;$A144,Summary!$A$5:$A$241,"&lt;"&amp;$A144+7))</f>
        <v>0</v>
      </c>
      <c r="V144">
        <f>IF(V105="","",COUNTIFS(Summary!$E$5:$E$241,V105,Summary!$A$5:$A$241,"&gt;="&amp;$A144,Summary!$A$5:$A$241,"&lt;"&amp;$A144+7))</f>
        <v>0</v>
      </c>
      <c r="W144">
        <f>IF(W105="","",COUNTIFS(Summary!$E$5:$E$241,W105,Summary!$A$5:$A$241,"&gt;="&amp;$A144,Summary!$A$5:$A$241,"&lt;"&amp;$A144+7))</f>
        <v>0</v>
      </c>
      <c r="X144">
        <f>IF(X105="","",COUNTIFS(Summary!$E$5:$E$241,X105,Summary!$A$5:$A$241,"&gt;="&amp;$A144,Summary!$A$5:$A$241,"&lt;"&amp;$A144+7))</f>
        <v>0</v>
      </c>
      <c r="Y144">
        <f>IF(Y105="","",COUNTIFS(Summary!$E$5:$E$241,Y105,Summary!$A$5:$A$241,"&gt;="&amp;$A144,Summary!$A$5:$A$241,"&lt;"&amp;$A144+7))</f>
        <v>0</v>
      </c>
      <c r="Z144">
        <f>IF(Z105="","",COUNTIFS(Summary!$E$5:$E$241,Z105,Summary!$A$5:$A$241,"&gt;="&amp;$A144,Summary!$A$5:$A$241,"&lt;"&amp;$A144+7))</f>
        <v>0</v>
      </c>
      <c r="AA144">
        <f>IF(AA105="","",COUNTIFS(Summary!$E$5:$E$241,AA105,Summary!$A$5:$A$241,"&gt;="&amp;$A144,Summary!$A$5:$A$241,"&lt;"&amp;$A144+7))</f>
        <v>0</v>
      </c>
      <c r="AB144">
        <f>IF(AB105="","",COUNTIFS(Summary!$E$5:$E$241,AB105,Summary!$A$5:$A$241,"&gt;="&amp;$A144,Summary!$A$5:$A$241,"&lt;"&amp;$A144+7))</f>
        <v>0</v>
      </c>
      <c r="AC144">
        <f>IF(AC105="","",COUNTIFS(Summary!$E$5:$E$241,AC105,Summary!$A$5:$A$241,"&gt;="&amp;$A144,Summary!$A$5:$A$241,"&lt;"&amp;$A144+7))</f>
        <v>0</v>
      </c>
      <c r="AD144">
        <f>IF(AD105="","",COUNTIFS(Summary!$E$5:$E$241,AD105,Summary!$A$5:$A$241,"&gt;="&amp;$A144,Summary!$A$5:$A$241,"&lt;"&amp;$A144+7))</f>
        <v>0</v>
      </c>
      <c r="AE144">
        <f>IF(AE105="","",COUNTIFS(Summary!$E$5:$E$241,AE105,Summary!$A$5:$A$241,"&gt;="&amp;$A144,Summary!$A$5:$A$241,"&lt;"&amp;$A144+7))</f>
        <v>0</v>
      </c>
      <c r="AF144">
        <f>IF(AF105="","",COUNTIFS(Summary!$E$5:$E$241,AF105,Summary!$A$5:$A$241,"&gt;="&amp;$A144,Summary!$A$5:$A$241,"&lt;"&amp;$A144+7))</f>
        <v>0</v>
      </c>
      <c r="AG144">
        <f>IF(AG105="","",COUNTIFS(Summary!$E$5:$E$241,AG105,Summary!$A$5:$A$241,"&gt;="&amp;$A144,Summary!$A$5:$A$241,"&lt;"&amp;$A144+7))</f>
        <v>0</v>
      </c>
      <c r="AH144">
        <f>IF(AH105="","",COUNTIFS(Summary!$E$5:$E$241,AH105,Summary!$A$5:$A$241,"&gt;="&amp;$A144,Summary!$A$5:$A$241,"&lt;"&amp;$A144+7))</f>
        <v>0</v>
      </c>
      <c r="AI144">
        <f>IF(AI105="","",COUNTIFS(Summary!$E$5:$E$241,AI105,Summary!$A$5:$A$241,"&gt;="&amp;$A144,Summary!$A$5:$A$241,"&lt;"&amp;$A144+7))</f>
        <v>0</v>
      </c>
      <c r="AJ144">
        <f>IF(AJ105="","",COUNTIFS(Summary!$E$5:$E$241,AJ105,Summary!$A$5:$A$241,"&gt;="&amp;$A144,Summary!$A$5:$A$241,"&lt;"&amp;$A144+7))</f>
        <v>0</v>
      </c>
      <c r="AK144">
        <f>IF(AK105="","",COUNTIFS(Summary!$E$5:$E$241,AK105,Summary!$A$5:$A$241,"&gt;="&amp;$A144,Summary!$A$5:$A$241,"&lt;"&amp;$A144+7))</f>
        <v>0</v>
      </c>
      <c r="AL144">
        <f>IF(AL105="","",COUNTIFS(Summary!$E$5:$E$241,AL105,Summary!$A$5:$A$241,"&gt;="&amp;$A144,Summary!$A$5:$A$241,"&lt;"&amp;$A144+7))</f>
        <v>0</v>
      </c>
      <c r="AM144">
        <f>IF(AM105="","",COUNTIFS(Summary!$E$5:$E$241,AM105,Summary!$A$5:$A$241,"&gt;="&amp;$A144,Summary!$A$5:$A$241,"&lt;"&amp;$A144+7))</f>
        <v>0</v>
      </c>
      <c r="AN144">
        <f>IF(AN105="","",COUNTIFS(Summary!$E$5:$E$241,AN105,Summary!$A$5:$A$241,"&gt;="&amp;$A144,Summary!$A$5:$A$241,"&lt;"&amp;$A144+7))</f>
        <v>0</v>
      </c>
      <c r="AO144">
        <f>IF(AO105="","",COUNTIFS(Summary!$E$5:$E$241,AO105,Summary!$A$5:$A$241,"&gt;="&amp;$A144,Summary!$A$5:$A$241,"&lt;"&amp;$A144+7))</f>
        <v>0</v>
      </c>
      <c r="AP144">
        <f>IF(AP105="","",COUNTIFS(Summary!$E$5:$E$241,AP105,Summary!$A$5:$A$241,"&gt;="&amp;$A144,Summary!$A$5:$A$241,"&lt;"&amp;$A144+7))</f>
        <v>0</v>
      </c>
      <c r="AQ144">
        <f>IF(AQ105="","",COUNTIFS(Summary!$E$5:$E$241,AQ105,Summary!$A$5:$A$241,"&gt;="&amp;$A144,Summary!$A$5:$A$241,"&lt;"&amp;$A144+7))</f>
        <v>0</v>
      </c>
      <c r="AR144">
        <f>IF(AR105="","",COUNTIFS(Summary!$E$5:$E$241,AR105,Summary!$A$5:$A$241,"&gt;="&amp;$A144,Summary!$A$5:$A$241,"&lt;"&amp;$A144+7))</f>
        <v>0</v>
      </c>
      <c r="AS144">
        <f>IF(AS105="","",COUNTIFS(Summary!$E$5:$E$241,AS105,Summary!$A$5:$A$241,"&gt;="&amp;$A144,Summary!$A$5:$A$241,"&lt;"&amp;$A144+7))</f>
        <v>0</v>
      </c>
      <c r="AT144">
        <f>IF(AT105="","",COUNTIFS(Summary!$E$5:$E$241,AT105,Summary!$A$5:$A$241,"&gt;="&amp;$A144,Summary!$A$5:$A$241,"&lt;"&amp;$A144+7))</f>
        <v>0</v>
      </c>
      <c r="AU144">
        <f>IF(AU105="","",COUNTIFS(Summary!$E$5:$E$241,AU105,Summary!$A$5:$A$241,"&gt;="&amp;$A144,Summary!$A$5:$A$241,"&lt;"&amp;$A144+7))</f>
        <v>0</v>
      </c>
      <c r="AV144">
        <f>IF(AV105="","",COUNTIFS(Summary!$E$5:$E$241,AV105,Summary!$A$5:$A$241,"&gt;="&amp;$A144,Summary!$A$5:$A$241,"&lt;"&amp;$A144+7))</f>
        <v>0</v>
      </c>
      <c r="AW144">
        <f>IF(AW105="","",COUNTIFS(Summary!$E$5:$E$241,AW105,Summary!$A$5:$A$241,"&gt;="&amp;$A144,Summary!$A$5:$A$241,"&lt;"&amp;$A144+7))</f>
        <v>0</v>
      </c>
      <c r="AX144">
        <f>IF(AX105="","",COUNTIFS(Summary!$E$5:$E$241,AX105,Summary!$A$5:$A$241,"&gt;="&amp;$A144,Summary!$A$5:$A$241,"&lt;"&amp;$A144+7))</f>
        <v>0</v>
      </c>
      <c r="AY144">
        <f>IF(AY105="","",COUNTIFS(Summary!$E$5:$E$241,AY105,Summary!$A$5:$A$241,"&gt;="&amp;$A144,Summary!$A$5:$A$241,"&lt;"&amp;$A144+7))</f>
        <v>0</v>
      </c>
      <c r="AZ144">
        <f>IF(AZ105="","",COUNTIFS(Summary!$E$5:$E$241,AZ105,Summary!$A$5:$A$241,"&gt;="&amp;$A144,Summary!$A$5:$A$241,"&lt;"&amp;$A144+7))</f>
        <v>0</v>
      </c>
      <c r="BA144">
        <f>IF(BA105="","",COUNTIFS(Summary!$E$5:$E$241,BA105,Summary!$A$5:$A$241,"&gt;="&amp;$A144,Summary!$A$5:$A$241,"&lt;"&amp;$A144+7))</f>
        <v>0</v>
      </c>
      <c r="BB144">
        <f>IF(BB105="","",COUNTIFS(Summary!$E$5:$E$241,BB105,Summary!$A$5:$A$241,"&gt;="&amp;$A144,Summary!$A$5:$A$241,"&lt;"&amp;$A144+7))</f>
        <v>0</v>
      </c>
      <c r="BC144">
        <f>IF(BC105="","",COUNTIFS(Summary!$E$5:$E$241,BC105,Summary!$A$5:$A$241,"&gt;="&amp;$A144,Summary!$A$5:$A$241,"&lt;"&amp;$A144+7))</f>
        <v>0</v>
      </c>
      <c r="BD144">
        <f>IF(BD105="","",COUNTIFS(Summary!$E$5:$E$241,BD105,Summary!$A$5:$A$241,"&gt;="&amp;$A144,Summary!$A$5:$A$241,"&lt;"&amp;$A144+7))</f>
        <v>0</v>
      </c>
      <c r="BE144">
        <f>IF(BE105="","",COUNTIFS(Summary!$E$5:$E$241,BE105,Summary!$A$5:$A$241,"&gt;="&amp;$A144,Summary!$A$5:$A$241,"&lt;"&amp;$A144+7))</f>
        <v>0</v>
      </c>
      <c r="BF144" s="28">
        <f>IF(BF105="","",COUNTIFS(Summary!$E$5:$E$241,BF105,Summary!$A$5:$A$241,"&gt;="&amp;$A144,Summary!$A$5:$A$241,"&lt;"&amp;$A144+7))</f>
        <v>0</v>
      </c>
    </row>
    <row r="145" spans="1:58">
      <c r="A145" s="18">
        <f t="shared" si="9"/>
        <v>46363.344340277778</v>
      </c>
      <c r="B145" s="2" t="str">
        <f t="shared" si="8"/>
        <v>Dec 7</v>
      </c>
      <c r="C145">
        <f>IF(C105="","",COUNTIFS(Summary!$E$5:$E$241,C105,Summary!$A$5:$A$241,"&gt;="&amp;$A145,Summary!$A$5:$A$241,"&lt;"&amp;$A145+7))</f>
        <v>0</v>
      </c>
      <c r="D145">
        <f>IF(D105="","",COUNTIFS(Summary!$E$5:$E$241,D105,Summary!$A$5:$A$241,"&gt;="&amp;$A145,Summary!$A$5:$A$241,"&lt;"&amp;$A145+7))</f>
        <v>0</v>
      </c>
      <c r="E145">
        <f>IF(E105="","",COUNTIFS(Summary!$E$5:$E$241,E105,Summary!$A$5:$A$241,"&gt;="&amp;$A145,Summary!$A$5:$A$241,"&lt;"&amp;$A145+7))</f>
        <v>0</v>
      </c>
      <c r="F145">
        <f>IF(F105="","",COUNTIFS(Summary!$E$5:$E$241,F105,Summary!$A$5:$A$241,"&gt;="&amp;$A145,Summary!$A$5:$A$241,"&lt;"&amp;$A145+7))</f>
        <v>0</v>
      </c>
      <c r="G145">
        <f>IF(G105="","",COUNTIFS(Summary!$E$5:$E$241,G105,Summary!$A$5:$A$241,"&gt;="&amp;$A145,Summary!$A$5:$A$241,"&lt;"&amp;$A145+7))</f>
        <v>0</v>
      </c>
      <c r="H145">
        <f>IF(H105="","",COUNTIFS(Summary!$E$5:$E$241,H105,Summary!$A$5:$A$241,"&gt;="&amp;$A145,Summary!$A$5:$A$241,"&lt;"&amp;$A145+7))</f>
        <v>0</v>
      </c>
      <c r="I145">
        <f>IF(I105="","",COUNTIFS(Summary!$E$5:$E$241,I105,Summary!$A$5:$A$241,"&gt;="&amp;$A145,Summary!$A$5:$A$241,"&lt;"&amp;$A145+7))</f>
        <v>0</v>
      </c>
      <c r="J145">
        <f>IF(J105="","",COUNTIFS(Summary!$E$5:$E$241,J105,Summary!$A$5:$A$241,"&gt;="&amp;$A145,Summary!$A$5:$A$241,"&lt;"&amp;$A145+7))</f>
        <v>0</v>
      </c>
      <c r="K145">
        <f>IF(K105="","",COUNTIFS(Summary!$E$5:$E$241,K105,Summary!$A$5:$A$241,"&gt;="&amp;$A145,Summary!$A$5:$A$241,"&lt;"&amp;$A145+7))</f>
        <v>0</v>
      </c>
      <c r="L145">
        <f>IF(L105="","",COUNTIFS(Summary!$E$5:$E$241,L105,Summary!$A$5:$A$241,"&gt;="&amp;$A145,Summary!$A$5:$A$241,"&lt;"&amp;$A145+7))</f>
        <v>0</v>
      </c>
      <c r="M145">
        <f>IF(M105="","",COUNTIFS(Summary!$E$5:$E$241,M105,Summary!$A$5:$A$241,"&gt;="&amp;$A145,Summary!$A$5:$A$241,"&lt;"&amp;$A145+7))</f>
        <v>0</v>
      </c>
      <c r="N145">
        <f>IF(N105="","",COUNTIFS(Summary!$E$5:$E$241,N105,Summary!$A$5:$A$241,"&gt;="&amp;$A145,Summary!$A$5:$A$241,"&lt;"&amp;$A145+7))</f>
        <v>0</v>
      </c>
      <c r="O145">
        <f>IF(O105="","",COUNTIFS(Summary!$E$5:$E$241,O105,Summary!$A$5:$A$241,"&gt;="&amp;$A145,Summary!$A$5:$A$241,"&lt;"&amp;$A145+7))</f>
        <v>0</v>
      </c>
      <c r="P145">
        <f>IF(P105="","",COUNTIFS(Summary!$E$5:$E$241,P105,Summary!$A$5:$A$241,"&gt;="&amp;$A145,Summary!$A$5:$A$241,"&lt;"&amp;$A145+7))</f>
        <v>0</v>
      </c>
      <c r="Q145">
        <f>IF(Q105="","",COUNTIFS(Summary!$E$5:$E$241,Q105,Summary!$A$5:$A$241,"&gt;="&amp;$A145,Summary!$A$5:$A$241,"&lt;"&amp;$A145+7))</f>
        <v>0</v>
      </c>
      <c r="R145">
        <f>IF(R105="","",COUNTIFS(Summary!$E$5:$E$241,R105,Summary!$A$5:$A$241,"&gt;="&amp;$A145,Summary!$A$5:$A$241,"&lt;"&amp;$A145+7))</f>
        <v>0</v>
      </c>
      <c r="S145">
        <f>IF(S105="","",COUNTIFS(Summary!$E$5:$E$241,S105,Summary!$A$5:$A$241,"&gt;="&amp;$A145,Summary!$A$5:$A$241,"&lt;"&amp;$A145+7))</f>
        <v>0</v>
      </c>
      <c r="T145">
        <f>IF(T105="","",COUNTIFS(Summary!$E$5:$E$241,T105,Summary!$A$5:$A$241,"&gt;="&amp;$A145,Summary!$A$5:$A$241,"&lt;"&amp;$A145+7))</f>
        <v>0</v>
      </c>
      <c r="U145">
        <f>IF(U105="","",COUNTIFS(Summary!$E$5:$E$241,U105,Summary!$A$5:$A$241,"&gt;="&amp;$A145,Summary!$A$5:$A$241,"&lt;"&amp;$A145+7))</f>
        <v>0</v>
      </c>
      <c r="V145">
        <f>IF(V105="","",COUNTIFS(Summary!$E$5:$E$241,V105,Summary!$A$5:$A$241,"&gt;="&amp;$A145,Summary!$A$5:$A$241,"&lt;"&amp;$A145+7))</f>
        <v>0</v>
      </c>
      <c r="W145">
        <f>IF(W105="","",COUNTIFS(Summary!$E$5:$E$241,W105,Summary!$A$5:$A$241,"&gt;="&amp;$A145,Summary!$A$5:$A$241,"&lt;"&amp;$A145+7))</f>
        <v>0</v>
      </c>
      <c r="X145">
        <f>IF(X105="","",COUNTIFS(Summary!$E$5:$E$241,X105,Summary!$A$5:$A$241,"&gt;="&amp;$A145,Summary!$A$5:$A$241,"&lt;"&amp;$A145+7))</f>
        <v>0</v>
      </c>
      <c r="Y145">
        <f>IF(Y105="","",COUNTIFS(Summary!$E$5:$E$241,Y105,Summary!$A$5:$A$241,"&gt;="&amp;$A145,Summary!$A$5:$A$241,"&lt;"&amp;$A145+7))</f>
        <v>0</v>
      </c>
      <c r="Z145">
        <f>IF(Z105="","",COUNTIFS(Summary!$E$5:$E$241,Z105,Summary!$A$5:$A$241,"&gt;="&amp;$A145,Summary!$A$5:$A$241,"&lt;"&amp;$A145+7))</f>
        <v>0</v>
      </c>
      <c r="AA145">
        <f>IF(AA105="","",COUNTIFS(Summary!$E$5:$E$241,AA105,Summary!$A$5:$A$241,"&gt;="&amp;$A145,Summary!$A$5:$A$241,"&lt;"&amp;$A145+7))</f>
        <v>0</v>
      </c>
      <c r="AB145">
        <f>IF(AB105="","",COUNTIFS(Summary!$E$5:$E$241,AB105,Summary!$A$5:$A$241,"&gt;="&amp;$A145,Summary!$A$5:$A$241,"&lt;"&amp;$A145+7))</f>
        <v>0</v>
      </c>
      <c r="AC145">
        <f>IF(AC105="","",COUNTIFS(Summary!$E$5:$E$241,AC105,Summary!$A$5:$A$241,"&gt;="&amp;$A145,Summary!$A$5:$A$241,"&lt;"&amp;$A145+7))</f>
        <v>0</v>
      </c>
      <c r="AD145">
        <f>IF(AD105="","",COUNTIFS(Summary!$E$5:$E$241,AD105,Summary!$A$5:$A$241,"&gt;="&amp;$A145,Summary!$A$5:$A$241,"&lt;"&amp;$A145+7))</f>
        <v>0</v>
      </c>
      <c r="AE145">
        <f>IF(AE105="","",COUNTIFS(Summary!$E$5:$E$241,AE105,Summary!$A$5:$A$241,"&gt;="&amp;$A145,Summary!$A$5:$A$241,"&lt;"&amp;$A145+7))</f>
        <v>0</v>
      </c>
      <c r="AF145">
        <f>IF(AF105="","",COUNTIFS(Summary!$E$5:$E$241,AF105,Summary!$A$5:$A$241,"&gt;="&amp;$A145,Summary!$A$5:$A$241,"&lt;"&amp;$A145+7))</f>
        <v>0</v>
      </c>
      <c r="AG145">
        <f>IF(AG105="","",COUNTIFS(Summary!$E$5:$E$241,AG105,Summary!$A$5:$A$241,"&gt;="&amp;$A145,Summary!$A$5:$A$241,"&lt;"&amp;$A145+7))</f>
        <v>0</v>
      </c>
      <c r="AH145">
        <f>IF(AH105="","",COUNTIFS(Summary!$E$5:$E$241,AH105,Summary!$A$5:$A$241,"&gt;="&amp;$A145,Summary!$A$5:$A$241,"&lt;"&amp;$A145+7))</f>
        <v>0</v>
      </c>
      <c r="AI145">
        <f>IF(AI105="","",COUNTIFS(Summary!$E$5:$E$241,AI105,Summary!$A$5:$A$241,"&gt;="&amp;$A145,Summary!$A$5:$A$241,"&lt;"&amp;$A145+7))</f>
        <v>0</v>
      </c>
      <c r="AJ145">
        <f>IF(AJ105="","",COUNTIFS(Summary!$E$5:$E$241,AJ105,Summary!$A$5:$A$241,"&gt;="&amp;$A145,Summary!$A$5:$A$241,"&lt;"&amp;$A145+7))</f>
        <v>0</v>
      </c>
      <c r="AK145">
        <f>IF(AK105="","",COUNTIFS(Summary!$E$5:$E$241,AK105,Summary!$A$5:$A$241,"&gt;="&amp;$A145,Summary!$A$5:$A$241,"&lt;"&amp;$A145+7))</f>
        <v>0</v>
      </c>
      <c r="AL145">
        <f>IF(AL105="","",COUNTIFS(Summary!$E$5:$E$241,AL105,Summary!$A$5:$A$241,"&gt;="&amp;$A145,Summary!$A$5:$A$241,"&lt;"&amp;$A145+7))</f>
        <v>0</v>
      </c>
      <c r="AM145">
        <f>IF(AM105="","",COUNTIFS(Summary!$E$5:$E$241,AM105,Summary!$A$5:$A$241,"&gt;="&amp;$A145,Summary!$A$5:$A$241,"&lt;"&amp;$A145+7))</f>
        <v>0</v>
      </c>
      <c r="AN145">
        <f>IF(AN105="","",COUNTIFS(Summary!$E$5:$E$241,AN105,Summary!$A$5:$A$241,"&gt;="&amp;$A145,Summary!$A$5:$A$241,"&lt;"&amp;$A145+7))</f>
        <v>0</v>
      </c>
      <c r="AO145">
        <f>IF(AO105="","",COUNTIFS(Summary!$E$5:$E$241,AO105,Summary!$A$5:$A$241,"&gt;="&amp;$A145,Summary!$A$5:$A$241,"&lt;"&amp;$A145+7))</f>
        <v>0</v>
      </c>
      <c r="AP145">
        <f>IF(AP105="","",COUNTIFS(Summary!$E$5:$E$241,AP105,Summary!$A$5:$A$241,"&gt;="&amp;$A145,Summary!$A$5:$A$241,"&lt;"&amp;$A145+7))</f>
        <v>0</v>
      </c>
      <c r="AQ145">
        <f>IF(AQ105="","",COUNTIFS(Summary!$E$5:$E$241,AQ105,Summary!$A$5:$A$241,"&gt;="&amp;$A145,Summary!$A$5:$A$241,"&lt;"&amp;$A145+7))</f>
        <v>0</v>
      </c>
      <c r="AR145">
        <f>IF(AR105="","",COUNTIFS(Summary!$E$5:$E$241,AR105,Summary!$A$5:$A$241,"&gt;="&amp;$A145,Summary!$A$5:$A$241,"&lt;"&amp;$A145+7))</f>
        <v>0</v>
      </c>
      <c r="AS145">
        <f>IF(AS105="","",COUNTIFS(Summary!$E$5:$E$241,AS105,Summary!$A$5:$A$241,"&gt;="&amp;$A145,Summary!$A$5:$A$241,"&lt;"&amp;$A145+7))</f>
        <v>0</v>
      </c>
      <c r="AT145">
        <f>IF(AT105="","",COUNTIFS(Summary!$E$5:$E$241,AT105,Summary!$A$5:$A$241,"&gt;="&amp;$A145,Summary!$A$5:$A$241,"&lt;"&amp;$A145+7))</f>
        <v>0</v>
      </c>
      <c r="AU145">
        <f>IF(AU105="","",COUNTIFS(Summary!$E$5:$E$241,AU105,Summary!$A$5:$A$241,"&gt;="&amp;$A145,Summary!$A$5:$A$241,"&lt;"&amp;$A145+7))</f>
        <v>0</v>
      </c>
      <c r="AV145">
        <f>IF(AV105="","",COUNTIFS(Summary!$E$5:$E$241,AV105,Summary!$A$5:$A$241,"&gt;="&amp;$A145,Summary!$A$5:$A$241,"&lt;"&amp;$A145+7))</f>
        <v>0</v>
      </c>
      <c r="AW145">
        <f>IF(AW105="","",COUNTIFS(Summary!$E$5:$E$241,AW105,Summary!$A$5:$A$241,"&gt;="&amp;$A145,Summary!$A$5:$A$241,"&lt;"&amp;$A145+7))</f>
        <v>0</v>
      </c>
      <c r="AX145">
        <f>IF(AX105="","",COUNTIFS(Summary!$E$5:$E$241,AX105,Summary!$A$5:$A$241,"&gt;="&amp;$A145,Summary!$A$5:$A$241,"&lt;"&amp;$A145+7))</f>
        <v>0</v>
      </c>
      <c r="AY145">
        <f>IF(AY105="","",COUNTIFS(Summary!$E$5:$E$241,AY105,Summary!$A$5:$A$241,"&gt;="&amp;$A145,Summary!$A$5:$A$241,"&lt;"&amp;$A145+7))</f>
        <v>0</v>
      </c>
      <c r="AZ145">
        <f>IF(AZ105="","",COUNTIFS(Summary!$E$5:$E$241,AZ105,Summary!$A$5:$A$241,"&gt;="&amp;$A145,Summary!$A$5:$A$241,"&lt;"&amp;$A145+7))</f>
        <v>0</v>
      </c>
      <c r="BA145">
        <f>IF(BA105="","",COUNTIFS(Summary!$E$5:$E$241,BA105,Summary!$A$5:$A$241,"&gt;="&amp;$A145,Summary!$A$5:$A$241,"&lt;"&amp;$A145+7))</f>
        <v>0</v>
      </c>
      <c r="BB145">
        <f>IF(BB105="","",COUNTIFS(Summary!$E$5:$E$241,BB105,Summary!$A$5:$A$241,"&gt;="&amp;$A145,Summary!$A$5:$A$241,"&lt;"&amp;$A145+7))</f>
        <v>0</v>
      </c>
      <c r="BC145">
        <f>IF(BC105="","",COUNTIFS(Summary!$E$5:$E$241,BC105,Summary!$A$5:$A$241,"&gt;="&amp;$A145,Summary!$A$5:$A$241,"&lt;"&amp;$A145+7))</f>
        <v>0</v>
      </c>
      <c r="BD145">
        <f>IF(BD105="","",COUNTIFS(Summary!$E$5:$E$241,BD105,Summary!$A$5:$A$241,"&gt;="&amp;$A145,Summary!$A$5:$A$241,"&lt;"&amp;$A145+7))</f>
        <v>0</v>
      </c>
      <c r="BE145">
        <f>IF(BE105="","",COUNTIFS(Summary!$E$5:$E$241,BE105,Summary!$A$5:$A$241,"&gt;="&amp;$A145,Summary!$A$5:$A$241,"&lt;"&amp;$A145+7))</f>
        <v>0</v>
      </c>
      <c r="BF145" s="28">
        <f>IF(BF105="","",COUNTIFS(Summary!$E$5:$E$241,BF105,Summary!$A$5:$A$241,"&gt;="&amp;$A145,Summary!$A$5:$A$241,"&lt;"&amp;$A145+7))</f>
        <v>0</v>
      </c>
    </row>
    <row r="146" spans="1:58">
      <c r="A146" s="18">
        <f t="shared" si="9"/>
        <v>46370.344340277778</v>
      </c>
      <c r="B146" s="2" t="str">
        <f t="shared" si="8"/>
        <v>Dec 14</v>
      </c>
      <c r="C146">
        <f>IF(C105="","",COUNTIFS(Summary!$E$5:$E$241,C105,Summary!$A$5:$A$241,"&gt;="&amp;$A146,Summary!$A$5:$A$241,"&lt;"&amp;$A146+7))</f>
        <v>0</v>
      </c>
      <c r="D146">
        <f>IF(D105="","",COUNTIFS(Summary!$E$5:$E$241,D105,Summary!$A$5:$A$241,"&gt;="&amp;$A146,Summary!$A$5:$A$241,"&lt;"&amp;$A146+7))</f>
        <v>0</v>
      </c>
      <c r="E146">
        <f>IF(E105="","",COUNTIFS(Summary!$E$5:$E$241,E105,Summary!$A$5:$A$241,"&gt;="&amp;$A146,Summary!$A$5:$A$241,"&lt;"&amp;$A146+7))</f>
        <v>0</v>
      </c>
      <c r="F146">
        <f>IF(F105="","",COUNTIFS(Summary!$E$5:$E$241,F105,Summary!$A$5:$A$241,"&gt;="&amp;$A146,Summary!$A$5:$A$241,"&lt;"&amp;$A146+7))</f>
        <v>0</v>
      </c>
      <c r="G146">
        <f>IF(G105="","",COUNTIFS(Summary!$E$5:$E$241,G105,Summary!$A$5:$A$241,"&gt;="&amp;$A146,Summary!$A$5:$A$241,"&lt;"&amp;$A146+7))</f>
        <v>0</v>
      </c>
      <c r="H146">
        <f>IF(H105="","",COUNTIFS(Summary!$E$5:$E$241,H105,Summary!$A$5:$A$241,"&gt;="&amp;$A146,Summary!$A$5:$A$241,"&lt;"&amp;$A146+7))</f>
        <v>0</v>
      </c>
      <c r="I146">
        <f>IF(I105="","",COUNTIFS(Summary!$E$5:$E$241,I105,Summary!$A$5:$A$241,"&gt;="&amp;$A146,Summary!$A$5:$A$241,"&lt;"&amp;$A146+7))</f>
        <v>0</v>
      </c>
      <c r="J146">
        <f>IF(J105="","",COUNTIFS(Summary!$E$5:$E$241,J105,Summary!$A$5:$A$241,"&gt;="&amp;$A146,Summary!$A$5:$A$241,"&lt;"&amp;$A146+7))</f>
        <v>0</v>
      </c>
      <c r="K146">
        <f>IF(K105="","",COUNTIFS(Summary!$E$5:$E$241,K105,Summary!$A$5:$A$241,"&gt;="&amp;$A146,Summary!$A$5:$A$241,"&lt;"&amp;$A146+7))</f>
        <v>0</v>
      </c>
      <c r="L146">
        <f>IF(L105="","",COUNTIFS(Summary!$E$5:$E$241,L105,Summary!$A$5:$A$241,"&gt;="&amp;$A146,Summary!$A$5:$A$241,"&lt;"&amp;$A146+7))</f>
        <v>0</v>
      </c>
      <c r="M146">
        <f>IF(M105="","",COUNTIFS(Summary!$E$5:$E$241,M105,Summary!$A$5:$A$241,"&gt;="&amp;$A146,Summary!$A$5:$A$241,"&lt;"&amp;$A146+7))</f>
        <v>0</v>
      </c>
      <c r="N146">
        <f>IF(N105="","",COUNTIFS(Summary!$E$5:$E$241,N105,Summary!$A$5:$A$241,"&gt;="&amp;$A146,Summary!$A$5:$A$241,"&lt;"&amp;$A146+7))</f>
        <v>0</v>
      </c>
      <c r="O146">
        <f>IF(O105="","",COUNTIFS(Summary!$E$5:$E$241,O105,Summary!$A$5:$A$241,"&gt;="&amp;$A146,Summary!$A$5:$A$241,"&lt;"&amp;$A146+7))</f>
        <v>0</v>
      </c>
      <c r="P146">
        <f>IF(P105="","",COUNTIFS(Summary!$E$5:$E$241,P105,Summary!$A$5:$A$241,"&gt;="&amp;$A146,Summary!$A$5:$A$241,"&lt;"&amp;$A146+7))</f>
        <v>0</v>
      </c>
      <c r="Q146">
        <f>IF(Q105="","",COUNTIFS(Summary!$E$5:$E$241,Q105,Summary!$A$5:$A$241,"&gt;="&amp;$A146,Summary!$A$5:$A$241,"&lt;"&amp;$A146+7))</f>
        <v>0</v>
      </c>
      <c r="R146">
        <f>IF(R105="","",COUNTIFS(Summary!$E$5:$E$241,R105,Summary!$A$5:$A$241,"&gt;="&amp;$A146,Summary!$A$5:$A$241,"&lt;"&amp;$A146+7))</f>
        <v>0</v>
      </c>
      <c r="S146">
        <f>IF(S105="","",COUNTIFS(Summary!$E$5:$E$241,S105,Summary!$A$5:$A$241,"&gt;="&amp;$A146,Summary!$A$5:$A$241,"&lt;"&amp;$A146+7))</f>
        <v>0</v>
      </c>
      <c r="T146">
        <f>IF(T105="","",COUNTIFS(Summary!$E$5:$E$241,T105,Summary!$A$5:$A$241,"&gt;="&amp;$A146,Summary!$A$5:$A$241,"&lt;"&amp;$A146+7))</f>
        <v>0</v>
      </c>
      <c r="U146">
        <f>IF(U105="","",COUNTIFS(Summary!$E$5:$E$241,U105,Summary!$A$5:$A$241,"&gt;="&amp;$A146,Summary!$A$5:$A$241,"&lt;"&amp;$A146+7))</f>
        <v>0</v>
      </c>
      <c r="V146">
        <f>IF(V105="","",COUNTIFS(Summary!$E$5:$E$241,V105,Summary!$A$5:$A$241,"&gt;="&amp;$A146,Summary!$A$5:$A$241,"&lt;"&amp;$A146+7))</f>
        <v>0</v>
      </c>
      <c r="W146">
        <f>IF(W105="","",COUNTIFS(Summary!$E$5:$E$241,W105,Summary!$A$5:$A$241,"&gt;="&amp;$A146,Summary!$A$5:$A$241,"&lt;"&amp;$A146+7))</f>
        <v>0</v>
      </c>
      <c r="X146">
        <f>IF(X105="","",COUNTIFS(Summary!$E$5:$E$241,X105,Summary!$A$5:$A$241,"&gt;="&amp;$A146,Summary!$A$5:$A$241,"&lt;"&amp;$A146+7))</f>
        <v>0</v>
      </c>
      <c r="Y146">
        <f>IF(Y105="","",COUNTIFS(Summary!$E$5:$E$241,Y105,Summary!$A$5:$A$241,"&gt;="&amp;$A146,Summary!$A$5:$A$241,"&lt;"&amp;$A146+7))</f>
        <v>0</v>
      </c>
      <c r="Z146">
        <f>IF(Z105="","",COUNTIFS(Summary!$E$5:$E$241,Z105,Summary!$A$5:$A$241,"&gt;="&amp;$A146,Summary!$A$5:$A$241,"&lt;"&amp;$A146+7))</f>
        <v>0</v>
      </c>
      <c r="AA146">
        <f>IF(AA105="","",COUNTIFS(Summary!$E$5:$E$241,AA105,Summary!$A$5:$A$241,"&gt;="&amp;$A146,Summary!$A$5:$A$241,"&lt;"&amp;$A146+7))</f>
        <v>0</v>
      </c>
      <c r="AB146">
        <f>IF(AB105="","",COUNTIFS(Summary!$E$5:$E$241,AB105,Summary!$A$5:$A$241,"&gt;="&amp;$A146,Summary!$A$5:$A$241,"&lt;"&amp;$A146+7))</f>
        <v>0</v>
      </c>
      <c r="AC146">
        <f>IF(AC105="","",COUNTIFS(Summary!$E$5:$E$241,AC105,Summary!$A$5:$A$241,"&gt;="&amp;$A146,Summary!$A$5:$A$241,"&lt;"&amp;$A146+7))</f>
        <v>0</v>
      </c>
      <c r="AD146">
        <f>IF(AD105="","",COUNTIFS(Summary!$E$5:$E$241,AD105,Summary!$A$5:$A$241,"&gt;="&amp;$A146,Summary!$A$5:$A$241,"&lt;"&amp;$A146+7))</f>
        <v>0</v>
      </c>
      <c r="AE146">
        <f>IF(AE105="","",COUNTIFS(Summary!$E$5:$E$241,AE105,Summary!$A$5:$A$241,"&gt;="&amp;$A146,Summary!$A$5:$A$241,"&lt;"&amp;$A146+7))</f>
        <v>0</v>
      </c>
      <c r="AF146">
        <f>IF(AF105="","",COUNTIFS(Summary!$E$5:$E$241,AF105,Summary!$A$5:$A$241,"&gt;="&amp;$A146,Summary!$A$5:$A$241,"&lt;"&amp;$A146+7))</f>
        <v>0</v>
      </c>
      <c r="AG146">
        <f>IF(AG105="","",COUNTIFS(Summary!$E$5:$E$241,AG105,Summary!$A$5:$A$241,"&gt;="&amp;$A146,Summary!$A$5:$A$241,"&lt;"&amp;$A146+7))</f>
        <v>0</v>
      </c>
      <c r="AH146">
        <f>IF(AH105="","",COUNTIFS(Summary!$E$5:$E$241,AH105,Summary!$A$5:$A$241,"&gt;="&amp;$A146,Summary!$A$5:$A$241,"&lt;"&amp;$A146+7))</f>
        <v>0</v>
      </c>
      <c r="AI146">
        <f>IF(AI105="","",COUNTIFS(Summary!$E$5:$E$241,AI105,Summary!$A$5:$A$241,"&gt;="&amp;$A146,Summary!$A$5:$A$241,"&lt;"&amp;$A146+7))</f>
        <v>0</v>
      </c>
      <c r="AJ146">
        <f>IF(AJ105="","",COUNTIFS(Summary!$E$5:$E$241,AJ105,Summary!$A$5:$A$241,"&gt;="&amp;$A146,Summary!$A$5:$A$241,"&lt;"&amp;$A146+7))</f>
        <v>0</v>
      </c>
      <c r="AK146">
        <f>IF(AK105="","",COUNTIFS(Summary!$E$5:$E$241,AK105,Summary!$A$5:$A$241,"&gt;="&amp;$A146,Summary!$A$5:$A$241,"&lt;"&amp;$A146+7))</f>
        <v>0</v>
      </c>
      <c r="AL146">
        <f>IF(AL105="","",COUNTIFS(Summary!$E$5:$E$241,AL105,Summary!$A$5:$A$241,"&gt;="&amp;$A146,Summary!$A$5:$A$241,"&lt;"&amp;$A146+7))</f>
        <v>0</v>
      </c>
      <c r="AM146">
        <f>IF(AM105="","",COUNTIFS(Summary!$E$5:$E$241,AM105,Summary!$A$5:$A$241,"&gt;="&amp;$A146,Summary!$A$5:$A$241,"&lt;"&amp;$A146+7))</f>
        <v>0</v>
      </c>
      <c r="AN146">
        <f>IF(AN105="","",COUNTIFS(Summary!$E$5:$E$241,AN105,Summary!$A$5:$A$241,"&gt;="&amp;$A146,Summary!$A$5:$A$241,"&lt;"&amp;$A146+7))</f>
        <v>0</v>
      </c>
      <c r="AO146">
        <f>IF(AO105="","",COUNTIFS(Summary!$E$5:$E$241,AO105,Summary!$A$5:$A$241,"&gt;="&amp;$A146,Summary!$A$5:$A$241,"&lt;"&amp;$A146+7))</f>
        <v>0</v>
      </c>
      <c r="AP146">
        <f>IF(AP105="","",COUNTIFS(Summary!$E$5:$E$241,AP105,Summary!$A$5:$A$241,"&gt;="&amp;$A146,Summary!$A$5:$A$241,"&lt;"&amp;$A146+7))</f>
        <v>0</v>
      </c>
      <c r="AQ146">
        <f>IF(AQ105="","",COUNTIFS(Summary!$E$5:$E$241,AQ105,Summary!$A$5:$A$241,"&gt;="&amp;$A146,Summary!$A$5:$A$241,"&lt;"&amp;$A146+7))</f>
        <v>0</v>
      </c>
      <c r="AR146">
        <f>IF(AR105="","",COUNTIFS(Summary!$E$5:$E$241,AR105,Summary!$A$5:$A$241,"&gt;="&amp;$A146,Summary!$A$5:$A$241,"&lt;"&amp;$A146+7))</f>
        <v>0</v>
      </c>
      <c r="AS146">
        <f>IF(AS105="","",COUNTIFS(Summary!$E$5:$E$241,AS105,Summary!$A$5:$A$241,"&gt;="&amp;$A146,Summary!$A$5:$A$241,"&lt;"&amp;$A146+7))</f>
        <v>0</v>
      </c>
      <c r="AT146">
        <f>IF(AT105="","",COUNTIFS(Summary!$E$5:$E$241,AT105,Summary!$A$5:$A$241,"&gt;="&amp;$A146,Summary!$A$5:$A$241,"&lt;"&amp;$A146+7))</f>
        <v>0</v>
      </c>
      <c r="AU146">
        <f>IF(AU105="","",COUNTIFS(Summary!$E$5:$E$241,AU105,Summary!$A$5:$A$241,"&gt;="&amp;$A146,Summary!$A$5:$A$241,"&lt;"&amp;$A146+7))</f>
        <v>0</v>
      </c>
      <c r="AV146">
        <f>IF(AV105="","",COUNTIFS(Summary!$E$5:$E$241,AV105,Summary!$A$5:$A$241,"&gt;="&amp;$A146,Summary!$A$5:$A$241,"&lt;"&amp;$A146+7))</f>
        <v>0</v>
      </c>
      <c r="AW146">
        <f>IF(AW105="","",COUNTIFS(Summary!$E$5:$E$241,AW105,Summary!$A$5:$A$241,"&gt;="&amp;$A146,Summary!$A$5:$A$241,"&lt;"&amp;$A146+7))</f>
        <v>0</v>
      </c>
      <c r="AX146">
        <f>IF(AX105="","",COUNTIFS(Summary!$E$5:$E$241,AX105,Summary!$A$5:$A$241,"&gt;="&amp;$A146,Summary!$A$5:$A$241,"&lt;"&amp;$A146+7))</f>
        <v>0</v>
      </c>
      <c r="AY146">
        <f>IF(AY105="","",COUNTIFS(Summary!$E$5:$E$241,AY105,Summary!$A$5:$A$241,"&gt;="&amp;$A146,Summary!$A$5:$A$241,"&lt;"&amp;$A146+7))</f>
        <v>0</v>
      </c>
      <c r="AZ146">
        <f>IF(AZ105="","",COUNTIFS(Summary!$E$5:$E$241,AZ105,Summary!$A$5:$A$241,"&gt;="&amp;$A146,Summary!$A$5:$A$241,"&lt;"&amp;$A146+7))</f>
        <v>0</v>
      </c>
      <c r="BA146">
        <f>IF(BA105="","",COUNTIFS(Summary!$E$5:$E$241,BA105,Summary!$A$5:$A$241,"&gt;="&amp;$A146,Summary!$A$5:$A$241,"&lt;"&amp;$A146+7))</f>
        <v>0</v>
      </c>
      <c r="BB146">
        <f>IF(BB105="","",COUNTIFS(Summary!$E$5:$E$241,BB105,Summary!$A$5:$A$241,"&gt;="&amp;$A146,Summary!$A$5:$A$241,"&lt;"&amp;$A146+7))</f>
        <v>0</v>
      </c>
      <c r="BC146">
        <f>IF(BC105="","",COUNTIFS(Summary!$E$5:$E$241,BC105,Summary!$A$5:$A$241,"&gt;="&amp;$A146,Summary!$A$5:$A$241,"&lt;"&amp;$A146+7))</f>
        <v>0</v>
      </c>
      <c r="BD146">
        <f>IF(BD105="","",COUNTIFS(Summary!$E$5:$E$241,BD105,Summary!$A$5:$A$241,"&gt;="&amp;$A146,Summary!$A$5:$A$241,"&lt;"&amp;$A146+7))</f>
        <v>0</v>
      </c>
      <c r="BE146">
        <f>IF(BE105="","",COUNTIFS(Summary!$E$5:$E$241,BE105,Summary!$A$5:$A$241,"&gt;="&amp;$A146,Summary!$A$5:$A$241,"&lt;"&amp;$A146+7))</f>
        <v>0</v>
      </c>
      <c r="BF146" s="28">
        <f>IF(BF105="","",COUNTIFS(Summary!$E$5:$E$241,BF105,Summary!$A$5:$A$241,"&gt;="&amp;$A146,Summary!$A$5:$A$241,"&lt;"&amp;$A146+7))</f>
        <v>0</v>
      </c>
    </row>
    <row r="147" spans="1:58">
      <c r="A147" s="18">
        <f t="shared" si="9"/>
        <v>46377.344340277778</v>
      </c>
      <c r="B147" s="2" t="str">
        <f t="shared" si="8"/>
        <v>Dec 21</v>
      </c>
      <c r="C147">
        <f>IF(C105="","",COUNTIFS(Summary!$E$5:$E$241,C105,Summary!$A$5:$A$241,"&gt;="&amp;$A147,Summary!$A$5:$A$241,"&lt;"&amp;$A147+7))</f>
        <v>0</v>
      </c>
      <c r="D147">
        <f>IF(D105="","",COUNTIFS(Summary!$E$5:$E$241,D105,Summary!$A$5:$A$241,"&gt;="&amp;$A147,Summary!$A$5:$A$241,"&lt;"&amp;$A147+7))</f>
        <v>0</v>
      </c>
      <c r="E147">
        <f>IF(E105="","",COUNTIFS(Summary!$E$5:$E$241,E105,Summary!$A$5:$A$241,"&gt;="&amp;$A147,Summary!$A$5:$A$241,"&lt;"&amp;$A147+7))</f>
        <v>0</v>
      </c>
      <c r="F147">
        <f>IF(F105="","",COUNTIFS(Summary!$E$5:$E$241,F105,Summary!$A$5:$A$241,"&gt;="&amp;$A147,Summary!$A$5:$A$241,"&lt;"&amp;$A147+7))</f>
        <v>0</v>
      </c>
      <c r="G147">
        <f>IF(G105="","",COUNTIFS(Summary!$E$5:$E$241,G105,Summary!$A$5:$A$241,"&gt;="&amp;$A147,Summary!$A$5:$A$241,"&lt;"&amp;$A147+7))</f>
        <v>0</v>
      </c>
      <c r="H147">
        <f>IF(H105="","",COUNTIFS(Summary!$E$5:$E$241,H105,Summary!$A$5:$A$241,"&gt;="&amp;$A147,Summary!$A$5:$A$241,"&lt;"&amp;$A147+7))</f>
        <v>0</v>
      </c>
      <c r="I147">
        <f>IF(I105="","",COUNTIFS(Summary!$E$5:$E$241,I105,Summary!$A$5:$A$241,"&gt;="&amp;$A147,Summary!$A$5:$A$241,"&lt;"&amp;$A147+7))</f>
        <v>0</v>
      </c>
      <c r="J147">
        <f>IF(J105="","",COUNTIFS(Summary!$E$5:$E$241,J105,Summary!$A$5:$A$241,"&gt;="&amp;$A147,Summary!$A$5:$A$241,"&lt;"&amp;$A147+7))</f>
        <v>0</v>
      </c>
      <c r="K147">
        <f>IF(K105="","",COUNTIFS(Summary!$E$5:$E$241,K105,Summary!$A$5:$A$241,"&gt;="&amp;$A147,Summary!$A$5:$A$241,"&lt;"&amp;$A147+7))</f>
        <v>0</v>
      </c>
      <c r="L147">
        <f>IF(L105="","",COUNTIFS(Summary!$E$5:$E$241,L105,Summary!$A$5:$A$241,"&gt;="&amp;$A147,Summary!$A$5:$A$241,"&lt;"&amp;$A147+7))</f>
        <v>0</v>
      </c>
      <c r="M147">
        <f>IF(M105="","",COUNTIFS(Summary!$E$5:$E$241,M105,Summary!$A$5:$A$241,"&gt;="&amp;$A147,Summary!$A$5:$A$241,"&lt;"&amp;$A147+7))</f>
        <v>0</v>
      </c>
      <c r="N147">
        <f>IF(N105="","",COUNTIFS(Summary!$E$5:$E$241,N105,Summary!$A$5:$A$241,"&gt;="&amp;$A147,Summary!$A$5:$A$241,"&lt;"&amp;$A147+7))</f>
        <v>0</v>
      </c>
      <c r="O147">
        <f>IF(O105="","",COUNTIFS(Summary!$E$5:$E$241,O105,Summary!$A$5:$A$241,"&gt;="&amp;$A147,Summary!$A$5:$A$241,"&lt;"&amp;$A147+7))</f>
        <v>0</v>
      </c>
      <c r="P147">
        <f>IF(P105="","",COUNTIFS(Summary!$E$5:$E$241,P105,Summary!$A$5:$A$241,"&gt;="&amp;$A147,Summary!$A$5:$A$241,"&lt;"&amp;$A147+7))</f>
        <v>0</v>
      </c>
      <c r="Q147">
        <f>IF(Q105="","",COUNTIFS(Summary!$E$5:$E$241,Q105,Summary!$A$5:$A$241,"&gt;="&amp;$A147,Summary!$A$5:$A$241,"&lt;"&amp;$A147+7))</f>
        <v>0</v>
      </c>
      <c r="R147">
        <f>IF(R105="","",COUNTIFS(Summary!$E$5:$E$241,R105,Summary!$A$5:$A$241,"&gt;="&amp;$A147,Summary!$A$5:$A$241,"&lt;"&amp;$A147+7))</f>
        <v>0</v>
      </c>
      <c r="S147">
        <f>IF(S105="","",COUNTIFS(Summary!$E$5:$E$241,S105,Summary!$A$5:$A$241,"&gt;="&amp;$A147,Summary!$A$5:$A$241,"&lt;"&amp;$A147+7))</f>
        <v>0</v>
      </c>
      <c r="T147">
        <f>IF(T105="","",COUNTIFS(Summary!$E$5:$E$241,T105,Summary!$A$5:$A$241,"&gt;="&amp;$A147,Summary!$A$5:$A$241,"&lt;"&amp;$A147+7))</f>
        <v>0</v>
      </c>
      <c r="U147">
        <f>IF(U105="","",COUNTIFS(Summary!$E$5:$E$241,U105,Summary!$A$5:$A$241,"&gt;="&amp;$A147,Summary!$A$5:$A$241,"&lt;"&amp;$A147+7))</f>
        <v>0</v>
      </c>
      <c r="V147">
        <f>IF(V105="","",COUNTIFS(Summary!$E$5:$E$241,V105,Summary!$A$5:$A$241,"&gt;="&amp;$A147,Summary!$A$5:$A$241,"&lt;"&amp;$A147+7))</f>
        <v>0</v>
      </c>
      <c r="W147">
        <f>IF(W105="","",COUNTIFS(Summary!$E$5:$E$241,W105,Summary!$A$5:$A$241,"&gt;="&amp;$A147,Summary!$A$5:$A$241,"&lt;"&amp;$A147+7))</f>
        <v>0</v>
      </c>
      <c r="X147">
        <f>IF(X105="","",COUNTIFS(Summary!$E$5:$E$241,X105,Summary!$A$5:$A$241,"&gt;="&amp;$A147,Summary!$A$5:$A$241,"&lt;"&amp;$A147+7))</f>
        <v>0</v>
      </c>
      <c r="Y147">
        <f>IF(Y105="","",COUNTIFS(Summary!$E$5:$E$241,Y105,Summary!$A$5:$A$241,"&gt;="&amp;$A147,Summary!$A$5:$A$241,"&lt;"&amp;$A147+7))</f>
        <v>0</v>
      </c>
      <c r="Z147">
        <f>IF(Z105="","",COUNTIFS(Summary!$E$5:$E$241,Z105,Summary!$A$5:$A$241,"&gt;="&amp;$A147,Summary!$A$5:$A$241,"&lt;"&amp;$A147+7))</f>
        <v>0</v>
      </c>
      <c r="AA147">
        <f>IF(AA105="","",COUNTIFS(Summary!$E$5:$E$241,AA105,Summary!$A$5:$A$241,"&gt;="&amp;$A147,Summary!$A$5:$A$241,"&lt;"&amp;$A147+7))</f>
        <v>0</v>
      </c>
      <c r="AB147">
        <f>IF(AB105="","",COUNTIFS(Summary!$E$5:$E$241,AB105,Summary!$A$5:$A$241,"&gt;="&amp;$A147,Summary!$A$5:$A$241,"&lt;"&amp;$A147+7))</f>
        <v>0</v>
      </c>
      <c r="AC147">
        <f>IF(AC105="","",COUNTIFS(Summary!$E$5:$E$241,AC105,Summary!$A$5:$A$241,"&gt;="&amp;$A147,Summary!$A$5:$A$241,"&lt;"&amp;$A147+7))</f>
        <v>0</v>
      </c>
      <c r="AD147">
        <f>IF(AD105="","",COUNTIFS(Summary!$E$5:$E$241,AD105,Summary!$A$5:$A$241,"&gt;="&amp;$A147,Summary!$A$5:$A$241,"&lt;"&amp;$A147+7))</f>
        <v>0</v>
      </c>
      <c r="AE147">
        <f>IF(AE105="","",COUNTIFS(Summary!$E$5:$E$241,AE105,Summary!$A$5:$A$241,"&gt;="&amp;$A147,Summary!$A$5:$A$241,"&lt;"&amp;$A147+7))</f>
        <v>0</v>
      </c>
      <c r="AF147">
        <f>IF(AF105="","",COUNTIFS(Summary!$E$5:$E$241,AF105,Summary!$A$5:$A$241,"&gt;="&amp;$A147,Summary!$A$5:$A$241,"&lt;"&amp;$A147+7))</f>
        <v>0</v>
      </c>
      <c r="AG147">
        <f>IF(AG105="","",COUNTIFS(Summary!$E$5:$E$241,AG105,Summary!$A$5:$A$241,"&gt;="&amp;$A147,Summary!$A$5:$A$241,"&lt;"&amp;$A147+7))</f>
        <v>0</v>
      </c>
      <c r="AH147">
        <f>IF(AH105="","",COUNTIFS(Summary!$E$5:$E$241,AH105,Summary!$A$5:$A$241,"&gt;="&amp;$A147,Summary!$A$5:$A$241,"&lt;"&amp;$A147+7))</f>
        <v>0</v>
      </c>
      <c r="AI147">
        <f>IF(AI105="","",COUNTIFS(Summary!$E$5:$E$241,AI105,Summary!$A$5:$A$241,"&gt;="&amp;$A147,Summary!$A$5:$A$241,"&lt;"&amp;$A147+7))</f>
        <v>0</v>
      </c>
      <c r="AJ147">
        <f>IF(AJ105="","",COUNTIFS(Summary!$E$5:$E$241,AJ105,Summary!$A$5:$A$241,"&gt;="&amp;$A147,Summary!$A$5:$A$241,"&lt;"&amp;$A147+7))</f>
        <v>0</v>
      </c>
      <c r="AK147">
        <f>IF(AK105="","",COUNTIFS(Summary!$E$5:$E$241,AK105,Summary!$A$5:$A$241,"&gt;="&amp;$A147,Summary!$A$5:$A$241,"&lt;"&amp;$A147+7))</f>
        <v>0</v>
      </c>
      <c r="AL147">
        <f>IF(AL105="","",COUNTIFS(Summary!$E$5:$E$241,AL105,Summary!$A$5:$A$241,"&gt;="&amp;$A147,Summary!$A$5:$A$241,"&lt;"&amp;$A147+7))</f>
        <v>0</v>
      </c>
      <c r="AM147">
        <f>IF(AM105="","",COUNTIFS(Summary!$E$5:$E$241,AM105,Summary!$A$5:$A$241,"&gt;="&amp;$A147,Summary!$A$5:$A$241,"&lt;"&amp;$A147+7))</f>
        <v>0</v>
      </c>
      <c r="AN147">
        <f>IF(AN105="","",COUNTIFS(Summary!$E$5:$E$241,AN105,Summary!$A$5:$A$241,"&gt;="&amp;$A147,Summary!$A$5:$A$241,"&lt;"&amp;$A147+7))</f>
        <v>0</v>
      </c>
      <c r="AO147">
        <f>IF(AO105="","",COUNTIFS(Summary!$E$5:$E$241,AO105,Summary!$A$5:$A$241,"&gt;="&amp;$A147,Summary!$A$5:$A$241,"&lt;"&amp;$A147+7))</f>
        <v>0</v>
      </c>
      <c r="AP147">
        <f>IF(AP105="","",COUNTIFS(Summary!$E$5:$E$241,AP105,Summary!$A$5:$A$241,"&gt;="&amp;$A147,Summary!$A$5:$A$241,"&lt;"&amp;$A147+7))</f>
        <v>0</v>
      </c>
      <c r="AQ147">
        <f>IF(AQ105="","",COUNTIFS(Summary!$E$5:$E$241,AQ105,Summary!$A$5:$A$241,"&gt;="&amp;$A147,Summary!$A$5:$A$241,"&lt;"&amp;$A147+7))</f>
        <v>0</v>
      </c>
      <c r="AR147">
        <f>IF(AR105="","",COUNTIFS(Summary!$E$5:$E$241,AR105,Summary!$A$5:$A$241,"&gt;="&amp;$A147,Summary!$A$5:$A$241,"&lt;"&amp;$A147+7))</f>
        <v>0</v>
      </c>
      <c r="AS147">
        <f>IF(AS105="","",COUNTIFS(Summary!$E$5:$E$241,AS105,Summary!$A$5:$A$241,"&gt;="&amp;$A147,Summary!$A$5:$A$241,"&lt;"&amp;$A147+7))</f>
        <v>0</v>
      </c>
      <c r="AT147">
        <f>IF(AT105="","",COUNTIFS(Summary!$E$5:$E$241,AT105,Summary!$A$5:$A$241,"&gt;="&amp;$A147,Summary!$A$5:$A$241,"&lt;"&amp;$A147+7))</f>
        <v>0</v>
      </c>
      <c r="AU147">
        <f>IF(AU105="","",COUNTIFS(Summary!$E$5:$E$241,AU105,Summary!$A$5:$A$241,"&gt;="&amp;$A147,Summary!$A$5:$A$241,"&lt;"&amp;$A147+7))</f>
        <v>0</v>
      </c>
      <c r="AV147">
        <f>IF(AV105="","",COUNTIFS(Summary!$E$5:$E$241,AV105,Summary!$A$5:$A$241,"&gt;="&amp;$A147,Summary!$A$5:$A$241,"&lt;"&amp;$A147+7))</f>
        <v>0</v>
      </c>
      <c r="AW147">
        <f>IF(AW105="","",COUNTIFS(Summary!$E$5:$E$241,AW105,Summary!$A$5:$A$241,"&gt;="&amp;$A147,Summary!$A$5:$A$241,"&lt;"&amp;$A147+7))</f>
        <v>0</v>
      </c>
      <c r="AX147">
        <f>IF(AX105="","",COUNTIFS(Summary!$E$5:$E$241,AX105,Summary!$A$5:$A$241,"&gt;="&amp;$A147,Summary!$A$5:$A$241,"&lt;"&amp;$A147+7))</f>
        <v>0</v>
      </c>
      <c r="AY147">
        <f>IF(AY105="","",COUNTIFS(Summary!$E$5:$E$241,AY105,Summary!$A$5:$A$241,"&gt;="&amp;$A147,Summary!$A$5:$A$241,"&lt;"&amp;$A147+7))</f>
        <v>0</v>
      </c>
      <c r="AZ147">
        <f>IF(AZ105="","",COUNTIFS(Summary!$E$5:$E$241,AZ105,Summary!$A$5:$A$241,"&gt;="&amp;$A147,Summary!$A$5:$A$241,"&lt;"&amp;$A147+7))</f>
        <v>0</v>
      </c>
      <c r="BA147">
        <f>IF(BA105="","",COUNTIFS(Summary!$E$5:$E$241,BA105,Summary!$A$5:$A$241,"&gt;="&amp;$A147,Summary!$A$5:$A$241,"&lt;"&amp;$A147+7))</f>
        <v>0</v>
      </c>
      <c r="BB147">
        <f>IF(BB105="","",COUNTIFS(Summary!$E$5:$E$241,BB105,Summary!$A$5:$A$241,"&gt;="&amp;$A147,Summary!$A$5:$A$241,"&lt;"&amp;$A147+7))</f>
        <v>0</v>
      </c>
      <c r="BC147">
        <f>IF(BC105="","",COUNTIFS(Summary!$E$5:$E$241,BC105,Summary!$A$5:$A$241,"&gt;="&amp;$A147,Summary!$A$5:$A$241,"&lt;"&amp;$A147+7))</f>
        <v>0</v>
      </c>
      <c r="BD147">
        <f>IF(BD105="","",COUNTIFS(Summary!$E$5:$E$241,BD105,Summary!$A$5:$A$241,"&gt;="&amp;$A147,Summary!$A$5:$A$241,"&lt;"&amp;$A147+7))</f>
        <v>0</v>
      </c>
      <c r="BE147">
        <f>IF(BE105="","",COUNTIFS(Summary!$E$5:$E$241,BE105,Summary!$A$5:$A$241,"&gt;="&amp;$A147,Summary!$A$5:$A$241,"&lt;"&amp;$A147+7))</f>
        <v>0</v>
      </c>
      <c r="BF147" s="28">
        <f>IF(BF105="","",COUNTIFS(Summary!$E$5:$E$241,BF105,Summary!$A$5:$A$241,"&gt;="&amp;$A147,Summary!$A$5:$A$241,"&lt;"&amp;$A147+7))</f>
        <v>0</v>
      </c>
    </row>
    <row r="148" spans="1:58">
      <c r="A148" s="18">
        <f t="shared" si="9"/>
        <v>46384.344340277778</v>
      </c>
      <c r="B148" s="2" t="str">
        <f t="shared" si="8"/>
        <v>Dec 28</v>
      </c>
      <c r="C148">
        <f>IF(C105="","",COUNTIFS(Summary!$E$5:$E$241,C105,Summary!$A$5:$A$241,"&gt;="&amp;$A148,Summary!$A$5:$A$241,"&lt;"&amp;$A148+7))</f>
        <v>0</v>
      </c>
      <c r="D148">
        <f>IF(D105="","",COUNTIFS(Summary!$E$5:$E$241,D105,Summary!$A$5:$A$241,"&gt;="&amp;$A148,Summary!$A$5:$A$241,"&lt;"&amp;$A148+7))</f>
        <v>0</v>
      </c>
      <c r="E148">
        <f>IF(E105="","",COUNTIFS(Summary!$E$5:$E$241,E105,Summary!$A$5:$A$241,"&gt;="&amp;$A148,Summary!$A$5:$A$241,"&lt;"&amp;$A148+7))</f>
        <v>0</v>
      </c>
      <c r="F148">
        <f>IF(F105="","",COUNTIFS(Summary!$E$5:$E$241,F105,Summary!$A$5:$A$241,"&gt;="&amp;$A148,Summary!$A$5:$A$241,"&lt;"&amp;$A148+7))</f>
        <v>0</v>
      </c>
      <c r="G148">
        <f>IF(G105="","",COUNTIFS(Summary!$E$5:$E$241,G105,Summary!$A$5:$A$241,"&gt;="&amp;$A148,Summary!$A$5:$A$241,"&lt;"&amp;$A148+7))</f>
        <v>0</v>
      </c>
      <c r="H148">
        <f>IF(H105="","",COUNTIFS(Summary!$E$5:$E$241,H105,Summary!$A$5:$A$241,"&gt;="&amp;$A148,Summary!$A$5:$A$241,"&lt;"&amp;$A148+7))</f>
        <v>0</v>
      </c>
      <c r="I148">
        <f>IF(I105="","",COUNTIFS(Summary!$E$5:$E$241,I105,Summary!$A$5:$A$241,"&gt;="&amp;$A148,Summary!$A$5:$A$241,"&lt;"&amp;$A148+7))</f>
        <v>0</v>
      </c>
      <c r="J148">
        <f>IF(J105="","",COUNTIFS(Summary!$E$5:$E$241,J105,Summary!$A$5:$A$241,"&gt;="&amp;$A148,Summary!$A$5:$A$241,"&lt;"&amp;$A148+7))</f>
        <v>0</v>
      </c>
      <c r="K148">
        <f>IF(K105="","",COUNTIFS(Summary!$E$5:$E$241,K105,Summary!$A$5:$A$241,"&gt;="&amp;$A148,Summary!$A$5:$A$241,"&lt;"&amp;$A148+7))</f>
        <v>0</v>
      </c>
      <c r="L148">
        <f>IF(L105="","",COUNTIFS(Summary!$E$5:$E$241,L105,Summary!$A$5:$A$241,"&gt;="&amp;$A148,Summary!$A$5:$A$241,"&lt;"&amp;$A148+7))</f>
        <v>0</v>
      </c>
      <c r="M148">
        <f>IF(M105="","",COUNTIFS(Summary!$E$5:$E$241,M105,Summary!$A$5:$A$241,"&gt;="&amp;$A148,Summary!$A$5:$A$241,"&lt;"&amp;$A148+7))</f>
        <v>0</v>
      </c>
      <c r="N148">
        <f>IF(N105="","",COUNTIFS(Summary!$E$5:$E$241,N105,Summary!$A$5:$A$241,"&gt;="&amp;$A148,Summary!$A$5:$A$241,"&lt;"&amp;$A148+7))</f>
        <v>0</v>
      </c>
      <c r="O148">
        <f>IF(O105="","",COUNTIFS(Summary!$E$5:$E$241,O105,Summary!$A$5:$A$241,"&gt;="&amp;$A148,Summary!$A$5:$A$241,"&lt;"&amp;$A148+7))</f>
        <v>0</v>
      </c>
      <c r="P148">
        <f>IF(P105="","",COUNTIFS(Summary!$E$5:$E$241,P105,Summary!$A$5:$A$241,"&gt;="&amp;$A148,Summary!$A$5:$A$241,"&lt;"&amp;$A148+7))</f>
        <v>0</v>
      </c>
      <c r="Q148">
        <f>IF(Q105="","",COUNTIFS(Summary!$E$5:$E$241,Q105,Summary!$A$5:$A$241,"&gt;="&amp;$A148,Summary!$A$5:$A$241,"&lt;"&amp;$A148+7))</f>
        <v>0</v>
      </c>
      <c r="R148">
        <f>IF(R105="","",COUNTIFS(Summary!$E$5:$E$241,R105,Summary!$A$5:$A$241,"&gt;="&amp;$A148,Summary!$A$5:$A$241,"&lt;"&amp;$A148+7))</f>
        <v>0</v>
      </c>
      <c r="S148">
        <f>IF(S105="","",COUNTIFS(Summary!$E$5:$E$241,S105,Summary!$A$5:$A$241,"&gt;="&amp;$A148,Summary!$A$5:$A$241,"&lt;"&amp;$A148+7))</f>
        <v>0</v>
      </c>
      <c r="T148">
        <f>IF(T105="","",COUNTIFS(Summary!$E$5:$E$241,T105,Summary!$A$5:$A$241,"&gt;="&amp;$A148,Summary!$A$5:$A$241,"&lt;"&amp;$A148+7))</f>
        <v>0</v>
      </c>
      <c r="U148">
        <f>IF(U105="","",COUNTIFS(Summary!$E$5:$E$241,U105,Summary!$A$5:$A$241,"&gt;="&amp;$A148,Summary!$A$5:$A$241,"&lt;"&amp;$A148+7))</f>
        <v>0</v>
      </c>
      <c r="V148">
        <f>IF(V105="","",COUNTIFS(Summary!$E$5:$E$241,V105,Summary!$A$5:$A$241,"&gt;="&amp;$A148,Summary!$A$5:$A$241,"&lt;"&amp;$A148+7))</f>
        <v>0</v>
      </c>
      <c r="W148">
        <f>IF(W105="","",COUNTIFS(Summary!$E$5:$E$241,W105,Summary!$A$5:$A$241,"&gt;="&amp;$A148,Summary!$A$5:$A$241,"&lt;"&amp;$A148+7))</f>
        <v>0</v>
      </c>
      <c r="X148">
        <f>IF(X105="","",COUNTIFS(Summary!$E$5:$E$241,X105,Summary!$A$5:$A$241,"&gt;="&amp;$A148,Summary!$A$5:$A$241,"&lt;"&amp;$A148+7))</f>
        <v>0</v>
      </c>
      <c r="Y148">
        <f>IF(Y105="","",COUNTIFS(Summary!$E$5:$E$241,Y105,Summary!$A$5:$A$241,"&gt;="&amp;$A148,Summary!$A$5:$A$241,"&lt;"&amp;$A148+7))</f>
        <v>0</v>
      </c>
      <c r="Z148">
        <f>IF(Z105="","",COUNTIFS(Summary!$E$5:$E$241,Z105,Summary!$A$5:$A$241,"&gt;="&amp;$A148,Summary!$A$5:$A$241,"&lt;"&amp;$A148+7))</f>
        <v>0</v>
      </c>
      <c r="AA148">
        <f>IF(AA105="","",COUNTIFS(Summary!$E$5:$E$241,AA105,Summary!$A$5:$A$241,"&gt;="&amp;$A148,Summary!$A$5:$A$241,"&lt;"&amp;$A148+7))</f>
        <v>0</v>
      </c>
      <c r="AB148">
        <f>IF(AB105="","",COUNTIFS(Summary!$E$5:$E$241,AB105,Summary!$A$5:$A$241,"&gt;="&amp;$A148,Summary!$A$5:$A$241,"&lt;"&amp;$A148+7))</f>
        <v>0</v>
      </c>
      <c r="AC148">
        <f>IF(AC105="","",COUNTIFS(Summary!$E$5:$E$241,AC105,Summary!$A$5:$A$241,"&gt;="&amp;$A148,Summary!$A$5:$A$241,"&lt;"&amp;$A148+7))</f>
        <v>0</v>
      </c>
      <c r="AD148">
        <f>IF(AD105="","",COUNTIFS(Summary!$E$5:$E$241,AD105,Summary!$A$5:$A$241,"&gt;="&amp;$A148,Summary!$A$5:$A$241,"&lt;"&amp;$A148+7))</f>
        <v>0</v>
      </c>
      <c r="AE148">
        <f>IF(AE105="","",COUNTIFS(Summary!$E$5:$E$241,AE105,Summary!$A$5:$A$241,"&gt;="&amp;$A148,Summary!$A$5:$A$241,"&lt;"&amp;$A148+7))</f>
        <v>0</v>
      </c>
      <c r="AF148">
        <f>IF(AF105="","",COUNTIFS(Summary!$E$5:$E$241,AF105,Summary!$A$5:$A$241,"&gt;="&amp;$A148,Summary!$A$5:$A$241,"&lt;"&amp;$A148+7))</f>
        <v>0</v>
      </c>
      <c r="AG148">
        <f>IF(AG105="","",COUNTIFS(Summary!$E$5:$E$241,AG105,Summary!$A$5:$A$241,"&gt;="&amp;$A148,Summary!$A$5:$A$241,"&lt;"&amp;$A148+7))</f>
        <v>0</v>
      </c>
      <c r="AH148">
        <f>IF(AH105="","",COUNTIFS(Summary!$E$5:$E$241,AH105,Summary!$A$5:$A$241,"&gt;="&amp;$A148,Summary!$A$5:$A$241,"&lt;"&amp;$A148+7))</f>
        <v>0</v>
      </c>
      <c r="AI148">
        <f>IF(AI105="","",COUNTIFS(Summary!$E$5:$E$241,AI105,Summary!$A$5:$A$241,"&gt;="&amp;$A148,Summary!$A$5:$A$241,"&lt;"&amp;$A148+7))</f>
        <v>0</v>
      </c>
      <c r="AJ148">
        <f>IF(AJ105="","",COUNTIFS(Summary!$E$5:$E$241,AJ105,Summary!$A$5:$A$241,"&gt;="&amp;$A148,Summary!$A$5:$A$241,"&lt;"&amp;$A148+7))</f>
        <v>0</v>
      </c>
      <c r="AK148">
        <f>IF(AK105="","",COUNTIFS(Summary!$E$5:$E$241,AK105,Summary!$A$5:$A$241,"&gt;="&amp;$A148,Summary!$A$5:$A$241,"&lt;"&amp;$A148+7))</f>
        <v>0</v>
      </c>
      <c r="AL148">
        <f>IF(AL105="","",COUNTIFS(Summary!$E$5:$E$241,AL105,Summary!$A$5:$A$241,"&gt;="&amp;$A148,Summary!$A$5:$A$241,"&lt;"&amp;$A148+7))</f>
        <v>0</v>
      </c>
      <c r="AM148">
        <f>IF(AM105="","",COUNTIFS(Summary!$E$5:$E$241,AM105,Summary!$A$5:$A$241,"&gt;="&amp;$A148,Summary!$A$5:$A$241,"&lt;"&amp;$A148+7))</f>
        <v>0</v>
      </c>
      <c r="AN148">
        <f>IF(AN105="","",COUNTIFS(Summary!$E$5:$E$241,AN105,Summary!$A$5:$A$241,"&gt;="&amp;$A148,Summary!$A$5:$A$241,"&lt;"&amp;$A148+7))</f>
        <v>0</v>
      </c>
      <c r="AO148">
        <f>IF(AO105="","",COUNTIFS(Summary!$E$5:$E$241,AO105,Summary!$A$5:$A$241,"&gt;="&amp;$A148,Summary!$A$5:$A$241,"&lt;"&amp;$A148+7))</f>
        <v>0</v>
      </c>
      <c r="AP148">
        <f>IF(AP105="","",COUNTIFS(Summary!$E$5:$E$241,AP105,Summary!$A$5:$A$241,"&gt;="&amp;$A148,Summary!$A$5:$A$241,"&lt;"&amp;$A148+7))</f>
        <v>0</v>
      </c>
      <c r="AQ148">
        <f>IF(AQ105="","",COUNTIFS(Summary!$E$5:$E$241,AQ105,Summary!$A$5:$A$241,"&gt;="&amp;$A148,Summary!$A$5:$A$241,"&lt;"&amp;$A148+7))</f>
        <v>0</v>
      </c>
      <c r="AR148">
        <f>IF(AR105="","",COUNTIFS(Summary!$E$5:$E$241,AR105,Summary!$A$5:$A$241,"&gt;="&amp;$A148,Summary!$A$5:$A$241,"&lt;"&amp;$A148+7))</f>
        <v>0</v>
      </c>
      <c r="AS148">
        <f>IF(AS105="","",COUNTIFS(Summary!$E$5:$E$241,AS105,Summary!$A$5:$A$241,"&gt;="&amp;$A148,Summary!$A$5:$A$241,"&lt;"&amp;$A148+7))</f>
        <v>0</v>
      </c>
      <c r="AT148">
        <f>IF(AT105="","",COUNTIFS(Summary!$E$5:$E$241,AT105,Summary!$A$5:$A$241,"&gt;="&amp;$A148,Summary!$A$5:$A$241,"&lt;"&amp;$A148+7))</f>
        <v>0</v>
      </c>
      <c r="AU148">
        <f>IF(AU105="","",COUNTIFS(Summary!$E$5:$E$241,AU105,Summary!$A$5:$A$241,"&gt;="&amp;$A148,Summary!$A$5:$A$241,"&lt;"&amp;$A148+7))</f>
        <v>0</v>
      </c>
      <c r="AV148">
        <f>IF(AV105="","",COUNTIFS(Summary!$E$5:$E$241,AV105,Summary!$A$5:$A$241,"&gt;="&amp;$A148,Summary!$A$5:$A$241,"&lt;"&amp;$A148+7))</f>
        <v>0</v>
      </c>
      <c r="AW148">
        <f>IF(AW105="","",COUNTIFS(Summary!$E$5:$E$241,AW105,Summary!$A$5:$A$241,"&gt;="&amp;$A148,Summary!$A$5:$A$241,"&lt;"&amp;$A148+7))</f>
        <v>0</v>
      </c>
      <c r="AX148">
        <f>IF(AX105="","",COUNTIFS(Summary!$E$5:$E$241,AX105,Summary!$A$5:$A$241,"&gt;="&amp;$A148,Summary!$A$5:$A$241,"&lt;"&amp;$A148+7))</f>
        <v>0</v>
      </c>
      <c r="AY148">
        <f>IF(AY105="","",COUNTIFS(Summary!$E$5:$E$241,AY105,Summary!$A$5:$A$241,"&gt;="&amp;$A148,Summary!$A$5:$A$241,"&lt;"&amp;$A148+7))</f>
        <v>0</v>
      </c>
      <c r="AZ148">
        <f>IF(AZ105="","",COUNTIFS(Summary!$E$5:$E$241,AZ105,Summary!$A$5:$A$241,"&gt;="&amp;$A148,Summary!$A$5:$A$241,"&lt;"&amp;$A148+7))</f>
        <v>0</v>
      </c>
      <c r="BA148">
        <f>IF(BA105="","",COUNTIFS(Summary!$E$5:$E$241,BA105,Summary!$A$5:$A$241,"&gt;="&amp;$A148,Summary!$A$5:$A$241,"&lt;"&amp;$A148+7))</f>
        <v>0</v>
      </c>
      <c r="BB148">
        <f>IF(BB105="","",COUNTIFS(Summary!$E$5:$E$241,BB105,Summary!$A$5:$A$241,"&gt;="&amp;$A148,Summary!$A$5:$A$241,"&lt;"&amp;$A148+7))</f>
        <v>0</v>
      </c>
      <c r="BC148">
        <f>IF(BC105="","",COUNTIFS(Summary!$E$5:$E$241,BC105,Summary!$A$5:$A$241,"&gt;="&amp;$A148,Summary!$A$5:$A$241,"&lt;"&amp;$A148+7))</f>
        <v>0</v>
      </c>
      <c r="BD148">
        <f>IF(BD105="","",COUNTIFS(Summary!$E$5:$E$241,BD105,Summary!$A$5:$A$241,"&gt;="&amp;$A148,Summary!$A$5:$A$241,"&lt;"&amp;$A148+7))</f>
        <v>0</v>
      </c>
      <c r="BE148">
        <f>IF(BE105="","",COUNTIFS(Summary!$E$5:$E$241,BE105,Summary!$A$5:$A$241,"&gt;="&amp;$A148,Summary!$A$5:$A$241,"&lt;"&amp;$A148+7))</f>
        <v>0</v>
      </c>
      <c r="BF148" s="28">
        <f>IF(BF105="","",COUNTIFS(Summary!$E$5:$E$241,BF105,Summary!$A$5:$A$241,"&gt;="&amp;$A148,Summary!$A$5:$A$241,"&lt;"&amp;$A148+7))</f>
        <v>0</v>
      </c>
    </row>
    <row r="149" spans="1:58">
      <c r="A149" s="18">
        <f t="shared" si="9"/>
        <v>46391.344340277778</v>
      </c>
      <c r="B149" s="2" t="str">
        <f t="shared" si="8"/>
        <v>Jan 4</v>
      </c>
      <c r="C149">
        <f>IF(C105="","",COUNTIFS(Summary!$E$5:$E$241,C105,Summary!$A$5:$A$241,"&gt;="&amp;$A149,Summary!$A$5:$A$241,"&lt;"&amp;$A149+7))</f>
        <v>0</v>
      </c>
      <c r="D149">
        <f>IF(D105="","",COUNTIFS(Summary!$E$5:$E$241,D105,Summary!$A$5:$A$241,"&gt;="&amp;$A149,Summary!$A$5:$A$241,"&lt;"&amp;$A149+7))</f>
        <v>0</v>
      </c>
      <c r="E149">
        <f>IF(E105="","",COUNTIFS(Summary!$E$5:$E$241,E105,Summary!$A$5:$A$241,"&gt;="&amp;$A149,Summary!$A$5:$A$241,"&lt;"&amp;$A149+7))</f>
        <v>0</v>
      </c>
      <c r="F149">
        <f>IF(F105="","",COUNTIFS(Summary!$E$5:$E$241,F105,Summary!$A$5:$A$241,"&gt;="&amp;$A149,Summary!$A$5:$A$241,"&lt;"&amp;$A149+7))</f>
        <v>0</v>
      </c>
      <c r="G149">
        <f>IF(G105="","",COUNTIFS(Summary!$E$5:$E$241,G105,Summary!$A$5:$A$241,"&gt;="&amp;$A149,Summary!$A$5:$A$241,"&lt;"&amp;$A149+7))</f>
        <v>0</v>
      </c>
      <c r="H149">
        <f>IF(H105="","",COUNTIFS(Summary!$E$5:$E$241,H105,Summary!$A$5:$A$241,"&gt;="&amp;$A149,Summary!$A$5:$A$241,"&lt;"&amp;$A149+7))</f>
        <v>0</v>
      </c>
      <c r="I149">
        <f>IF(I105="","",COUNTIFS(Summary!$E$5:$E$241,I105,Summary!$A$5:$A$241,"&gt;="&amp;$A149,Summary!$A$5:$A$241,"&lt;"&amp;$A149+7))</f>
        <v>0</v>
      </c>
      <c r="J149">
        <f>IF(J105="","",COUNTIFS(Summary!$E$5:$E$241,J105,Summary!$A$5:$A$241,"&gt;="&amp;$A149,Summary!$A$5:$A$241,"&lt;"&amp;$A149+7))</f>
        <v>0</v>
      </c>
      <c r="K149">
        <f>IF(K105="","",COUNTIFS(Summary!$E$5:$E$241,K105,Summary!$A$5:$A$241,"&gt;="&amp;$A149,Summary!$A$5:$A$241,"&lt;"&amp;$A149+7))</f>
        <v>0</v>
      </c>
      <c r="L149">
        <f>IF(L105="","",COUNTIFS(Summary!$E$5:$E$241,L105,Summary!$A$5:$A$241,"&gt;="&amp;$A149,Summary!$A$5:$A$241,"&lt;"&amp;$A149+7))</f>
        <v>0</v>
      </c>
      <c r="M149">
        <f>IF(M105="","",COUNTIFS(Summary!$E$5:$E$241,M105,Summary!$A$5:$A$241,"&gt;="&amp;$A149,Summary!$A$5:$A$241,"&lt;"&amp;$A149+7))</f>
        <v>0</v>
      </c>
      <c r="N149">
        <f>IF(N105="","",COUNTIFS(Summary!$E$5:$E$241,N105,Summary!$A$5:$A$241,"&gt;="&amp;$A149,Summary!$A$5:$A$241,"&lt;"&amp;$A149+7))</f>
        <v>0</v>
      </c>
      <c r="O149">
        <f>IF(O105="","",COUNTIFS(Summary!$E$5:$E$241,O105,Summary!$A$5:$A$241,"&gt;="&amp;$A149,Summary!$A$5:$A$241,"&lt;"&amp;$A149+7))</f>
        <v>0</v>
      </c>
      <c r="P149">
        <f>IF(P105="","",COUNTIFS(Summary!$E$5:$E$241,P105,Summary!$A$5:$A$241,"&gt;="&amp;$A149,Summary!$A$5:$A$241,"&lt;"&amp;$A149+7))</f>
        <v>0</v>
      </c>
      <c r="Q149">
        <f>IF(Q105="","",COUNTIFS(Summary!$E$5:$E$241,Q105,Summary!$A$5:$A$241,"&gt;="&amp;$A149,Summary!$A$5:$A$241,"&lt;"&amp;$A149+7))</f>
        <v>0</v>
      </c>
      <c r="R149">
        <f>IF(R105="","",COUNTIFS(Summary!$E$5:$E$241,R105,Summary!$A$5:$A$241,"&gt;="&amp;$A149,Summary!$A$5:$A$241,"&lt;"&amp;$A149+7))</f>
        <v>0</v>
      </c>
      <c r="S149">
        <f>IF(S105="","",COUNTIFS(Summary!$E$5:$E$241,S105,Summary!$A$5:$A$241,"&gt;="&amp;$A149,Summary!$A$5:$A$241,"&lt;"&amp;$A149+7))</f>
        <v>0</v>
      </c>
      <c r="T149">
        <f>IF(T105="","",COUNTIFS(Summary!$E$5:$E$241,T105,Summary!$A$5:$A$241,"&gt;="&amp;$A149,Summary!$A$5:$A$241,"&lt;"&amp;$A149+7))</f>
        <v>0</v>
      </c>
      <c r="U149">
        <f>IF(U105="","",COUNTIFS(Summary!$E$5:$E$241,U105,Summary!$A$5:$A$241,"&gt;="&amp;$A149,Summary!$A$5:$A$241,"&lt;"&amp;$A149+7))</f>
        <v>0</v>
      </c>
      <c r="V149">
        <f>IF(V105="","",COUNTIFS(Summary!$E$5:$E$241,V105,Summary!$A$5:$A$241,"&gt;="&amp;$A149,Summary!$A$5:$A$241,"&lt;"&amp;$A149+7))</f>
        <v>0</v>
      </c>
      <c r="W149">
        <f>IF(W105="","",COUNTIFS(Summary!$E$5:$E$241,W105,Summary!$A$5:$A$241,"&gt;="&amp;$A149,Summary!$A$5:$A$241,"&lt;"&amp;$A149+7))</f>
        <v>0</v>
      </c>
      <c r="X149">
        <f>IF(X105="","",COUNTIFS(Summary!$E$5:$E$241,X105,Summary!$A$5:$A$241,"&gt;="&amp;$A149,Summary!$A$5:$A$241,"&lt;"&amp;$A149+7))</f>
        <v>0</v>
      </c>
      <c r="Y149">
        <f>IF(Y105="","",COUNTIFS(Summary!$E$5:$E$241,Y105,Summary!$A$5:$A$241,"&gt;="&amp;$A149,Summary!$A$5:$A$241,"&lt;"&amp;$A149+7))</f>
        <v>0</v>
      </c>
      <c r="Z149">
        <f>IF(Z105="","",COUNTIFS(Summary!$E$5:$E$241,Z105,Summary!$A$5:$A$241,"&gt;="&amp;$A149,Summary!$A$5:$A$241,"&lt;"&amp;$A149+7))</f>
        <v>0</v>
      </c>
      <c r="AA149">
        <f>IF(AA105="","",COUNTIFS(Summary!$E$5:$E$241,AA105,Summary!$A$5:$A$241,"&gt;="&amp;$A149,Summary!$A$5:$A$241,"&lt;"&amp;$A149+7))</f>
        <v>0</v>
      </c>
      <c r="AB149">
        <f>IF(AB105="","",COUNTIFS(Summary!$E$5:$E$241,AB105,Summary!$A$5:$A$241,"&gt;="&amp;$A149,Summary!$A$5:$A$241,"&lt;"&amp;$A149+7))</f>
        <v>0</v>
      </c>
      <c r="AC149">
        <f>IF(AC105="","",COUNTIFS(Summary!$E$5:$E$241,AC105,Summary!$A$5:$A$241,"&gt;="&amp;$A149,Summary!$A$5:$A$241,"&lt;"&amp;$A149+7))</f>
        <v>0</v>
      </c>
      <c r="AD149">
        <f>IF(AD105="","",COUNTIFS(Summary!$E$5:$E$241,AD105,Summary!$A$5:$A$241,"&gt;="&amp;$A149,Summary!$A$5:$A$241,"&lt;"&amp;$A149+7))</f>
        <v>0</v>
      </c>
      <c r="AE149">
        <f>IF(AE105="","",COUNTIFS(Summary!$E$5:$E$241,AE105,Summary!$A$5:$A$241,"&gt;="&amp;$A149,Summary!$A$5:$A$241,"&lt;"&amp;$A149+7))</f>
        <v>0</v>
      </c>
      <c r="AF149">
        <f>IF(AF105="","",COUNTIFS(Summary!$E$5:$E$241,AF105,Summary!$A$5:$A$241,"&gt;="&amp;$A149,Summary!$A$5:$A$241,"&lt;"&amp;$A149+7))</f>
        <v>0</v>
      </c>
      <c r="AG149">
        <f>IF(AG105="","",COUNTIFS(Summary!$E$5:$E$241,AG105,Summary!$A$5:$A$241,"&gt;="&amp;$A149,Summary!$A$5:$A$241,"&lt;"&amp;$A149+7))</f>
        <v>0</v>
      </c>
      <c r="AH149">
        <f>IF(AH105="","",COUNTIFS(Summary!$E$5:$E$241,AH105,Summary!$A$5:$A$241,"&gt;="&amp;$A149,Summary!$A$5:$A$241,"&lt;"&amp;$A149+7))</f>
        <v>0</v>
      </c>
      <c r="AI149">
        <f>IF(AI105="","",COUNTIFS(Summary!$E$5:$E$241,AI105,Summary!$A$5:$A$241,"&gt;="&amp;$A149,Summary!$A$5:$A$241,"&lt;"&amp;$A149+7))</f>
        <v>0</v>
      </c>
      <c r="AJ149">
        <f>IF(AJ105="","",COUNTIFS(Summary!$E$5:$E$241,AJ105,Summary!$A$5:$A$241,"&gt;="&amp;$A149,Summary!$A$5:$A$241,"&lt;"&amp;$A149+7))</f>
        <v>0</v>
      </c>
      <c r="AK149">
        <f>IF(AK105="","",COUNTIFS(Summary!$E$5:$E$241,AK105,Summary!$A$5:$A$241,"&gt;="&amp;$A149,Summary!$A$5:$A$241,"&lt;"&amp;$A149+7))</f>
        <v>0</v>
      </c>
      <c r="AL149">
        <f>IF(AL105="","",COUNTIFS(Summary!$E$5:$E$241,AL105,Summary!$A$5:$A$241,"&gt;="&amp;$A149,Summary!$A$5:$A$241,"&lt;"&amp;$A149+7))</f>
        <v>0</v>
      </c>
      <c r="AM149">
        <f>IF(AM105="","",COUNTIFS(Summary!$E$5:$E$241,AM105,Summary!$A$5:$A$241,"&gt;="&amp;$A149,Summary!$A$5:$A$241,"&lt;"&amp;$A149+7))</f>
        <v>0</v>
      </c>
      <c r="AN149">
        <f>IF(AN105="","",COUNTIFS(Summary!$E$5:$E$241,AN105,Summary!$A$5:$A$241,"&gt;="&amp;$A149,Summary!$A$5:$A$241,"&lt;"&amp;$A149+7))</f>
        <v>0</v>
      </c>
      <c r="AO149">
        <f>IF(AO105="","",COUNTIFS(Summary!$E$5:$E$241,AO105,Summary!$A$5:$A$241,"&gt;="&amp;$A149,Summary!$A$5:$A$241,"&lt;"&amp;$A149+7))</f>
        <v>0</v>
      </c>
      <c r="AP149">
        <f>IF(AP105="","",COUNTIFS(Summary!$E$5:$E$241,AP105,Summary!$A$5:$A$241,"&gt;="&amp;$A149,Summary!$A$5:$A$241,"&lt;"&amp;$A149+7))</f>
        <v>0</v>
      </c>
      <c r="AQ149">
        <f>IF(AQ105="","",COUNTIFS(Summary!$E$5:$E$241,AQ105,Summary!$A$5:$A$241,"&gt;="&amp;$A149,Summary!$A$5:$A$241,"&lt;"&amp;$A149+7))</f>
        <v>0</v>
      </c>
      <c r="AR149">
        <f>IF(AR105="","",COUNTIFS(Summary!$E$5:$E$241,AR105,Summary!$A$5:$A$241,"&gt;="&amp;$A149,Summary!$A$5:$A$241,"&lt;"&amp;$A149+7))</f>
        <v>0</v>
      </c>
      <c r="AS149">
        <f>IF(AS105="","",COUNTIFS(Summary!$E$5:$E$241,AS105,Summary!$A$5:$A$241,"&gt;="&amp;$A149,Summary!$A$5:$A$241,"&lt;"&amp;$A149+7))</f>
        <v>0</v>
      </c>
      <c r="AT149">
        <f>IF(AT105="","",COUNTIFS(Summary!$E$5:$E$241,AT105,Summary!$A$5:$A$241,"&gt;="&amp;$A149,Summary!$A$5:$A$241,"&lt;"&amp;$A149+7))</f>
        <v>0</v>
      </c>
      <c r="AU149">
        <f>IF(AU105="","",COUNTIFS(Summary!$E$5:$E$241,AU105,Summary!$A$5:$A$241,"&gt;="&amp;$A149,Summary!$A$5:$A$241,"&lt;"&amp;$A149+7))</f>
        <v>0</v>
      </c>
      <c r="AV149">
        <f>IF(AV105="","",COUNTIFS(Summary!$E$5:$E$241,AV105,Summary!$A$5:$A$241,"&gt;="&amp;$A149,Summary!$A$5:$A$241,"&lt;"&amp;$A149+7))</f>
        <v>0</v>
      </c>
      <c r="AW149">
        <f>IF(AW105="","",COUNTIFS(Summary!$E$5:$E$241,AW105,Summary!$A$5:$A$241,"&gt;="&amp;$A149,Summary!$A$5:$A$241,"&lt;"&amp;$A149+7))</f>
        <v>0</v>
      </c>
      <c r="AX149">
        <f>IF(AX105="","",COUNTIFS(Summary!$E$5:$E$241,AX105,Summary!$A$5:$A$241,"&gt;="&amp;$A149,Summary!$A$5:$A$241,"&lt;"&amp;$A149+7))</f>
        <v>0</v>
      </c>
      <c r="AY149">
        <f>IF(AY105="","",COUNTIFS(Summary!$E$5:$E$241,AY105,Summary!$A$5:$A$241,"&gt;="&amp;$A149,Summary!$A$5:$A$241,"&lt;"&amp;$A149+7))</f>
        <v>0</v>
      </c>
      <c r="AZ149">
        <f>IF(AZ105="","",COUNTIFS(Summary!$E$5:$E$241,AZ105,Summary!$A$5:$A$241,"&gt;="&amp;$A149,Summary!$A$5:$A$241,"&lt;"&amp;$A149+7))</f>
        <v>0</v>
      </c>
      <c r="BA149">
        <f>IF(BA105="","",COUNTIFS(Summary!$E$5:$E$241,BA105,Summary!$A$5:$A$241,"&gt;="&amp;$A149,Summary!$A$5:$A$241,"&lt;"&amp;$A149+7))</f>
        <v>0</v>
      </c>
      <c r="BB149">
        <f>IF(BB105="","",COUNTIFS(Summary!$E$5:$E$241,BB105,Summary!$A$5:$A$241,"&gt;="&amp;$A149,Summary!$A$5:$A$241,"&lt;"&amp;$A149+7))</f>
        <v>0</v>
      </c>
      <c r="BC149">
        <f>IF(BC105="","",COUNTIFS(Summary!$E$5:$E$241,BC105,Summary!$A$5:$A$241,"&gt;="&amp;$A149,Summary!$A$5:$A$241,"&lt;"&amp;$A149+7))</f>
        <v>0</v>
      </c>
      <c r="BD149">
        <f>IF(BD105="","",COUNTIFS(Summary!$E$5:$E$241,BD105,Summary!$A$5:$A$241,"&gt;="&amp;$A149,Summary!$A$5:$A$241,"&lt;"&amp;$A149+7))</f>
        <v>0</v>
      </c>
      <c r="BE149">
        <f>IF(BE105="","",COUNTIFS(Summary!$E$5:$E$241,BE105,Summary!$A$5:$A$241,"&gt;="&amp;$A149,Summary!$A$5:$A$241,"&lt;"&amp;$A149+7))</f>
        <v>0</v>
      </c>
      <c r="BF149" s="28">
        <f>IF(BF105="","",COUNTIFS(Summary!$E$5:$E$241,BF105,Summary!$A$5:$A$241,"&gt;="&amp;$A149,Summary!$A$5:$A$241,"&lt;"&amp;$A149+7))</f>
        <v>0</v>
      </c>
    </row>
    <row r="150" spans="1:58">
      <c r="A150" s="18">
        <f t="shared" si="9"/>
        <v>46398.344340277778</v>
      </c>
      <c r="B150" s="2" t="str">
        <f t="shared" si="8"/>
        <v>Jan 11</v>
      </c>
      <c r="C150">
        <f>IF(C105="","",COUNTIFS(Summary!$E$5:$E$241,C105,Summary!$A$5:$A$241,"&gt;="&amp;$A150,Summary!$A$5:$A$241,"&lt;"&amp;$A150+7))</f>
        <v>0</v>
      </c>
      <c r="D150">
        <f>IF(D105="","",COUNTIFS(Summary!$E$5:$E$241,D105,Summary!$A$5:$A$241,"&gt;="&amp;$A150,Summary!$A$5:$A$241,"&lt;"&amp;$A150+7))</f>
        <v>0</v>
      </c>
      <c r="E150">
        <f>IF(E105="","",COUNTIFS(Summary!$E$5:$E$241,E105,Summary!$A$5:$A$241,"&gt;="&amp;$A150,Summary!$A$5:$A$241,"&lt;"&amp;$A150+7))</f>
        <v>0</v>
      </c>
      <c r="F150">
        <f>IF(F105="","",COUNTIFS(Summary!$E$5:$E$241,F105,Summary!$A$5:$A$241,"&gt;="&amp;$A150,Summary!$A$5:$A$241,"&lt;"&amp;$A150+7))</f>
        <v>0</v>
      </c>
      <c r="G150">
        <f>IF(G105="","",COUNTIFS(Summary!$E$5:$E$241,G105,Summary!$A$5:$A$241,"&gt;="&amp;$A150,Summary!$A$5:$A$241,"&lt;"&amp;$A150+7))</f>
        <v>0</v>
      </c>
      <c r="H150">
        <f>IF(H105="","",COUNTIFS(Summary!$E$5:$E$241,H105,Summary!$A$5:$A$241,"&gt;="&amp;$A150,Summary!$A$5:$A$241,"&lt;"&amp;$A150+7))</f>
        <v>0</v>
      </c>
      <c r="I150">
        <f>IF(I105="","",COUNTIFS(Summary!$E$5:$E$241,I105,Summary!$A$5:$A$241,"&gt;="&amp;$A150,Summary!$A$5:$A$241,"&lt;"&amp;$A150+7))</f>
        <v>0</v>
      </c>
      <c r="J150">
        <f>IF(J105="","",COUNTIFS(Summary!$E$5:$E$241,J105,Summary!$A$5:$A$241,"&gt;="&amp;$A150,Summary!$A$5:$A$241,"&lt;"&amp;$A150+7))</f>
        <v>0</v>
      </c>
      <c r="K150">
        <f>IF(K105="","",COUNTIFS(Summary!$E$5:$E$241,K105,Summary!$A$5:$A$241,"&gt;="&amp;$A150,Summary!$A$5:$A$241,"&lt;"&amp;$A150+7))</f>
        <v>0</v>
      </c>
      <c r="L150">
        <f>IF(L105="","",COUNTIFS(Summary!$E$5:$E$241,L105,Summary!$A$5:$A$241,"&gt;="&amp;$A150,Summary!$A$5:$A$241,"&lt;"&amp;$A150+7))</f>
        <v>0</v>
      </c>
      <c r="M150">
        <f>IF(M105="","",COUNTIFS(Summary!$E$5:$E$241,M105,Summary!$A$5:$A$241,"&gt;="&amp;$A150,Summary!$A$5:$A$241,"&lt;"&amp;$A150+7))</f>
        <v>0</v>
      </c>
      <c r="N150">
        <f>IF(N105="","",COUNTIFS(Summary!$E$5:$E$241,N105,Summary!$A$5:$A$241,"&gt;="&amp;$A150,Summary!$A$5:$A$241,"&lt;"&amp;$A150+7))</f>
        <v>0</v>
      </c>
      <c r="O150">
        <f>IF(O105="","",COUNTIFS(Summary!$E$5:$E$241,O105,Summary!$A$5:$A$241,"&gt;="&amp;$A150,Summary!$A$5:$A$241,"&lt;"&amp;$A150+7))</f>
        <v>0</v>
      </c>
      <c r="P150">
        <f>IF(P105="","",COUNTIFS(Summary!$E$5:$E$241,P105,Summary!$A$5:$A$241,"&gt;="&amp;$A150,Summary!$A$5:$A$241,"&lt;"&amp;$A150+7))</f>
        <v>0</v>
      </c>
      <c r="Q150">
        <f>IF(Q105="","",COUNTIFS(Summary!$E$5:$E$241,Q105,Summary!$A$5:$A$241,"&gt;="&amp;$A150,Summary!$A$5:$A$241,"&lt;"&amp;$A150+7))</f>
        <v>0</v>
      </c>
      <c r="R150">
        <f>IF(R105="","",COUNTIFS(Summary!$E$5:$E$241,R105,Summary!$A$5:$A$241,"&gt;="&amp;$A150,Summary!$A$5:$A$241,"&lt;"&amp;$A150+7))</f>
        <v>0</v>
      </c>
      <c r="S150">
        <f>IF(S105="","",COUNTIFS(Summary!$E$5:$E$241,S105,Summary!$A$5:$A$241,"&gt;="&amp;$A150,Summary!$A$5:$A$241,"&lt;"&amp;$A150+7))</f>
        <v>0</v>
      </c>
      <c r="T150">
        <f>IF(T105="","",COUNTIFS(Summary!$E$5:$E$241,T105,Summary!$A$5:$A$241,"&gt;="&amp;$A150,Summary!$A$5:$A$241,"&lt;"&amp;$A150+7))</f>
        <v>0</v>
      </c>
      <c r="U150">
        <f>IF(U105="","",COUNTIFS(Summary!$E$5:$E$241,U105,Summary!$A$5:$A$241,"&gt;="&amp;$A150,Summary!$A$5:$A$241,"&lt;"&amp;$A150+7))</f>
        <v>0</v>
      </c>
      <c r="V150">
        <f>IF(V105="","",COUNTIFS(Summary!$E$5:$E$241,V105,Summary!$A$5:$A$241,"&gt;="&amp;$A150,Summary!$A$5:$A$241,"&lt;"&amp;$A150+7))</f>
        <v>0</v>
      </c>
      <c r="W150">
        <f>IF(W105="","",COUNTIFS(Summary!$E$5:$E$241,W105,Summary!$A$5:$A$241,"&gt;="&amp;$A150,Summary!$A$5:$A$241,"&lt;"&amp;$A150+7))</f>
        <v>0</v>
      </c>
      <c r="X150">
        <f>IF(X105="","",COUNTIFS(Summary!$E$5:$E$241,X105,Summary!$A$5:$A$241,"&gt;="&amp;$A150,Summary!$A$5:$A$241,"&lt;"&amp;$A150+7))</f>
        <v>0</v>
      </c>
      <c r="Y150">
        <f>IF(Y105="","",COUNTIFS(Summary!$E$5:$E$241,Y105,Summary!$A$5:$A$241,"&gt;="&amp;$A150,Summary!$A$5:$A$241,"&lt;"&amp;$A150+7))</f>
        <v>0</v>
      </c>
      <c r="Z150">
        <f>IF(Z105="","",COUNTIFS(Summary!$E$5:$E$241,Z105,Summary!$A$5:$A$241,"&gt;="&amp;$A150,Summary!$A$5:$A$241,"&lt;"&amp;$A150+7))</f>
        <v>0</v>
      </c>
      <c r="AA150">
        <f>IF(AA105="","",COUNTIFS(Summary!$E$5:$E$241,AA105,Summary!$A$5:$A$241,"&gt;="&amp;$A150,Summary!$A$5:$A$241,"&lt;"&amp;$A150+7))</f>
        <v>0</v>
      </c>
      <c r="AB150">
        <f>IF(AB105="","",COUNTIFS(Summary!$E$5:$E$241,AB105,Summary!$A$5:$A$241,"&gt;="&amp;$A150,Summary!$A$5:$A$241,"&lt;"&amp;$A150+7))</f>
        <v>0</v>
      </c>
      <c r="AC150">
        <f>IF(AC105="","",COUNTIFS(Summary!$E$5:$E$241,AC105,Summary!$A$5:$A$241,"&gt;="&amp;$A150,Summary!$A$5:$A$241,"&lt;"&amp;$A150+7))</f>
        <v>0</v>
      </c>
      <c r="AD150">
        <f>IF(AD105="","",COUNTIFS(Summary!$E$5:$E$241,AD105,Summary!$A$5:$A$241,"&gt;="&amp;$A150,Summary!$A$5:$A$241,"&lt;"&amp;$A150+7))</f>
        <v>0</v>
      </c>
      <c r="AE150">
        <f>IF(AE105="","",COUNTIFS(Summary!$E$5:$E$241,AE105,Summary!$A$5:$A$241,"&gt;="&amp;$A150,Summary!$A$5:$A$241,"&lt;"&amp;$A150+7))</f>
        <v>0</v>
      </c>
      <c r="AF150">
        <f>IF(AF105="","",COUNTIFS(Summary!$E$5:$E$241,AF105,Summary!$A$5:$A$241,"&gt;="&amp;$A150,Summary!$A$5:$A$241,"&lt;"&amp;$A150+7))</f>
        <v>0</v>
      </c>
      <c r="AG150">
        <f>IF(AG105="","",COUNTIFS(Summary!$E$5:$E$241,AG105,Summary!$A$5:$A$241,"&gt;="&amp;$A150,Summary!$A$5:$A$241,"&lt;"&amp;$A150+7))</f>
        <v>0</v>
      </c>
      <c r="AH150">
        <f>IF(AH105="","",COUNTIFS(Summary!$E$5:$E$241,AH105,Summary!$A$5:$A$241,"&gt;="&amp;$A150,Summary!$A$5:$A$241,"&lt;"&amp;$A150+7))</f>
        <v>0</v>
      </c>
      <c r="AI150">
        <f>IF(AI105="","",COUNTIFS(Summary!$E$5:$E$241,AI105,Summary!$A$5:$A$241,"&gt;="&amp;$A150,Summary!$A$5:$A$241,"&lt;"&amp;$A150+7))</f>
        <v>0</v>
      </c>
      <c r="AJ150">
        <f>IF(AJ105="","",COUNTIFS(Summary!$E$5:$E$241,AJ105,Summary!$A$5:$A$241,"&gt;="&amp;$A150,Summary!$A$5:$A$241,"&lt;"&amp;$A150+7))</f>
        <v>0</v>
      </c>
      <c r="AK150">
        <f>IF(AK105="","",COUNTIFS(Summary!$E$5:$E$241,AK105,Summary!$A$5:$A$241,"&gt;="&amp;$A150,Summary!$A$5:$A$241,"&lt;"&amp;$A150+7))</f>
        <v>0</v>
      </c>
      <c r="AL150">
        <f>IF(AL105="","",COUNTIFS(Summary!$E$5:$E$241,AL105,Summary!$A$5:$A$241,"&gt;="&amp;$A150,Summary!$A$5:$A$241,"&lt;"&amp;$A150+7))</f>
        <v>0</v>
      </c>
      <c r="AM150">
        <f>IF(AM105="","",COUNTIFS(Summary!$E$5:$E$241,AM105,Summary!$A$5:$A$241,"&gt;="&amp;$A150,Summary!$A$5:$A$241,"&lt;"&amp;$A150+7))</f>
        <v>0</v>
      </c>
      <c r="AN150">
        <f>IF(AN105="","",COUNTIFS(Summary!$E$5:$E$241,AN105,Summary!$A$5:$A$241,"&gt;="&amp;$A150,Summary!$A$5:$A$241,"&lt;"&amp;$A150+7))</f>
        <v>0</v>
      </c>
      <c r="AO150">
        <f>IF(AO105="","",COUNTIFS(Summary!$E$5:$E$241,AO105,Summary!$A$5:$A$241,"&gt;="&amp;$A150,Summary!$A$5:$A$241,"&lt;"&amp;$A150+7))</f>
        <v>0</v>
      </c>
      <c r="AP150">
        <f>IF(AP105="","",COUNTIFS(Summary!$E$5:$E$241,AP105,Summary!$A$5:$A$241,"&gt;="&amp;$A150,Summary!$A$5:$A$241,"&lt;"&amp;$A150+7))</f>
        <v>0</v>
      </c>
      <c r="AQ150">
        <f>IF(AQ105="","",COUNTIFS(Summary!$E$5:$E$241,AQ105,Summary!$A$5:$A$241,"&gt;="&amp;$A150,Summary!$A$5:$A$241,"&lt;"&amp;$A150+7))</f>
        <v>0</v>
      </c>
      <c r="AR150">
        <f>IF(AR105="","",COUNTIFS(Summary!$E$5:$E$241,AR105,Summary!$A$5:$A$241,"&gt;="&amp;$A150,Summary!$A$5:$A$241,"&lt;"&amp;$A150+7))</f>
        <v>0</v>
      </c>
      <c r="AS150">
        <f>IF(AS105="","",COUNTIFS(Summary!$E$5:$E$241,AS105,Summary!$A$5:$A$241,"&gt;="&amp;$A150,Summary!$A$5:$A$241,"&lt;"&amp;$A150+7))</f>
        <v>0</v>
      </c>
      <c r="AT150">
        <f>IF(AT105="","",COUNTIFS(Summary!$E$5:$E$241,AT105,Summary!$A$5:$A$241,"&gt;="&amp;$A150,Summary!$A$5:$A$241,"&lt;"&amp;$A150+7))</f>
        <v>0</v>
      </c>
      <c r="AU150">
        <f>IF(AU105="","",COUNTIFS(Summary!$E$5:$E$241,AU105,Summary!$A$5:$A$241,"&gt;="&amp;$A150,Summary!$A$5:$A$241,"&lt;"&amp;$A150+7))</f>
        <v>0</v>
      </c>
      <c r="AV150">
        <f>IF(AV105="","",COUNTIFS(Summary!$E$5:$E$241,AV105,Summary!$A$5:$A$241,"&gt;="&amp;$A150,Summary!$A$5:$A$241,"&lt;"&amp;$A150+7))</f>
        <v>0</v>
      </c>
      <c r="AW150">
        <f>IF(AW105="","",COUNTIFS(Summary!$E$5:$E$241,AW105,Summary!$A$5:$A$241,"&gt;="&amp;$A150,Summary!$A$5:$A$241,"&lt;"&amp;$A150+7))</f>
        <v>0</v>
      </c>
      <c r="AX150">
        <f>IF(AX105="","",COUNTIFS(Summary!$E$5:$E$241,AX105,Summary!$A$5:$A$241,"&gt;="&amp;$A150,Summary!$A$5:$A$241,"&lt;"&amp;$A150+7))</f>
        <v>0</v>
      </c>
      <c r="AY150">
        <f>IF(AY105="","",COUNTIFS(Summary!$E$5:$E$241,AY105,Summary!$A$5:$A$241,"&gt;="&amp;$A150,Summary!$A$5:$A$241,"&lt;"&amp;$A150+7))</f>
        <v>0</v>
      </c>
      <c r="AZ150">
        <f>IF(AZ105="","",COUNTIFS(Summary!$E$5:$E$241,AZ105,Summary!$A$5:$A$241,"&gt;="&amp;$A150,Summary!$A$5:$A$241,"&lt;"&amp;$A150+7))</f>
        <v>0</v>
      </c>
      <c r="BA150">
        <f>IF(BA105="","",COUNTIFS(Summary!$E$5:$E$241,BA105,Summary!$A$5:$A$241,"&gt;="&amp;$A150,Summary!$A$5:$A$241,"&lt;"&amp;$A150+7))</f>
        <v>0</v>
      </c>
      <c r="BB150">
        <f>IF(BB105="","",COUNTIFS(Summary!$E$5:$E$241,BB105,Summary!$A$5:$A$241,"&gt;="&amp;$A150,Summary!$A$5:$A$241,"&lt;"&amp;$A150+7))</f>
        <v>0</v>
      </c>
      <c r="BC150">
        <f>IF(BC105="","",COUNTIFS(Summary!$E$5:$E$241,BC105,Summary!$A$5:$A$241,"&gt;="&amp;$A150,Summary!$A$5:$A$241,"&lt;"&amp;$A150+7))</f>
        <v>0</v>
      </c>
      <c r="BD150">
        <f>IF(BD105="","",COUNTIFS(Summary!$E$5:$E$241,BD105,Summary!$A$5:$A$241,"&gt;="&amp;$A150,Summary!$A$5:$A$241,"&lt;"&amp;$A150+7))</f>
        <v>0</v>
      </c>
      <c r="BE150">
        <f>IF(BE105="","",COUNTIFS(Summary!$E$5:$E$241,BE105,Summary!$A$5:$A$241,"&gt;="&amp;$A150,Summary!$A$5:$A$241,"&lt;"&amp;$A150+7))</f>
        <v>0</v>
      </c>
      <c r="BF150" s="28">
        <f>IF(BF105="","",COUNTIFS(Summary!$E$5:$E$241,BF105,Summary!$A$5:$A$241,"&gt;="&amp;$A150,Summary!$A$5:$A$241,"&lt;"&amp;$A150+7))</f>
        <v>0</v>
      </c>
    </row>
    <row r="151" spans="1:58">
      <c r="A151" s="12" t="s">
        <v>1281</v>
      </c>
      <c r="B151" s="13"/>
      <c r="C151" s="13">
        <f t="shared" ref="C151:AH151" si="10">SUM(C106:C150)</f>
        <v>13</v>
      </c>
      <c r="D151" s="13">
        <f t="shared" si="10"/>
        <v>13</v>
      </c>
      <c r="E151" s="13">
        <f t="shared" si="10"/>
        <v>3</v>
      </c>
      <c r="F151" s="13">
        <f t="shared" si="10"/>
        <v>4</v>
      </c>
      <c r="G151" s="13">
        <f t="shared" si="10"/>
        <v>1</v>
      </c>
      <c r="H151" s="13">
        <f t="shared" si="10"/>
        <v>14</v>
      </c>
      <c r="I151" s="13">
        <f t="shared" si="10"/>
        <v>6</v>
      </c>
      <c r="J151" s="13">
        <f t="shared" si="10"/>
        <v>10</v>
      </c>
      <c r="K151" s="13">
        <f t="shared" si="10"/>
        <v>7</v>
      </c>
      <c r="L151" s="13">
        <f t="shared" si="10"/>
        <v>9</v>
      </c>
      <c r="M151" s="13">
        <f t="shared" si="10"/>
        <v>13</v>
      </c>
      <c r="N151" s="13">
        <f t="shared" si="10"/>
        <v>3</v>
      </c>
      <c r="O151" s="13">
        <f t="shared" si="10"/>
        <v>6</v>
      </c>
      <c r="P151" s="13">
        <f t="shared" si="10"/>
        <v>4</v>
      </c>
      <c r="Q151" s="13">
        <f t="shared" si="10"/>
        <v>15</v>
      </c>
      <c r="R151" s="13">
        <f t="shared" si="10"/>
        <v>1</v>
      </c>
      <c r="S151" s="13">
        <f t="shared" si="10"/>
        <v>4</v>
      </c>
      <c r="T151" s="13">
        <f t="shared" si="10"/>
        <v>1</v>
      </c>
      <c r="U151" s="13">
        <f t="shared" si="10"/>
        <v>1</v>
      </c>
      <c r="V151" s="13">
        <f t="shared" si="10"/>
        <v>3</v>
      </c>
      <c r="W151" s="13">
        <f t="shared" si="10"/>
        <v>5</v>
      </c>
      <c r="X151" s="13">
        <f t="shared" si="10"/>
        <v>1</v>
      </c>
      <c r="Y151" s="13">
        <f t="shared" si="10"/>
        <v>8</v>
      </c>
      <c r="Z151" s="13">
        <f t="shared" si="10"/>
        <v>7</v>
      </c>
      <c r="AA151" s="13">
        <f t="shared" si="10"/>
        <v>1</v>
      </c>
      <c r="AB151" s="13">
        <f t="shared" si="10"/>
        <v>4</v>
      </c>
      <c r="AC151" s="13">
        <f t="shared" si="10"/>
        <v>0</v>
      </c>
      <c r="AD151" s="13">
        <f t="shared" si="10"/>
        <v>0</v>
      </c>
      <c r="AE151" s="13">
        <f t="shared" si="10"/>
        <v>0</v>
      </c>
      <c r="AF151" s="13">
        <f t="shared" si="10"/>
        <v>0</v>
      </c>
      <c r="AG151" s="13">
        <f t="shared" si="10"/>
        <v>0</v>
      </c>
      <c r="AH151" s="13">
        <f t="shared" si="10"/>
        <v>0</v>
      </c>
      <c r="AI151" s="13">
        <f t="shared" ref="AI151:BF151" si="11">SUM(AI106:AI150)</f>
        <v>0</v>
      </c>
      <c r="AJ151" s="13">
        <f t="shared" si="11"/>
        <v>0</v>
      </c>
      <c r="AK151" s="13">
        <f t="shared" si="11"/>
        <v>0</v>
      </c>
      <c r="AL151" s="13">
        <f t="shared" si="11"/>
        <v>0</v>
      </c>
      <c r="AM151" s="13">
        <f t="shared" si="11"/>
        <v>0</v>
      </c>
      <c r="AN151" s="13">
        <f t="shared" si="11"/>
        <v>0</v>
      </c>
      <c r="AO151" s="13">
        <f t="shared" si="11"/>
        <v>0</v>
      </c>
      <c r="AP151" s="13">
        <f t="shared" si="11"/>
        <v>0</v>
      </c>
      <c r="AQ151" s="13">
        <f t="shared" si="11"/>
        <v>0</v>
      </c>
      <c r="AR151" s="13">
        <f t="shared" si="11"/>
        <v>0</v>
      </c>
      <c r="AS151" s="13">
        <f t="shared" si="11"/>
        <v>0</v>
      </c>
      <c r="AT151" s="13">
        <f t="shared" si="11"/>
        <v>0</v>
      </c>
      <c r="AU151" s="13">
        <f t="shared" si="11"/>
        <v>0</v>
      </c>
      <c r="AV151" s="13">
        <f t="shared" si="11"/>
        <v>0</v>
      </c>
      <c r="AW151" s="13">
        <f t="shared" si="11"/>
        <v>0</v>
      </c>
      <c r="AX151" s="13">
        <f t="shared" si="11"/>
        <v>0</v>
      </c>
      <c r="AY151" s="13">
        <f t="shared" si="11"/>
        <v>0</v>
      </c>
      <c r="AZ151" s="13">
        <f t="shared" si="11"/>
        <v>0</v>
      </c>
      <c r="BA151" s="13">
        <f t="shared" si="11"/>
        <v>0</v>
      </c>
      <c r="BB151" s="13">
        <f t="shared" si="11"/>
        <v>0</v>
      </c>
      <c r="BC151" s="13">
        <f t="shared" si="11"/>
        <v>0</v>
      </c>
      <c r="BD151" s="13">
        <f t="shared" si="11"/>
        <v>0</v>
      </c>
      <c r="BE151" s="13">
        <f t="shared" si="11"/>
        <v>0</v>
      </c>
      <c r="BF151" s="14">
        <f t="shared" si="11"/>
        <v>0</v>
      </c>
    </row>
    <row r="153" spans="1:58" ht="27.6">
      <c r="A153" s="8" t="s">
        <v>1284</v>
      </c>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row>
    <row r="154" spans="1:58" ht="41.4">
      <c r="A154" s="80" t="s">
        <v>1280</v>
      </c>
      <c r="B154" s="81" t="s">
        <v>1285</v>
      </c>
      <c r="C154" s="81" t="s">
        <v>1148</v>
      </c>
      <c r="D154" s="81" t="s">
        <v>1265</v>
      </c>
      <c r="E154" s="81" t="s">
        <v>1146</v>
      </c>
      <c r="F154" s="81" t="s">
        <v>1154</v>
      </c>
      <c r="G154" s="81" t="s">
        <v>1150</v>
      </c>
      <c r="H154" s="81" t="s">
        <v>1147</v>
      </c>
      <c r="I154" s="81" t="s">
        <v>1149</v>
      </c>
      <c r="J154" s="81" t="s">
        <v>1152</v>
      </c>
      <c r="K154" s="81" t="s">
        <v>1156</v>
      </c>
      <c r="L154" s="81" t="s">
        <v>1155</v>
      </c>
      <c r="M154" s="81" t="s">
        <v>1153</v>
      </c>
      <c r="N154" s="81" t="s">
        <v>1164</v>
      </c>
      <c r="O154" s="81" t="s">
        <v>1163</v>
      </c>
      <c r="P154" s="81" t="s">
        <v>1157</v>
      </c>
      <c r="Q154" s="81" t="s">
        <v>1165</v>
      </c>
      <c r="R154" s="81" t="s">
        <v>1159</v>
      </c>
      <c r="S154" s="81" t="s">
        <v>1166</v>
      </c>
      <c r="T154" s="81" t="s">
        <v>1162</v>
      </c>
      <c r="U154" s="81" t="s">
        <v>1158</v>
      </c>
      <c r="V154" s="81" t="s">
        <v>1169</v>
      </c>
      <c r="W154" s="81"/>
      <c r="X154" s="81"/>
      <c r="Y154" s="81"/>
      <c r="Z154" s="81"/>
      <c r="AA154" s="81"/>
      <c r="AB154" s="81"/>
      <c r="AC154" s="81"/>
      <c r="AD154" s="81"/>
      <c r="AE154" s="81"/>
      <c r="AF154" s="81"/>
      <c r="AG154" s="81"/>
      <c r="AH154" s="81"/>
      <c r="AI154" s="81"/>
      <c r="AJ154" s="81"/>
      <c r="AK154" s="81"/>
      <c r="AL154" s="81"/>
      <c r="AM154" s="81"/>
      <c r="AN154" s="81"/>
      <c r="AO154" s="81"/>
      <c r="AP154" s="81"/>
      <c r="AQ154" s="81"/>
      <c r="AR154" s="81"/>
      <c r="AS154" s="81"/>
      <c r="AT154" s="81"/>
      <c r="AU154" s="81"/>
      <c r="AV154" s="81"/>
      <c r="AW154" s="81"/>
      <c r="AX154" s="81"/>
      <c r="AY154" s="81"/>
      <c r="AZ154" s="81"/>
      <c r="BA154" s="81"/>
      <c r="BB154" s="81"/>
      <c r="BC154" s="81"/>
      <c r="BD154" s="81"/>
      <c r="BE154" s="81"/>
      <c r="BF154" s="82"/>
    </row>
    <row r="155" spans="1:58">
      <c r="A155" s="18">
        <f t="shared" ref="A155:B174" si="12">A6</f>
        <v>46083</v>
      </c>
      <c r="B155" s="2" t="str">
        <f t="shared" si="12"/>
        <v>Mar 2</v>
      </c>
      <c r="C155" s="2">
        <f>IF(C154="","",SUMIF(C4:BF4,C154,C6:BF6))</f>
        <v>0</v>
      </c>
      <c r="D155" s="2">
        <f>IF(D154="","",SUMIF(C4:BF4,D154,C6:BF6))</f>
        <v>2</v>
      </c>
      <c r="E155" s="2">
        <f>IF(E154="","",SUMIF(C4:BF4,E154,C6:BF6))</f>
        <v>1</v>
      </c>
      <c r="F155" s="2">
        <f>IF(F154="","",SUMIF(C4:BF4,F154,C6:BF6))</f>
        <v>0</v>
      </c>
      <c r="G155" s="2">
        <f>IF(G154="","",SUMIF(C4:BF4,G154,C6:BF6))</f>
        <v>0</v>
      </c>
      <c r="H155" s="2">
        <f>IF(H154="","",SUMIF(C4:BF4,H154,C6:BF6))</f>
        <v>1</v>
      </c>
      <c r="I155" s="2">
        <f>IF(I154="","",SUMIF(C4:BF4,I154,C6:BF6))</f>
        <v>0</v>
      </c>
      <c r="J155" s="2">
        <f>IF(J154="","",SUMIF(C4:BF4,J154,C6:BF6))</f>
        <v>0</v>
      </c>
      <c r="K155" s="2">
        <f>IF(K154="","",SUMIF(C4:BF4,K154,C6:BF6))</f>
        <v>1</v>
      </c>
      <c r="L155" s="2">
        <f>IF(L154="","",SUMIF(C4:BF4,L154,C6:BF6))</f>
        <v>1</v>
      </c>
      <c r="M155" s="2">
        <f>IF(M154="","",SUMIF(C4:BF4,M154,C6:BF6))</f>
        <v>0</v>
      </c>
      <c r="N155" s="2">
        <f>IF(N154="","",SUMIF(C4:BF4,N154,C6:BF6))</f>
        <v>0</v>
      </c>
      <c r="O155" s="2">
        <f>IF(O154="","",SUMIF(C4:BF4,O154,C6:BF6))</f>
        <v>0</v>
      </c>
      <c r="P155" s="2">
        <f>IF(P154="","",SUMIF(C4:BF4,P154,C6:BF6))</f>
        <v>0</v>
      </c>
      <c r="Q155" s="2">
        <f>IF(Q154="","",SUMIF(C4:BF4,Q154,C6:BF6))</f>
        <v>0</v>
      </c>
      <c r="R155" s="2">
        <f>IF(R154="","",SUMIF(C4:BF4,R154,C6:BF6))</f>
        <v>0</v>
      </c>
      <c r="S155" s="2">
        <f>IF(S154="","",SUMIF(C4:BF4,S154,C6:BF6))</f>
        <v>0</v>
      </c>
      <c r="T155" s="2">
        <f>IF(T154="","",SUMIF(C4:BF4,T154,C6:BF6))</f>
        <v>0</v>
      </c>
      <c r="U155" s="2">
        <f>IF(U154="","",SUMIF(C4:BF4,U154,C6:BF6))</f>
        <v>0</v>
      </c>
      <c r="V155" s="2">
        <f>IF(V154="","",SUMIF(C4:BF4,V154,C6:BF6))</f>
        <v>0</v>
      </c>
      <c r="W155" s="2" t="str">
        <f>IF(W154="","",SUMIF(C4:BF4,W154,C6:BF6))</f>
        <v/>
      </c>
      <c r="X155" s="2" t="str">
        <f>IF(X154="","",SUMIF(C4:BF4,X154,C6:BF6))</f>
        <v/>
      </c>
      <c r="Y155" s="2" t="str">
        <f>IF(Y154="","",SUMIF(C4:BF4,Y154,C6:BF6))</f>
        <v/>
      </c>
      <c r="Z155" s="2" t="str">
        <f>IF(Z154="","",SUMIF(C4:BF4,Z154,C6:BF6))</f>
        <v/>
      </c>
      <c r="AA155" s="2" t="str">
        <f>IF(AA154="","",SUMIF(C4:BF4,AA154,C6:BF6))</f>
        <v/>
      </c>
      <c r="AB155" s="2" t="str">
        <f>IF(AB154="","",SUMIF(C4:BF4,AB154,C6:BF6))</f>
        <v/>
      </c>
      <c r="AC155" s="2" t="str">
        <f>IF(AC154="","",SUMIF(C4:BF4,AC154,C6:BF6))</f>
        <v/>
      </c>
      <c r="AD155" s="2" t="str">
        <f>IF(AD154="","",SUMIF(C4:BF4,AD154,C6:BF6))</f>
        <v/>
      </c>
      <c r="AE155" s="2" t="str">
        <f>IF(AE154="","",SUMIF(C4:BF4,AE154,C6:BF6))</f>
        <v/>
      </c>
      <c r="AF155" s="2" t="str">
        <f>IF(AF154="","",SUMIF(C4:BF4,AF154,C6:BF6))</f>
        <v/>
      </c>
      <c r="AG155" s="2" t="str">
        <f>IF(AG154="","",SUMIF(C4:BF4,AG154,C6:BF6))</f>
        <v/>
      </c>
      <c r="AH155" s="2" t="str">
        <f>IF(AH154="","",SUMIF(C4:BF4,AH154,C6:BF6))</f>
        <v/>
      </c>
      <c r="AI155" s="2" t="str">
        <f>IF(AI154="","",SUMIF(C4:BF4,AI154,C6:BF6))</f>
        <v/>
      </c>
      <c r="AJ155" s="2" t="str">
        <f>IF(AJ154="","",SUMIF(C4:BF4,AJ154,C6:BF6))</f>
        <v/>
      </c>
      <c r="AK155" s="2" t="str">
        <f>IF(AK154="","",SUMIF(C4:BF4,AK154,C6:BF6))</f>
        <v/>
      </c>
      <c r="AL155" s="2" t="str">
        <f>IF(AL154="","",SUMIF(C4:BF4,AL154,C6:BF6))</f>
        <v/>
      </c>
      <c r="AM155" s="2" t="str">
        <f>IF(AM154="","",SUMIF(C4:BF4,AM154,C6:BF6))</f>
        <v/>
      </c>
      <c r="AN155" s="2" t="str">
        <f>IF(AN154="","",SUMIF(C4:BF4,AN154,C6:BF6))</f>
        <v/>
      </c>
      <c r="AO155" s="2" t="str">
        <f>IF(AO154="","",SUMIF(C4:BF4,AO154,C6:BF6))</f>
        <v/>
      </c>
      <c r="AP155" s="2" t="str">
        <f>IF(AP154="","",SUMIF(C4:BF4,AP154,C6:BF6))</f>
        <v/>
      </c>
      <c r="AQ155" s="2" t="str">
        <f>IF(AQ154="","",SUMIF(C4:BF4,AQ154,C6:BF6))</f>
        <v/>
      </c>
      <c r="AR155" s="2" t="str">
        <f>IF(AR154="","",SUMIF(C4:BF4,AR154,C6:BF6))</f>
        <v/>
      </c>
      <c r="AS155" s="2" t="str">
        <f>IF(AS154="","",SUMIF(C4:BF4,AS154,C6:BF6))</f>
        <v/>
      </c>
      <c r="AT155" s="2" t="str">
        <f>IF(AT154="","",SUMIF(C4:BF4,AT154,C6:BF6))</f>
        <v/>
      </c>
      <c r="AU155" s="2" t="str">
        <f>IF(AU154="","",SUMIF(C4:BF4,AU154,C6:BF6))</f>
        <v/>
      </c>
      <c r="AV155" s="2" t="str">
        <f>IF(AV154="","",SUMIF(C4:BF4,AV154,C6:BF6))</f>
        <v/>
      </c>
      <c r="AW155" s="2" t="str">
        <f>IF(AW154="","",SUMIF(C4:BF4,AW154,C6:BF6))</f>
        <v/>
      </c>
      <c r="AX155" s="2" t="str">
        <f>IF(AX154="","",SUMIF(C4:BF4,AX154,C6:BF6))</f>
        <v/>
      </c>
      <c r="AY155" s="2" t="str">
        <f>IF(AY154="","",SUMIF(C4:BF4,AY154,C6:BF6))</f>
        <v/>
      </c>
      <c r="AZ155" s="2" t="str">
        <f>IF(AZ154="","",SUMIF(C4:BF4,AZ154,C6:BF6))</f>
        <v/>
      </c>
      <c r="BA155" s="2" t="str">
        <f>IF(BA154="","",SUMIF(C4:BF4,BA154,C6:BF6))</f>
        <v/>
      </c>
      <c r="BB155" s="2" t="str">
        <f>IF(BB154="","",SUMIF(C4:BF4,BB154,C6:BF6))</f>
        <v/>
      </c>
      <c r="BC155" s="2" t="str">
        <f>IF(BC154="","",SUMIF(C4:BF4,BC154,C6:BF6))</f>
        <v/>
      </c>
      <c r="BD155" s="2" t="str">
        <f>IF(BD154="","",SUMIF(C4:BF4,BD154,C6:BF6))</f>
        <v/>
      </c>
      <c r="BE155" s="2" t="str">
        <f>IF(BE154="","",SUMIF(C4:BF4,BE154,C6:BF6))</f>
        <v/>
      </c>
      <c r="BF155" s="4" t="str">
        <f>IF(BF154="","",SUMIF(C4:BF4,BF154,C6:BF6))</f>
        <v/>
      </c>
    </row>
    <row r="156" spans="1:58">
      <c r="A156" s="18">
        <f t="shared" si="12"/>
        <v>46090</v>
      </c>
      <c r="B156" s="2" t="str">
        <f t="shared" si="12"/>
        <v>Mar 9</v>
      </c>
      <c r="C156" s="2">
        <f>IF(C154="","",SUMIF(C4:BF4,C154,C7:BF7))</f>
        <v>0</v>
      </c>
      <c r="D156" s="2">
        <f>IF(D154="","",SUMIF(C4:BF4,D154,C7:BF7))</f>
        <v>4</v>
      </c>
      <c r="E156" s="2">
        <f>IF(E154="","",SUMIF(C4:BF4,E154,C7:BF7))</f>
        <v>1</v>
      </c>
      <c r="F156" s="2">
        <f>IF(F154="","",SUMIF(C4:BF4,F154,C7:BF7))</f>
        <v>0</v>
      </c>
      <c r="G156" s="2">
        <f>IF(G154="","",SUMIF(C4:BF4,G154,C7:BF7))</f>
        <v>0</v>
      </c>
      <c r="H156" s="2">
        <f>IF(H154="","",SUMIF(C4:BF4,H154,C7:BF7))</f>
        <v>0</v>
      </c>
      <c r="I156" s="2">
        <f>IF(I154="","",SUMIF(C4:BF4,I154,C7:BF7))</f>
        <v>0</v>
      </c>
      <c r="J156" s="2">
        <f>IF(J154="","",SUMIF(C4:BF4,J154,C7:BF7))</f>
        <v>2</v>
      </c>
      <c r="K156" s="2">
        <f>IF(K154="","",SUMIF(C4:BF4,K154,C7:BF7))</f>
        <v>0</v>
      </c>
      <c r="L156" s="2">
        <f>IF(L154="","",SUMIF(C4:BF4,L154,C7:BF7))</f>
        <v>0</v>
      </c>
      <c r="M156" s="2">
        <f>IF(M154="","",SUMIF(C4:BF4,M154,C7:BF7))</f>
        <v>0</v>
      </c>
      <c r="N156" s="2">
        <f>IF(N154="","",SUMIF(C4:BF4,N154,C7:BF7))</f>
        <v>0</v>
      </c>
      <c r="O156" s="2">
        <f>IF(O154="","",SUMIF(C4:BF4,O154,C7:BF7))</f>
        <v>0</v>
      </c>
      <c r="P156" s="2">
        <f>IF(P154="","",SUMIF(C4:BF4,P154,C7:BF7))</f>
        <v>0</v>
      </c>
      <c r="Q156" s="2">
        <f>IF(Q154="","",SUMIF(C4:BF4,Q154,C7:BF7))</f>
        <v>0</v>
      </c>
      <c r="R156" s="2">
        <f>IF(R154="","",SUMIF(C4:BF4,R154,C7:BF7))</f>
        <v>0</v>
      </c>
      <c r="S156" s="2">
        <f>IF(S154="","",SUMIF(C4:BF4,S154,C7:BF7))</f>
        <v>0</v>
      </c>
      <c r="T156" s="2">
        <f>IF(T154="","",SUMIF(C4:BF4,T154,C7:BF7))</f>
        <v>0</v>
      </c>
      <c r="U156" s="2">
        <f>IF(U154="","",SUMIF(C4:BF4,U154,C7:BF7))</f>
        <v>0</v>
      </c>
      <c r="V156" s="2">
        <f>IF(V154="","",SUMIF(C4:BF4,V154,C7:BF7))</f>
        <v>0</v>
      </c>
      <c r="W156" s="2" t="str">
        <f>IF(W154="","",SUMIF(C4:BF4,W154,C7:BF7))</f>
        <v/>
      </c>
      <c r="X156" s="2" t="str">
        <f>IF(X154="","",SUMIF(C4:BF4,X154,C7:BF7))</f>
        <v/>
      </c>
      <c r="Y156" s="2" t="str">
        <f>IF(Y154="","",SUMIF(C4:BF4,Y154,C7:BF7))</f>
        <v/>
      </c>
      <c r="Z156" s="2" t="str">
        <f>IF(Z154="","",SUMIF(C4:BF4,Z154,C7:BF7))</f>
        <v/>
      </c>
      <c r="AA156" s="2" t="str">
        <f>IF(AA154="","",SUMIF(C4:BF4,AA154,C7:BF7))</f>
        <v/>
      </c>
      <c r="AB156" s="2" t="str">
        <f>IF(AB154="","",SUMIF(C4:BF4,AB154,C7:BF7))</f>
        <v/>
      </c>
      <c r="AC156" s="2" t="str">
        <f>IF(AC154="","",SUMIF(C4:BF4,AC154,C7:BF7))</f>
        <v/>
      </c>
      <c r="AD156" s="2" t="str">
        <f>IF(AD154="","",SUMIF(C4:BF4,AD154,C7:BF7))</f>
        <v/>
      </c>
      <c r="AE156" s="2" t="str">
        <f>IF(AE154="","",SUMIF(C4:BF4,AE154,C7:BF7))</f>
        <v/>
      </c>
      <c r="AF156" s="2" t="str">
        <f>IF(AF154="","",SUMIF(C4:BF4,AF154,C7:BF7))</f>
        <v/>
      </c>
      <c r="AG156" s="2" t="str">
        <f>IF(AG154="","",SUMIF(C4:BF4,AG154,C7:BF7))</f>
        <v/>
      </c>
      <c r="AH156" s="2" t="str">
        <f>IF(AH154="","",SUMIF(C4:BF4,AH154,C7:BF7))</f>
        <v/>
      </c>
      <c r="AI156" s="2" t="str">
        <f>IF(AI154="","",SUMIF(C4:BF4,AI154,C7:BF7))</f>
        <v/>
      </c>
      <c r="AJ156" s="2" t="str">
        <f>IF(AJ154="","",SUMIF(C4:BF4,AJ154,C7:BF7))</f>
        <v/>
      </c>
      <c r="AK156" s="2" t="str">
        <f>IF(AK154="","",SUMIF(C4:BF4,AK154,C7:BF7))</f>
        <v/>
      </c>
      <c r="AL156" s="2" t="str">
        <f>IF(AL154="","",SUMIF(C4:BF4,AL154,C7:BF7))</f>
        <v/>
      </c>
      <c r="AM156" s="2" t="str">
        <f>IF(AM154="","",SUMIF(C4:BF4,AM154,C7:BF7))</f>
        <v/>
      </c>
      <c r="AN156" s="2" t="str">
        <f>IF(AN154="","",SUMIF(C4:BF4,AN154,C7:BF7))</f>
        <v/>
      </c>
      <c r="AO156" s="2" t="str">
        <f>IF(AO154="","",SUMIF(C4:BF4,AO154,C7:BF7))</f>
        <v/>
      </c>
      <c r="AP156" s="2" t="str">
        <f>IF(AP154="","",SUMIF(C4:BF4,AP154,C7:BF7))</f>
        <v/>
      </c>
      <c r="AQ156" s="2" t="str">
        <f>IF(AQ154="","",SUMIF(C4:BF4,AQ154,C7:BF7))</f>
        <v/>
      </c>
      <c r="AR156" s="2" t="str">
        <f>IF(AR154="","",SUMIF(C4:BF4,AR154,C7:BF7))</f>
        <v/>
      </c>
      <c r="AS156" s="2" t="str">
        <f>IF(AS154="","",SUMIF(C4:BF4,AS154,C7:BF7))</f>
        <v/>
      </c>
      <c r="AT156" s="2" t="str">
        <f>IF(AT154="","",SUMIF(C4:BF4,AT154,C7:BF7))</f>
        <v/>
      </c>
      <c r="AU156" s="2" t="str">
        <f>IF(AU154="","",SUMIF(C4:BF4,AU154,C7:BF7))</f>
        <v/>
      </c>
      <c r="AV156" s="2" t="str">
        <f>IF(AV154="","",SUMIF(C4:BF4,AV154,C7:BF7))</f>
        <v/>
      </c>
      <c r="AW156" s="2" t="str">
        <f>IF(AW154="","",SUMIF(C4:BF4,AW154,C7:BF7))</f>
        <v/>
      </c>
      <c r="AX156" s="2" t="str">
        <f>IF(AX154="","",SUMIF(C4:BF4,AX154,C7:BF7))</f>
        <v/>
      </c>
      <c r="AY156" s="2" t="str">
        <f>IF(AY154="","",SUMIF(C4:BF4,AY154,C7:BF7))</f>
        <v/>
      </c>
      <c r="AZ156" s="2" t="str">
        <f>IF(AZ154="","",SUMIF(C4:BF4,AZ154,C7:BF7))</f>
        <v/>
      </c>
      <c r="BA156" s="2" t="str">
        <f>IF(BA154="","",SUMIF(C4:BF4,BA154,C7:BF7))</f>
        <v/>
      </c>
      <c r="BB156" s="2" t="str">
        <f>IF(BB154="","",SUMIF(C4:BF4,BB154,C7:BF7))</f>
        <v/>
      </c>
      <c r="BC156" s="2" t="str">
        <f>IF(BC154="","",SUMIF(C4:BF4,BC154,C7:BF7))</f>
        <v/>
      </c>
      <c r="BD156" s="2" t="str">
        <f>IF(BD154="","",SUMIF(C4:BF4,BD154,C7:BF7))</f>
        <v/>
      </c>
      <c r="BE156" s="2" t="str">
        <f>IF(BE154="","",SUMIF(C4:BF4,BE154,C7:BF7))</f>
        <v/>
      </c>
      <c r="BF156" s="4" t="str">
        <f>IF(BF154="","",SUMIF(C4:BF4,BF154,C7:BF7))</f>
        <v/>
      </c>
    </row>
    <row r="157" spans="1:58">
      <c r="A157" s="18">
        <f t="shared" si="12"/>
        <v>46097</v>
      </c>
      <c r="B157" s="2" t="str">
        <f t="shared" si="12"/>
        <v>Mar 16</v>
      </c>
      <c r="C157" s="2">
        <f>IF(C154="","",SUMIF(C4:BF4,C154,C8:BF8))</f>
        <v>3</v>
      </c>
      <c r="D157" s="2">
        <f>IF(D154="","",SUMIF(C4:BF4,D154,C8:BF8))</f>
        <v>6</v>
      </c>
      <c r="E157" s="2">
        <f>IF(E154="","",SUMIF(C4:BF4,E154,C8:BF8))</f>
        <v>0</v>
      </c>
      <c r="F157" s="2">
        <f>IF(F154="","",SUMIF(C4:BF4,F154,C8:BF8))</f>
        <v>2</v>
      </c>
      <c r="G157" s="2">
        <f>IF(G154="","",SUMIF(C4:BF4,G154,C8:BF8))</f>
        <v>4</v>
      </c>
      <c r="H157" s="2">
        <f>IF(H154="","",SUMIF(C4:BF4,H154,C8:BF8))</f>
        <v>0</v>
      </c>
      <c r="I157" s="2">
        <f>IF(I154="","",SUMIF(C4:BF4,I154,C8:BF8))</f>
        <v>2</v>
      </c>
      <c r="J157" s="2">
        <f>IF(J154="","",SUMIF(C4:BF4,J154,C8:BF8))</f>
        <v>0</v>
      </c>
      <c r="K157" s="2">
        <f>IF(K154="","",SUMIF(C4:BF4,K154,C8:BF8))</f>
        <v>1</v>
      </c>
      <c r="L157" s="2">
        <f>IF(L154="","",SUMIF(C4:BF4,L154,C8:BF8))</f>
        <v>2</v>
      </c>
      <c r="M157" s="2">
        <f>IF(M154="","",SUMIF(C4:BF4,M154,C8:BF8))</f>
        <v>0</v>
      </c>
      <c r="N157" s="2">
        <f>IF(N154="","",SUMIF(C4:BF4,N154,C8:BF8))</f>
        <v>0</v>
      </c>
      <c r="O157" s="2">
        <f>IF(O154="","",SUMIF(C4:BF4,O154,C8:BF8))</f>
        <v>1</v>
      </c>
      <c r="P157" s="2">
        <f>IF(P154="","",SUMIF(C4:BF4,P154,C8:BF8))</f>
        <v>1</v>
      </c>
      <c r="Q157" s="2">
        <f>IF(Q154="","",SUMIF(C4:BF4,Q154,C8:BF8))</f>
        <v>1</v>
      </c>
      <c r="R157" s="2">
        <f>IF(R154="","",SUMIF(C4:BF4,R154,C8:BF8))</f>
        <v>0</v>
      </c>
      <c r="S157" s="2">
        <f>IF(S154="","",SUMIF(C4:BF4,S154,C8:BF8))</f>
        <v>0</v>
      </c>
      <c r="T157" s="2">
        <f>IF(T154="","",SUMIF(C4:BF4,T154,C8:BF8))</f>
        <v>0</v>
      </c>
      <c r="U157" s="2">
        <f>IF(U154="","",SUMIF(C4:BF4,U154,C8:BF8))</f>
        <v>1</v>
      </c>
      <c r="V157" s="2">
        <f>IF(V154="","",SUMIF(C4:BF4,V154,C8:BF8))</f>
        <v>0</v>
      </c>
      <c r="W157" s="2" t="str">
        <f>IF(W154="","",SUMIF(C4:BF4,W154,C8:BF8))</f>
        <v/>
      </c>
      <c r="X157" s="2" t="str">
        <f>IF(X154="","",SUMIF(C4:BF4,X154,C8:BF8))</f>
        <v/>
      </c>
      <c r="Y157" s="2" t="str">
        <f>IF(Y154="","",SUMIF(C4:BF4,Y154,C8:BF8))</f>
        <v/>
      </c>
      <c r="Z157" s="2" t="str">
        <f>IF(Z154="","",SUMIF(C4:BF4,Z154,C8:BF8))</f>
        <v/>
      </c>
      <c r="AA157" s="2" t="str">
        <f>IF(AA154="","",SUMIF(C4:BF4,AA154,C8:BF8))</f>
        <v/>
      </c>
      <c r="AB157" s="2" t="str">
        <f>IF(AB154="","",SUMIF(C4:BF4,AB154,C8:BF8))</f>
        <v/>
      </c>
      <c r="AC157" s="2" t="str">
        <f>IF(AC154="","",SUMIF(C4:BF4,AC154,C8:BF8))</f>
        <v/>
      </c>
      <c r="AD157" s="2" t="str">
        <f>IF(AD154="","",SUMIF(C4:BF4,AD154,C8:BF8))</f>
        <v/>
      </c>
      <c r="AE157" s="2" t="str">
        <f>IF(AE154="","",SUMIF(C4:BF4,AE154,C8:BF8))</f>
        <v/>
      </c>
      <c r="AF157" s="2" t="str">
        <f>IF(AF154="","",SUMIF(C4:BF4,AF154,C8:BF8))</f>
        <v/>
      </c>
      <c r="AG157" s="2" t="str">
        <f>IF(AG154="","",SUMIF(C4:BF4,AG154,C8:BF8))</f>
        <v/>
      </c>
      <c r="AH157" s="2" t="str">
        <f>IF(AH154="","",SUMIF(C4:BF4,AH154,C8:BF8))</f>
        <v/>
      </c>
      <c r="AI157" s="2" t="str">
        <f>IF(AI154="","",SUMIF(C4:BF4,AI154,C8:BF8))</f>
        <v/>
      </c>
      <c r="AJ157" s="2" t="str">
        <f>IF(AJ154="","",SUMIF(C4:BF4,AJ154,C8:BF8))</f>
        <v/>
      </c>
      <c r="AK157" s="2" t="str">
        <f>IF(AK154="","",SUMIF(C4:BF4,AK154,C8:BF8))</f>
        <v/>
      </c>
      <c r="AL157" s="2" t="str">
        <f>IF(AL154="","",SUMIF(C4:BF4,AL154,C8:BF8))</f>
        <v/>
      </c>
      <c r="AM157" s="2" t="str">
        <f>IF(AM154="","",SUMIF(C4:BF4,AM154,C8:BF8))</f>
        <v/>
      </c>
      <c r="AN157" s="2" t="str">
        <f>IF(AN154="","",SUMIF(C4:BF4,AN154,C8:BF8))</f>
        <v/>
      </c>
      <c r="AO157" s="2" t="str">
        <f>IF(AO154="","",SUMIF(C4:BF4,AO154,C8:BF8))</f>
        <v/>
      </c>
      <c r="AP157" s="2" t="str">
        <f>IF(AP154="","",SUMIF(C4:BF4,AP154,C8:BF8))</f>
        <v/>
      </c>
      <c r="AQ157" s="2" t="str">
        <f>IF(AQ154="","",SUMIF(C4:BF4,AQ154,C8:BF8))</f>
        <v/>
      </c>
      <c r="AR157" s="2" t="str">
        <f>IF(AR154="","",SUMIF(C4:BF4,AR154,C8:BF8))</f>
        <v/>
      </c>
      <c r="AS157" s="2" t="str">
        <f>IF(AS154="","",SUMIF(C4:BF4,AS154,C8:BF8))</f>
        <v/>
      </c>
      <c r="AT157" s="2" t="str">
        <f>IF(AT154="","",SUMIF(C4:BF4,AT154,C8:BF8))</f>
        <v/>
      </c>
      <c r="AU157" s="2" t="str">
        <f>IF(AU154="","",SUMIF(C4:BF4,AU154,C8:BF8))</f>
        <v/>
      </c>
      <c r="AV157" s="2" t="str">
        <f>IF(AV154="","",SUMIF(C4:BF4,AV154,C8:BF8))</f>
        <v/>
      </c>
      <c r="AW157" s="2" t="str">
        <f>IF(AW154="","",SUMIF(C4:BF4,AW154,C8:BF8))</f>
        <v/>
      </c>
      <c r="AX157" s="2" t="str">
        <f>IF(AX154="","",SUMIF(C4:BF4,AX154,C8:BF8))</f>
        <v/>
      </c>
      <c r="AY157" s="2" t="str">
        <f>IF(AY154="","",SUMIF(C4:BF4,AY154,C8:BF8))</f>
        <v/>
      </c>
      <c r="AZ157" s="2" t="str">
        <f>IF(AZ154="","",SUMIF(C4:BF4,AZ154,C8:BF8))</f>
        <v/>
      </c>
      <c r="BA157" s="2" t="str">
        <f>IF(BA154="","",SUMIF(C4:BF4,BA154,C8:BF8))</f>
        <v/>
      </c>
      <c r="BB157" s="2" t="str">
        <f>IF(BB154="","",SUMIF(C4:BF4,BB154,C8:BF8))</f>
        <v/>
      </c>
      <c r="BC157" s="2" t="str">
        <f>IF(BC154="","",SUMIF(C4:BF4,BC154,C8:BF8))</f>
        <v/>
      </c>
      <c r="BD157" s="2" t="str">
        <f>IF(BD154="","",SUMIF(C4:BF4,BD154,C8:BF8))</f>
        <v/>
      </c>
      <c r="BE157" s="2" t="str">
        <f>IF(BE154="","",SUMIF(C4:BF4,BE154,C8:BF8))</f>
        <v/>
      </c>
      <c r="BF157" s="4" t="str">
        <f>IF(BF154="","",SUMIF(C4:BF4,BF154,C8:BF8))</f>
        <v/>
      </c>
    </row>
    <row r="158" spans="1:58">
      <c r="A158" s="18">
        <f t="shared" si="12"/>
        <v>46104</v>
      </c>
      <c r="B158" s="2" t="str">
        <f t="shared" si="12"/>
        <v>Mar 23</v>
      </c>
      <c r="C158" s="2">
        <f>IF(C154="","",SUMIF(C4:BF4,C154,C9:BF9))</f>
        <v>0</v>
      </c>
      <c r="D158" s="2">
        <f>IF(D154="","",SUMIF(C4:BF4,D154,C9:BF9))</f>
        <v>6</v>
      </c>
      <c r="E158" s="2">
        <f>IF(E154="","",SUMIF(C4:BF4,E154,C9:BF9))</f>
        <v>1</v>
      </c>
      <c r="F158" s="2">
        <f>IF(F154="","",SUMIF(C4:BF4,F154,C9:BF9))</f>
        <v>3</v>
      </c>
      <c r="G158" s="2">
        <f>IF(G154="","",SUMIF(C4:BF4,G154,C9:BF9))</f>
        <v>0</v>
      </c>
      <c r="H158" s="2">
        <f>IF(H154="","",SUMIF(C4:BF4,H154,C9:BF9))</f>
        <v>0</v>
      </c>
      <c r="I158" s="2">
        <f>IF(I154="","",SUMIF(C4:BF4,I154,C9:BF9))</f>
        <v>0</v>
      </c>
      <c r="J158" s="2">
        <f>IF(J154="","",SUMIF(C4:BF4,J154,C9:BF9))</f>
        <v>0</v>
      </c>
      <c r="K158" s="2">
        <f>IF(K154="","",SUMIF(C4:BF4,K154,C9:BF9))</f>
        <v>0</v>
      </c>
      <c r="L158" s="2">
        <f>IF(L154="","",SUMIF(C4:BF4,L154,C9:BF9))</f>
        <v>2</v>
      </c>
      <c r="M158" s="2">
        <f>IF(M154="","",SUMIF(C4:BF4,M154,C9:BF9))</f>
        <v>0</v>
      </c>
      <c r="N158" s="2">
        <f>IF(N154="","",SUMIF(C4:BF4,N154,C9:BF9))</f>
        <v>0</v>
      </c>
      <c r="O158" s="2">
        <f>IF(O154="","",SUMIF(C4:BF4,O154,C9:BF9))</f>
        <v>0</v>
      </c>
      <c r="P158" s="2">
        <f>IF(P154="","",SUMIF(C4:BF4,P154,C9:BF9))</f>
        <v>0</v>
      </c>
      <c r="Q158" s="2">
        <f>IF(Q154="","",SUMIF(C4:BF4,Q154,C9:BF9))</f>
        <v>1</v>
      </c>
      <c r="R158" s="2">
        <f>IF(R154="","",SUMIF(C4:BF4,R154,C9:BF9))</f>
        <v>1</v>
      </c>
      <c r="S158" s="2">
        <f>IF(S154="","",SUMIF(C4:BF4,S154,C9:BF9))</f>
        <v>1</v>
      </c>
      <c r="T158" s="2">
        <f>IF(T154="","",SUMIF(C4:BF4,T154,C9:BF9))</f>
        <v>1</v>
      </c>
      <c r="U158" s="2">
        <f>IF(U154="","",SUMIF(C4:BF4,U154,C9:BF9))</f>
        <v>0</v>
      </c>
      <c r="V158" s="2">
        <f>IF(V154="","",SUMIF(C4:BF4,V154,C9:BF9))</f>
        <v>0</v>
      </c>
      <c r="W158" s="2" t="str">
        <f>IF(W154="","",SUMIF(C4:BF4,W154,C9:BF9))</f>
        <v/>
      </c>
      <c r="X158" s="2" t="str">
        <f>IF(X154="","",SUMIF(C4:BF4,X154,C9:BF9))</f>
        <v/>
      </c>
      <c r="Y158" s="2" t="str">
        <f>IF(Y154="","",SUMIF(C4:BF4,Y154,C9:BF9))</f>
        <v/>
      </c>
      <c r="Z158" s="2" t="str">
        <f>IF(Z154="","",SUMIF(C4:BF4,Z154,C9:BF9))</f>
        <v/>
      </c>
      <c r="AA158" s="2" t="str">
        <f>IF(AA154="","",SUMIF(C4:BF4,AA154,C9:BF9))</f>
        <v/>
      </c>
      <c r="AB158" s="2" t="str">
        <f>IF(AB154="","",SUMIF(C4:BF4,AB154,C9:BF9))</f>
        <v/>
      </c>
      <c r="AC158" s="2" t="str">
        <f>IF(AC154="","",SUMIF(C4:BF4,AC154,C9:BF9))</f>
        <v/>
      </c>
      <c r="AD158" s="2" t="str">
        <f>IF(AD154="","",SUMIF(C4:BF4,AD154,C9:BF9))</f>
        <v/>
      </c>
      <c r="AE158" s="2" t="str">
        <f>IF(AE154="","",SUMIF(C4:BF4,AE154,C9:BF9))</f>
        <v/>
      </c>
      <c r="AF158" s="2" t="str">
        <f>IF(AF154="","",SUMIF(C4:BF4,AF154,C9:BF9))</f>
        <v/>
      </c>
      <c r="AG158" s="2" t="str">
        <f>IF(AG154="","",SUMIF(C4:BF4,AG154,C9:BF9))</f>
        <v/>
      </c>
      <c r="AH158" s="2" t="str">
        <f>IF(AH154="","",SUMIF(C4:BF4,AH154,C9:BF9))</f>
        <v/>
      </c>
      <c r="AI158" s="2" t="str">
        <f>IF(AI154="","",SUMIF(C4:BF4,AI154,C9:BF9))</f>
        <v/>
      </c>
      <c r="AJ158" s="2" t="str">
        <f>IF(AJ154="","",SUMIF(C4:BF4,AJ154,C9:BF9))</f>
        <v/>
      </c>
      <c r="AK158" s="2" t="str">
        <f>IF(AK154="","",SUMIF(C4:BF4,AK154,C9:BF9))</f>
        <v/>
      </c>
      <c r="AL158" s="2" t="str">
        <f>IF(AL154="","",SUMIF(C4:BF4,AL154,C9:BF9))</f>
        <v/>
      </c>
      <c r="AM158" s="2" t="str">
        <f>IF(AM154="","",SUMIF(C4:BF4,AM154,C9:BF9))</f>
        <v/>
      </c>
      <c r="AN158" s="2" t="str">
        <f>IF(AN154="","",SUMIF(C4:BF4,AN154,C9:BF9))</f>
        <v/>
      </c>
      <c r="AO158" s="2" t="str">
        <f>IF(AO154="","",SUMIF(C4:BF4,AO154,C9:BF9))</f>
        <v/>
      </c>
      <c r="AP158" s="2" t="str">
        <f>IF(AP154="","",SUMIF(C4:BF4,AP154,C9:BF9))</f>
        <v/>
      </c>
      <c r="AQ158" s="2" t="str">
        <f>IF(AQ154="","",SUMIF(C4:BF4,AQ154,C9:BF9))</f>
        <v/>
      </c>
      <c r="AR158" s="2" t="str">
        <f>IF(AR154="","",SUMIF(C4:BF4,AR154,C9:BF9))</f>
        <v/>
      </c>
      <c r="AS158" s="2" t="str">
        <f>IF(AS154="","",SUMIF(C4:BF4,AS154,C9:BF9))</f>
        <v/>
      </c>
      <c r="AT158" s="2" t="str">
        <f>IF(AT154="","",SUMIF(C4:BF4,AT154,C9:BF9))</f>
        <v/>
      </c>
      <c r="AU158" s="2" t="str">
        <f>IF(AU154="","",SUMIF(C4:BF4,AU154,C9:BF9))</f>
        <v/>
      </c>
      <c r="AV158" s="2" t="str">
        <f>IF(AV154="","",SUMIF(C4:BF4,AV154,C9:BF9))</f>
        <v/>
      </c>
      <c r="AW158" s="2" t="str">
        <f>IF(AW154="","",SUMIF(C4:BF4,AW154,C9:BF9))</f>
        <v/>
      </c>
      <c r="AX158" s="2" t="str">
        <f>IF(AX154="","",SUMIF(C4:BF4,AX154,C9:BF9))</f>
        <v/>
      </c>
      <c r="AY158" s="2" t="str">
        <f>IF(AY154="","",SUMIF(C4:BF4,AY154,C9:BF9))</f>
        <v/>
      </c>
      <c r="AZ158" s="2" t="str">
        <f>IF(AZ154="","",SUMIF(C4:BF4,AZ154,C9:BF9))</f>
        <v/>
      </c>
      <c r="BA158" s="2" t="str">
        <f>IF(BA154="","",SUMIF(C4:BF4,BA154,C9:BF9))</f>
        <v/>
      </c>
      <c r="BB158" s="2" t="str">
        <f>IF(BB154="","",SUMIF(C4:BF4,BB154,C9:BF9))</f>
        <v/>
      </c>
      <c r="BC158" s="2" t="str">
        <f>IF(BC154="","",SUMIF(C4:BF4,BC154,C9:BF9))</f>
        <v/>
      </c>
      <c r="BD158" s="2" t="str">
        <f>IF(BD154="","",SUMIF(C4:BF4,BD154,C9:BF9))</f>
        <v/>
      </c>
      <c r="BE158" s="2" t="str">
        <f>IF(BE154="","",SUMIF(C4:BF4,BE154,C9:BF9))</f>
        <v/>
      </c>
      <c r="BF158" s="4" t="str">
        <f>IF(BF154="","",SUMIF(C4:BF4,BF154,C9:BF9))</f>
        <v/>
      </c>
    </row>
    <row r="159" spans="1:58">
      <c r="A159" s="18">
        <f t="shared" si="12"/>
        <v>46111</v>
      </c>
      <c r="B159" s="2" t="str">
        <f t="shared" si="12"/>
        <v>Mar 30</v>
      </c>
      <c r="C159" s="2">
        <f>IF(C154="","",SUMIF(C4:BF4,C154,C10:BF10))</f>
        <v>0</v>
      </c>
      <c r="D159" s="2">
        <f>IF(D154="","",SUMIF(C4:BF4,D154,C10:BF10))</f>
        <v>0</v>
      </c>
      <c r="E159" s="2">
        <f>IF(E154="","",SUMIF(C4:BF4,E154,C10:BF10))</f>
        <v>0</v>
      </c>
      <c r="F159" s="2">
        <f>IF(F154="","",SUMIF(C4:BF4,F154,C10:BF10))</f>
        <v>0</v>
      </c>
      <c r="G159" s="2">
        <f>IF(G154="","",SUMIF(C4:BF4,G154,C10:BF10))</f>
        <v>1</v>
      </c>
      <c r="H159" s="2">
        <f>IF(H154="","",SUMIF(C4:BF4,H154,C10:BF10))</f>
        <v>3</v>
      </c>
      <c r="I159" s="2">
        <f>IF(I154="","",SUMIF(C4:BF4,I154,C10:BF10))</f>
        <v>0</v>
      </c>
      <c r="J159" s="2">
        <f>IF(J154="","",SUMIF(C4:BF4,J154,C10:BF10))</f>
        <v>0</v>
      </c>
      <c r="K159" s="2">
        <f>IF(K154="","",SUMIF(C4:BF4,K154,C10:BF10))</f>
        <v>0</v>
      </c>
      <c r="L159" s="2">
        <f>IF(L154="","",SUMIF(C4:BF4,L154,C10:BF10))</f>
        <v>0</v>
      </c>
      <c r="M159" s="2">
        <f>IF(M154="","",SUMIF(C4:BF4,M154,C10:BF10))</f>
        <v>0</v>
      </c>
      <c r="N159" s="2">
        <f>IF(N154="","",SUMIF(C4:BF4,N154,C10:BF10))</f>
        <v>0</v>
      </c>
      <c r="O159" s="2">
        <f>IF(O154="","",SUMIF(C4:BF4,O154,C10:BF10))</f>
        <v>0</v>
      </c>
      <c r="P159" s="2">
        <f>IF(P154="","",SUMIF(C4:BF4,P154,C10:BF10))</f>
        <v>0</v>
      </c>
      <c r="Q159" s="2">
        <f>IF(Q154="","",SUMIF(C4:BF4,Q154,C10:BF10))</f>
        <v>0</v>
      </c>
      <c r="R159" s="2">
        <f>IF(R154="","",SUMIF(C4:BF4,R154,C10:BF10))</f>
        <v>0</v>
      </c>
      <c r="S159" s="2">
        <f>IF(S154="","",SUMIF(C4:BF4,S154,C10:BF10))</f>
        <v>0</v>
      </c>
      <c r="T159" s="2">
        <f>IF(T154="","",SUMIF(C4:BF4,T154,C10:BF10))</f>
        <v>0</v>
      </c>
      <c r="U159" s="2">
        <f>IF(U154="","",SUMIF(C4:BF4,U154,C10:BF10))</f>
        <v>0</v>
      </c>
      <c r="V159" s="2">
        <f>IF(V154="","",SUMIF(C4:BF4,V154,C10:BF10))</f>
        <v>0</v>
      </c>
      <c r="W159" s="2" t="str">
        <f>IF(W154="","",SUMIF(C4:BF4,W154,C10:BF10))</f>
        <v/>
      </c>
      <c r="X159" s="2" t="str">
        <f>IF(X154="","",SUMIF(C4:BF4,X154,C10:BF10))</f>
        <v/>
      </c>
      <c r="Y159" s="2" t="str">
        <f>IF(Y154="","",SUMIF(C4:BF4,Y154,C10:BF10))</f>
        <v/>
      </c>
      <c r="Z159" s="2" t="str">
        <f>IF(Z154="","",SUMIF(C4:BF4,Z154,C10:BF10))</f>
        <v/>
      </c>
      <c r="AA159" s="2" t="str">
        <f>IF(AA154="","",SUMIF(C4:BF4,AA154,C10:BF10))</f>
        <v/>
      </c>
      <c r="AB159" s="2" t="str">
        <f>IF(AB154="","",SUMIF(C4:BF4,AB154,C10:BF10))</f>
        <v/>
      </c>
      <c r="AC159" s="2" t="str">
        <f>IF(AC154="","",SUMIF(C4:BF4,AC154,C10:BF10))</f>
        <v/>
      </c>
      <c r="AD159" s="2" t="str">
        <f>IF(AD154="","",SUMIF(C4:BF4,AD154,C10:BF10))</f>
        <v/>
      </c>
      <c r="AE159" s="2" t="str">
        <f>IF(AE154="","",SUMIF(C4:BF4,AE154,C10:BF10))</f>
        <v/>
      </c>
      <c r="AF159" s="2" t="str">
        <f>IF(AF154="","",SUMIF(C4:BF4,AF154,C10:BF10))</f>
        <v/>
      </c>
      <c r="AG159" s="2" t="str">
        <f>IF(AG154="","",SUMIF(C4:BF4,AG154,C10:BF10))</f>
        <v/>
      </c>
      <c r="AH159" s="2" t="str">
        <f>IF(AH154="","",SUMIF(C4:BF4,AH154,C10:BF10))</f>
        <v/>
      </c>
      <c r="AI159" s="2" t="str">
        <f>IF(AI154="","",SUMIF(C4:BF4,AI154,C10:BF10))</f>
        <v/>
      </c>
      <c r="AJ159" s="2" t="str">
        <f>IF(AJ154="","",SUMIF(C4:BF4,AJ154,C10:BF10))</f>
        <v/>
      </c>
      <c r="AK159" s="2" t="str">
        <f>IF(AK154="","",SUMIF(C4:BF4,AK154,C10:BF10))</f>
        <v/>
      </c>
      <c r="AL159" s="2" t="str">
        <f>IF(AL154="","",SUMIF(C4:BF4,AL154,C10:BF10))</f>
        <v/>
      </c>
      <c r="AM159" s="2" t="str">
        <f>IF(AM154="","",SUMIF(C4:BF4,AM154,C10:BF10))</f>
        <v/>
      </c>
      <c r="AN159" s="2" t="str">
        <f>IF(AN154="","",SUMIF(C4:BF4,AN154,C10:BF10))</f>
        <v/>
      </c>
      <c r="AO159" s="2" t="str">
        <f>IF(AO154="","",SUMIF(C4:BF4,AO154,C10:BF10))</f>
        <v/>
      </c>
      <c r="AP159" s="2" t="str">
        <f>IF(AP154="","",SUMIF(C4:BF4,AP154,C10:BF10))</f>
        <v/>
      </c>
      <c r="AQ159" s="2" t="str">
        <f>IF(AQ154="","",SUMIF(C4:BF4,AQ154,C10:BF10))</f>
        <v/>
      </c>
      <c r="AR159" s="2" t="str">
        <f>IF(AR154="","",SUMIF(C4:BF4,AR154,C10:BF10))</f>
        <v/>
      </c>
      <c r="AS159" s="2" t="str">
        <f>IF(AS154="","",SUMIF(C4:BF4,AS154,C10:BF10))</f>
        <v/>
      </c>
      <c r="AT159" s="2" t="str">
        <f>IF(AT154="","",SUMIF(C4:BF4,AT154,C10:BF10))</f>
        <v/>
      </c>
      <c r="AU159" s="2" t="str">
        <f>IF(AU154="","",SUMIF(C4:BF4,AU154,C10:BF10))</f>
        <v/>
      </c>
      <c r="AV159" s="2" t="str">
        <f>IF(AV154="","",SUMIF(C4:BF4,AV154,C10:BF10))</f>
        <v/>
      </c>
      <c r="AW159" s="2" t="str">
        <f>IF(AW154="","",SUMIF(C4:BF4,AW154,C10:BF10))</f>
        <v/>
      </c>
      <c r="AX159" s="2" t="str">
        <f>IF(AX154="","",SUMIF(C4:BF4,AX154,C10:BF10))</f>
        <v/>
      </c>
      <c r="AY159" s="2" t="str">
        <f>IF(AY154="","",SUMIF(C4:BF4,AY154,C10:BF10))</f>
        <v/>
      </c>
      <c r="AZ159" s="2" t="str">
        <f>IF(AZ154="","",SUMIF(C4:BF4,AZ154,C10:BF10))</f>
        <v/>
      </c>
      <c r="BA159" s="2" t="str">
        <f>IF(BA154="","",SUMIF(C4:BF4,BA154,C10:BF10))</f>
        <v/>
      </c>
      <c r="BB159" s="2" t="str">
        <f>IF(BB154="","",SUMIF(C4:BF4,BB154,C10:BF10))</f>
        <v/>
      </c>
      <c r="BC159" s="2" t="str">
        <f>IF(BC154="","",SUMIF(C4:BF4,BC154,C10:BF10))</f>
        <v/>
      </c>
      <c r="BD159" s="2" t="str">
        <f>IF(BD154="","",SUMIF(C4:BF4,BD154,C10:BF10))</f>
        <v/>
      </c>
      <c r="BE159" s="2" t="str">
        <f>IF(BE154="","",SUMIF(C4:BF4,BE154,C10:BF10))</f>
        <v/>
      </c>
      <c r="BF159" s="4" t="str">
        <f>IF(BF154="","",SUMIF(C4:BF4,BF154,C10:BF10))</f>
        <v/>
      </c>
    </row>
    <row r="160" spans="1:58">
      <c r="A160" s="18">
        <f t="shared" si="12"/>
        <v>46118</v>
      </c>
      <c r="B160" s="2" t="str">
        <f t="shared" si="12"/>
        <v>Apr 6</v>
      </c>
      <c r="C160" s="2">
        <f>IF(C154="","",SUMIF(C4:BF4,C154,C11:BF11))</f>
        <v>5</v>
      </c>
      <c r="D160" s="2">
        <f>IF(D154="","",SUMIF(C4:BF4,D154,C11:BF11))</f>
        <v>0</v>
      </c>
      <c r="E160" s="2">
        <f>IF(E154="","",SUMIF(C4:BF4,E154,C11:BF11))</f>
        <v>0</v>
      </c>
      <c r="F160" s="2">
        <f>IF(F154="","",SUMIF(C4:BF4,F154,C11:BF11))</f>
        <v>0</v>
      </c>
      <c r="G160" s="2">
        <f>IF(G154="","",SUMIF(C4:BF4,G154,C11:BF11))</f>
        <v>2</v>
      </c>
      <c r="H160" s="2">
        <f>IF(H154="","",SUMIF(C4:BF4,H154,C11:BF11))</f>
        <v>0</v>
      </c>
      <c r="I160" s="2">
        <f>IF(I154="","",SUMIF(C4:BF4,I154,C11:BF11))</f>
        <v>0</v>
      </c>
      <c r="J160" s="2">
        <f>IF(J154="","",SUMIF(C4:BF4,J154,C11:BF11))</f>
        <v>1</v>
      </c>
      <c r="K160" s="2">
        <f>IF(K154="","",SUMIF(C4:BF4,K154,C11:BF11))</f>
        <v>2</v>
      </c>
      <c r="L160" s="2">
        <f>IF(L154="","",SUMIF(C4:BF4,L154,C11:BF11))</f>
        <v>1</v>
      </c>
      <c r="M160" s="2">
        <f>IF(M154="","",SUMIF(C4:BF4,M154,C11:BF11))</f>
        <v>0</v>
      </c>
      <c r="N160" s="2">
        <f>IF(N154="","",SUMIF(C4:BF4,N154,C11:BF11))</f>
        <v>0</v>
      </c>
      <c r="O160" s="2">
        <f>IF(O154="","",SUMIF(C4:BF4,O154,C11:BF11))</f>
        <v>0</v>
      </c>
      <c r="P160" s="2">
        <f>IF(P154="","",SUMIF(C4:BF4,P154,C11:BF11))</f>
        <v>0</v>
      </c>
      <c r="Q160" s="2">
        <f>IF(Q154="","",SUMIF(C4:BF4,Q154,C11:BF11))</f>
        <v>0</v>
      </c>
      <c r="R160" s="2">
        <f>IF(R154="","",SUMIF(C4:BF4,R154,C11:BF11))</f>
        <v>1</v>
      </c>
      <c r="S160" s="2">
        <f>IF(S154="","",SUMIF(C4:BF4,S154,C11:BF11))</f>
        <v>0</v>
      </c>
      <c r="T160" s="2">
        <f>IF(T154="","",SUMIF(C4:BF4,T154,C11:BF11))</f>
        <v>1</v>
      </c>
      <c r="U160" s="2">
        <f>IF(U154="","",SUMIF(C4:BF4,U154,C11:BF11))</f>
        <v>2</v>
      </c>
      <c r="V160" s="2">
        <f>IF(V154="","",SUMIF(C4:BF4,V154,C11:BF11))</f>
        <v>0</v>
      </c>
      <c r="W160" s="2" t="str">
        <f>IF(W154="","",SUMIF(C4:BF4,W154,C11:BF11))</f>
        <v/>
      </c>
      <c r="X160" s="2" t="str">
        <f>IF(X154="","",SUMIF(C4:BF4,X154,C11:BF11))</f>
        <v/>
      </c>
      <c r="Y160" s="2" t="str">
        <f>IF(Y154="","",SUMIF(C4:BF4,Y154,C11:BF11))</f>
        <v/>
      </c>
      <c r="Z160" s="2" t="str">
        <f>IF(Z154="","",SUMIF(C4:BF4,Z154,C11:BF11))</f>
        <v/>
      </c>
      <c r="AA160" s="2" t="str">
        <f>IF(AA154="","",SUMIF(C4:BF4,AA154,C11:BF11))</f>
        <v/>
      </c>
      <c r="AB160" s="2" t="str">
        <f>IF(AB154="","",SUMIF(C4:BF4,AB154,C11:BF11))</f>
        <v/>
      </c>
      <c r="AC160" s="2" t="str">
        <f>IF(AC154="","",SUMIF(C4:BF4,AC154,C11:BF11))</f>
        <v/>
      </c>
      <c r="AD160" s="2" t="str">
        <f>IF(AD154="","",SUMIF(C4:BF4,AD154,C11:BF11))</f>
        <v/>
      </c>
      <c r="AE160" s="2" t="str">
        <f>IF(AE154="","",SUMIF(C4:BF4,AE154,C11:BF11))</f>
        <v/>
      </c>
      <c r="AF160" s="2" t="str">
        <f>IF(AF154="","",SUMIF(C4:BF4,AF154,C11:BF11))</f>
        <v/>
      </c>
      <c r="AG160" s="2" t="str">
        <f>IF(AG154="","",SUMIF(C4:BF4,AG154,C11:BF11))</f>
        <v/>
      </c>
      <c r="AH160" s="2" t="str">
        <f>IF(AH154="","",SUMIF(C4:BF4,AH154,C11:BF11))</f>
        <v/>
      </c>
      <c r="AI160" s="2" t="str">
        <f>IF(AI154="","",SUMIF(C4:BF4,AI154,C11:BF11))</f>
        <v/>
      </c>
      <c r="AJ160" s="2" t="str">
        <f>IF(AJ154="","",SUMIF(C4:BF4,AJ154,C11:BF11))</f>
        <v/>
      </c>
      <c r="AK160" s="2" t="str">
        <f>IF(AK154="","",SUMIF(C4:BF4,AK154,C11:BF11))</f>
        <v/>
      </c>
      <c r="AL160" s="2" t="str">
        <f>IF(AL154="","",SUMIF(C4:BF4,AL154,C11:BF11))</f>
        <v/>
      </c>
      <c r="AM160" s="2" t="str">
        <f>IF(AM154="","",SUMIF(C4:BF4,AM154,C11:BF11))</f>
        <v/>
      </c>
      <c r="AN160" s="2" t="str">
        <f>IF(AN154="","",SUMIF(C4:BF4,AN154,C11:BF11))</f>
        <v/>
      </c>
      <c r="AO160" s="2" t="str">
        <f>IF(AO154="","",SUMIF(C4:BF4,AO154,C11:BF11))</f>
        <v/>
      </c>
      <c r="AP160" s="2" t="str">
        <f>IF(AP154="","",SUMIF(C4:BF4,AP154,C11:BF11))</f>
        <v/>
      </c>
      <c r="AQ160" s="2" t="str">
        <f>IF(AQ154="","",SUMIF(C4:BF4,AQ154,C11:BF11))</f>
        <v/>
      </c>
      <c r="AR160" s="2" t="str">
        <f>IF(AR154="","",SUMIF(C4:BF4,AR154,C11:BF11))</f>
        <v/>
      </c>
      <c r="AS160" s="2" t="str">
        <f>IF(AS154="","",SUMIF(C4:BF4,AS154,C11:BF11))</f>
        <v/>
      </c>
      <c r="AT160" s="2" t="str">
        <f>IF(AT154="","",SUMIF(C4:BF4,AT154,C11:BF11))</f>
        <v/>
      </c>
      <c r="AU160" s="2" t="str">
        <f>IF(AU154="","",SUMIF(C4:BF4,AU154,C11:BF11))</f>
        <v/>
      </c>
      <c r="AV160" s="2" t="str">
        <f>IF(AV154="","",SUMIF(C4:BF4,AV154,C11:BF11))</f>
        <v/>
      </c>
      <c r="AW160" s="2" t="str">
        <f>IF(AW154="","",SUMIF(C4:BF4,AW154,C11:BF11))</f>
        <v/>
      </c>
      <c r="AX160" s="2" t="str">
        <f>IF(AX154="","",SUMIF(C4:BF4,AX154,C11:BF11))</f>
        <v/>
      </c>
      <c r="AY160" s="2" t="str">
        <f>IF(AY154="","",SUMIF(C4:BF4,AY154,C11:BF11))</f>
        <v/>
      </c>
      <c r="AZ160" s="2" t="str">
        <f>IF(AZ154="","",SUMIF(C4:BF4,AZ154,C11:BF11))</f>
        <v/>
      </c>
      <c r="BA160" s="2" t="str">
        <f>IF(BA154="","",SUMIF(C4:BF4,BA154,C11:BF11))</f>
        <v/>
      </c>
      <c r="BB160" s="2" t="str">
        <f>IF(BB154="","",SUMIF(C4:BF4,BB154,C11:BF11))</f>
        <v/>
      </c>
      <c r="BC160" s="2" t="str">
        <f>IF(BC154="","",SUMIF(C4:BF4,BC154,C11:BF11))</f>
        <v/>
      </c>
      <c r="BD160" s="2" t="str">
        <f>IF(BD154="","",SUMIF(C4:BF4,BD154,C11:BF11))</f>
        <v/>
      </c>
      <c r="BE160" s="2" t="str">
        <f>IF(BE154="","",SUMIF(C4:BF4,BE154,C11:BF11))</f>
        <v/>
      </c>
      <c r="BF160" s="4" t="str">
        <f>IF(BF154="","",SUMIF(C4:BF4,BF154,C11:BF11))</f>
        <v/>
      </c>
    </row>
    <row r="161" spans="1:58">
      <c r="A161" s="18">
        <f t="shared" si="12"/>
        <v>46125</v>
      </c>
      <c r="B161" s="2" t="str">
        <f t="shared" si="12"/>
        <v>Apr 13</v>
      </c>
      <c r="C161" s="2">
        <f>IF(C154="","",SUMIF(C4:BF4,C154,C12:BF12))</f>
        <v>1</v>
      </c>
      <c r="D161" s="2">
        <f>IF(D154="","",SUMIF(C4:BF4,D154,C12:BF12))</f>
        <v>5</v>
      </c>
      <c r="E161" s="2">
        <f>IF(E154="","",SUMIF(C4:BF4,E154,C12:BF12))</f>
        <v>1</v>
      </c>
      <c r="F161" s="2">
        <f>IF(F154="","",SUMIF(C4:BF4,F154,C12:BF12))</f>
        <v>0</v>
      </c>
      <c r="G161" s="2">
        <f>IF(G154="","",SUMIF(C4:BF4,G154,C12:BF12))</f>
        <v>0</v>
      </c>
      <c r="H161" s="2">
        <f>IF(H154="","",SUMIF(C4:BF4,H154,C12:BF12))</f>
        <v>1</v>
      </c>
      <c r="I161" s="2">
        <f>IF(I154="","",SUMIF(C4:BF4,I154,C12:BF12))</f>
        <v>1</v>
      </c>
      <c r="J161" s="2">
        <f>IF(J154="","",SUMIF(C4:BF4,J154,C12:BF12))</f>
        <v>1</v>
      </c>
      <c r="K161" s="2">
        <f>IF(K154="","",SUMIF(C4:BF4,K154,C12:BF12))</f>
        <v>0</v>
      </c>
      <c r="L161" s="2">
        <f>IF(L154="","",SUMIF(C4:BF4,L154,C12:BF12))</f>
        <v>2</v>
      </c>
      <c r="M161" s="2">
        <f>IF(M154="","",SUMIF(C4:BF4,M154,C12:BF12))</f>
        <v>0</v>
      </c>
      <c r="N161" s="2">
        <f>IF(N154="","",SUMIF(C4:BF4,N154,C12:BF12))</f>
        <v>0</v>
      </c>
      <c r="O161" s="2">
        <f>IF(O154="","",SUMIF(C4:BF4,O154,C12:BF12))</f>
        <v>0</v>
      </c>
      <c r="P161" s="2">
        <f>IF(P154="","",SUMIF(C4:BF4,P154,C12:BF12))</f>
        <v>0</v>
      </c>
      <c r="Q161" s="2">
        <f>IF(Q154="","",SUMIF(C4:BF4,Q154,C12:BF12))</f>
        <v>0</v>
      </c>
      <c r="R161" s="2">
        <f>IF(R154="","",SUMIF(C4:BF4,R154,C12:BF12))</f>
        <v>0</v>
      </c>
      <c r="S161" s="2">
        <f>IF(S154="","",SUMIF(C4:BF4,S154,C12:BF12))</f>
        <v>0</v>
      </c>
      <c r="T161" s="2">
        <f>IF(T154="","",SUMIF(C4:BF4,T154,C12:BF12))</f>
        <v>2</v>
      </c>
      <c r="U161" s="2">
        <f>IF(U154="","",SUMIF(C4:BF4,U154,C12:BF12))</f>
        <v>3</v>
      </c>
      <c r="V161" s="2">
        <f>IF(V154="","",SUMIF(C4:BF4,V154,C12:BF12))</f>
        <v>0</v>
      </c>
      <c r="W161" s="2" t="str">
        <f>IF(W154="","",SUMIF(C4:BF4,W154,C12:BF12))</f>
        <v/>
      </c>
      <c r="X161" s="2" t="str">
        <f>IF(X154="","",SUMIF(C4:BF4,X154,C12:BF12))</f>
        <v/>
      </c>
      <c r="Y161" s="2" t="str">
        <f>IF(Y154="","",SUMIF(C4:BF4,Y154,C12:BF12))</f>
        <v/>
      </c>
      <c r="Z161" s="2" t="str">
        <f>IF(Z154="","",SUMIF(C4:BF4,Z154,C12:BF12))</f>
        <v/>
      </c>
      <c r="AA161" s="2" t="str">
        <f>IF(AA154="","",SUMIF(C4:BF4,AA154,C12:BF12))</f>
        <v/>
      </c>
      <c r="AB161" s="2" t="str">
        <f>IF(AB154="","",SUMIF(C4:BF4,AB154,C12:BF12))</f>
        <v/>
      </c>
      <c r="AC161" s="2" t="str">
        <f>IF(AC154="","",SUMIF(C4:BF4,AC154,C12:BF12))</f>
        <v/>
      </c>
      <c r="AD161" s="2" t="str">
        <f>IF(AD154="","",SUMIF(C4:BF4,AD154,C12:BF12))</f>
        <v/>
      </c>
      <c r="AE161" s="2" t="str">
        <f>IF(AE154="","",SUMIF(C4:BF4,AE154,C12:BF12))</f>
        <v/>
      </c>
      <c r="AF161" s="2" t="str">
        <f>IF(AF154="","",SUMIF(C4:BF4,AF154,C12:BF12))</f>
        <v/>
      </c>
      <c r="AG161" s="2" t="str">
        <f>IF(AG154="","",SUMIF(C4:BF4,AG154,C12:BF12))</f>
        <v/>
      </c>
      <c r="AH161" s="2" t="str">
        <f>IF(AH154="","",SUMIF(C4:BF4,AH154,C12:BF12))</f>
        <v/>
      </c>
      <c r="AI161" s="2" t="str">
        <f>IF(AI154="","",SUMIF(C4:BF4,AI154,C12:BF12))</f>
        <v/>
      </c>
      <c r="AJ161" s="2" t="str">
        <f>IF(AJ154="","",SUMIF(C4:BF4,AJ154,C12:BF12))</f>
        <v/>
      </c>
      <c r="AK161" s="2" t="str">
        <f>IF(AK154="","",SUMIF(C4:BF4,AK154,C12:BF12))</f>
        <v/>
      </c>
      <c r="AL161" s="2" t="str">
        <f>IF(AL154="","",SUMIF(C4:BF4,AL154,C12:BF12))</f>
        <v/>
      </c>
      <c r="AM161" s="2" t="str">
        <f>IF(AM154="","",SUMIF(C4:BF4,AM154,C12:BF12))</f>
        <v/>
      </c>
      <c r="AN161" s="2" t="str">
        <f>IF(AN154="","",SUMIF(C4:BF4,AN154,C12:BF12))</f>
        <v/>
      </c>
      <c r="AO161" s="2" t="str">
        <f>IF(AO154="","",SUMIF(C4:BF4,AO154,C12:BF12))</f>
        <v/>
      </c>
      <c r="AP161" s="2" t="str">
        <f>IF(AP154="","",SUMIF(C4:BF4,AP154,C12:BF12))</f>
        <v/>
      </c>
      <c r="AQ161" s="2" t="str">
        <f>IF(AQ154="","",SUMIF(C4:BF4,AQ154,C12:BF12))</f>
        <v/>
      </c>
      <c r="AR161" s="2" t="str">
        <f>IF(AR154="","",SUMIF(C4:BF4,AR154,C12:BF12))</f>
        <v/>
      </c>
      <c r="AS161" s="2" t="str">
        <f>IF(AS154="","",SUMIF(C4:BF4,AS154,C12:BF12))</f>
        <v/>
      </c>
      <c r="AT161" s="2" t="str">
        <f>IF(AT154="","",SUMIF(C4:BF4,AT154,C12:BF12))</f>
        <v/>
      </c>
      <c r="AU161" s="2" t="str">
        <f>IF(AU154="","",SUMIF(C4:BF4,AU154,C12:BF12))</f>
        <v/>
      </c>
      <c r="AV161" s="2" t="str">
        <f>IF(AV154="","",SUMIF(C4:BF4,AV154,C12:BF12))</f>
        <v/>
      </c>
      <c r="AW161" s="2" t="str">
        <f>IF(AW154="","",SUMIF(C4:BF4,AW154,C12:BF12))</f>
        <v/>
      </c>
      <c r="AX161" s="2" t="str">
        <f>IF(AX154="","",SUMIF(C4:BF4,AX154,C12:BF12))</f>
        <v/>
      </c>
      <c r="AY161" s="2" t="str">
        <f>IF(AY154="","",SUMIF(C4:BF4,AY154,C12:BF12))</f>
        <v/>
      </c>
      <c r="AZ161" s="2" t="str">
        <f>IF(AZ154="","",SUMIF(C4:BF4,AZ154,C12:BF12))</f>
        <v/>
      </c>
      <c r="BA161" s="2" t="str">
        <f>IF(BA154="","",SUMIF(C4:BF4,BA154,C12:BF12))</f>
        <v/>
      </c>
      <c r="BB161" s="2" t="str">
        <f>IF(BB154="","",SUMIF(C4:BF4,BB154,C12:BF12))</f>
        <v/>
      </c>
      <c r="BC161" s="2" t="str">
        <f>IF(BC154="","",SUMIF(C4:BF4,BC154,C12:BF12))</f>
        <v/>
      </c>
      <c r="BD161" s="2" t="str">
        <f>IF(BD154="","",SUMIF(C4:BF4,BD154,C12:BF12))</f>
        <v/>
      </c>
      <c r="BE161" s="2" t="str">
        <f>IF(BE154="","",SUMIF(C4:BF4,BE154,C12:BF12))</f>
        <v/>
      </c>
      <c r="BF161" s="4" t="str">
        <f>IF(BF154="","",SUMIF(C4:BF4,BF154,C12:BF12))</f>
        <v/>
      </c>
    </row>
    <row r="162" spans="1:58">
      <c r="A162" s="18">
        <f t="shared" si="12"/>
        <v>46132</v>
      </c>
      <c r="B162" s="2" t="str">
        <f t="shared" si="12"/>
        <v>Apr 20</v>
      </c>
      <c r="C162" s="2">
        <f>IF(C154="","",SUMIF(C4:BF4,C154,C13:BF13))</f>
        <v>0</v>
      </c>
      <c r="D162" s="2">
        <f>IF(D154="","",SUMIF(C4:BF4,D154,C13:BF13))</f>
        <v>3</v>
      </c>
      <c r="E162" s="2">
        <f>IF(E154="","",SUMIF(C4:BF4,E154,C13:BF13))</f>
        <v>1</v>
      </c>
      <c r="F162" s="2">
        <f>IF(F154="","",SUMIF(C4:BF4,F154,C13:BF13))</f>
        <v>1</v>
      </c>
      <c r="G162" s="2">
        <f>IF(G154="","",SUMIF(C4:BF4,G154,C13:BF13))</f>
        <v>0</v>
      </c>
      <c r="H162" s="2">
        <f>IF(H154="","",SUMIF(C4:BF4,H154,C13:BF13))</f>
        <v>0</v>
      </c>
      <c r="I162" s="2">
        <f>IF(I154="","",SUMIF(C4:BF4,I154,C13:BF13))</f>
        <v>0</v>
      </c>
      <c r="J162" s="2">
        <f>IF(J154="","",SUMIF(C4:BF4,J154,C13:BF13))</f>
        <v>0</v>
      </c>
      <c r="K162" s="2">
        <f>IF(K154="","",SUMIF(C4:BF4,K154,C13:BF13))</f>
        <v>0</v>
      </c>
      <c r="L162" s="2">
        <f>IF(L154="","",SUMIF(C4:BF4,L154,C13:BF13))</f>
        <v>0</v>
      </c>
      <c r="M162" s="2">
        <f>IF(M154="","",SUMIF(C4:BF4,M154,C13:BF13))</f>
        <v>0</v>
      </c>
      <c r="N162" s="2">
        <f>IF(N154="","",SUMIF(C4:BF4,N154,C13:BF13))</f>
        <v>0</v>
      </c>
      <c r="O162" s="2">
        <f>IF(O154="","",SUMIF(C4:BF4,O154,C13:BF13))</f>
        <v>0</v>
      </c>
      <c r="P162" s="2">
        <f>IF(P154="","",SUMIF(C4:BF4,P154,C13:BF13))</f>
        <v>0</v>
      </c>
      <c r="Q162" s="2">
        <f>IF(Q154="","",SUMIF(C4:BF4,Q154,C13:BF13))</f>
        <v>0</v>
      </c>
      <c r="R162" s="2">
        <f>IF(R154="","",SUMIF(C4:BF4,R154,C13:BF13))</f>
        <v>1</v>
      </c>
      <c r="S162" s="2">
        <f>IF(S154="","",SUMIF(C4:BF4,S154,C13:BF13))</f>
        <v>0</v>
      </c>
      <c r="T162" s="2">
        <f>IF(T154="","",SUMIF(C4:BF4,T154,C13:BF13))</f>
        <v>0</v>
      </c>
      <c r="U162" s="2">
        <f>IF(U154="","",SUMIF(C4:BF4,U154,C13:BF13))</f>
        <v>0</v>
      </c>
      <c r="V162" s="2">
        <f>IF(V154="","",SUMIF(C4:BF4,V154,C13:BF13))</f>
        <v>0</v>
      </c>
      <c r="W162" s="2" t="str">
        <f>IF(W154="","",SUMIF(C4:BF4,W154,C13:BF13))</f>
        <v/>
      </c>
      <c r="X162" s="2" t="str">
        <f>IF(X154="","",SUMIF(C4:BF4,X154,C13:BF13))</f>
        <v/>
      </c>
      <c r="Y162" s="2" t="str">
        <f>IF(Y154="","",SUMIF(C4:BF4,Y154,C13:BF13))</f>
        <v/>
      </c>
      <c r="Z162" s="2" t="str">
        <f>IF(Z154="","",SUMIF(C4:BF4,Z154,C13:BF13))</f>
        <v/>
      </c>
      <c r="AA162" s="2" t="str">
        <f>IF(AA154="","",SUMIF(C4:BF4,AA154,C13:BF13))</f>
        <v/>
      </c>
      <c r="AB162" s="2" t="str">
        <f>IF(AB154="","",SUMIF(C4:BF4,AB154,C13:BF13))</f>
        <v/>
      </c>
      <c r="AC162" s="2" t="str">
        <f>IF(AC154="","",SUMIF(C4:BF4,AC154,C13:BF13))</f>
        <v/>
      </c>
      <c r="AD162" s="2" t="str">
        <f>IF(AD154="","",SUMIF(C4:BF4,AD154,C13:BF13))</f>
        <v/>
      </c>
      <c r="AE162" s="2" t="str">
        <f>IF(AE154="","",SUMIF(C4:BF4,AE154,C13:BF13))</f>
        <v/>
      </c>
      <c r="AF162" s="2" t="str">
        <f>IF(AF154="","",SUMIF(C4:BF4,AF154,C13:BF13))</f>
        <v/>
      </c>
      <c r="AG162" s="2" t="str">
        <f>IF(AG154="","",SUMIF(C4:BF4,AG154,C13:BF13))</f>
        <v/>
      </c>
      <c r="AH162" s="2" t="str">
        <f>IF(AH154="","",SUMIF(C4:BF4,AH154,C13:BF13))</f>
        <v/>
      </c>
      <c r="AI162" s="2" t="str">
        <f>IF(AI154="","",SUMIF(C4:BF4,AI154,C13:BF13))</f>
        <v/>
      </c>
      <c r="AJ162" s="2" t="str">
        <f>IF(AJ154="","",SUMIF(C4:BF4,AJ154,C13:BF13))</f>
        <v/>
      </c>
      <c r="AK162" s="2" t="str">
        <f>IF(AK154="","",SUMIF(C4:BF4,AK154,C13:BF13))</f>
        <v/>
      </c>
      <c r="AL162" s="2" t="str">
        <f>IF(AL154="","",SUMIF(C4:BF4,AL154,C13:BF13))</f>
        <v/>
      </c>
      <c r="AM162" s="2" t="str">
        <f>IF(AM154="","",SUMIF(C4:BF4,AM154,C13:BF13))</f>
        <v/>
      </c>
      <c r="AN162" s="2" t="str">
        <f>IF(AN154="","",SUMIF(C4:BF4,AN154,C13:BF13))</f>
        <v/>
      </c>
      <c r="AO162" s="2" t="str">
        <f>IF(AO154="","",SUMIF(C4:BF4,AO154,C13:BF13))</f>
        <v/>
      </c>
      <c r="AP162" s="2" t="str">
        <f>IF(AP154="","",SUMIF(C4:BF4,AP154,C13:BF13))</f>
        <v/>
      </c>
      <c r="AQ162" s="2" t="str">
        <f>IF(AQ154="","",SUMIF(C4:BF4,AQ154,C13:BF13))</f>
        <v/>
      </c>
      <c r="AR162" s="2" t="str">
        <f>IF(AR154="","",SUMIF(C4:BF4,AR154,C13:BF13))</f>
        <v/>
      </c>
      <c r="AS162" s="2" t="str">
        <f>IF(AS154="","",SUMIF(C4:BF4,AS154,C13:BF13))</f>
        <v/>
      </c>
      <c r="AT162" s="2" t="str">
        <f>IF(AT154="","",SUMIF(C4:BF4,AT154,C13:BF13))</f>
        <v/>
      </c>
      <c r="AU162" s="2" t="str">
        <f>IF(AU154="","",SUMIF(C4:BF4,AU154,C13:BF13))</f>
        <v/>
      </c>
      <c r="AV162" s="2" t="str">
        <f>IF(AV154="","",SUMIF(C4:BF4,AV154,C13:BF13))</f>
        <v/>
      </c>
      <c r="AW162" s="2" t="str">
        <f>IF(AW154="","",SUMIF(C4:BF4,AW154,C13:BF13))</f>
        <v/>
      </c>
      <c r="AX162" s="2" t="str">
        <f>IF(AX154="","",SUMIF(C4:BF4,AX154,C13:BF13))</f>
        <v/>
      </c>
      <c r="AY162" s="2" t="str">
        <f>IF(AY154="","",SUMIF(C4:BF4,AY154,C13:BF13))</f>
        <v/>
      </c>
      <c r="AZ162" s="2" t="str">
        <f>IF(AZ154="","",SUMIF(C4:BF4,AZ154,C13:BF13))</f>
        <v/>
      </c>
      <c r="BA162" s="2" t="str">
        <f>IF(BA154="","",SUMIF(C4:BF4,BA154,C13:BF13))</f>
        <v/>
      </c>
      <c r="BB162" s="2" t="str">
        <f>IF(BB154="","",SUMIF(C4:BF4,BB154,C13:BF13))</f>
        <v/>
      </c>
      <c r="BC162" s="2" t="str">
        <f>IF(BC154="","",SUMIF(C4:BF4,BC154,C13:BF13))</f>
        <v/>
      </c>
      <c r="BD162" s="2" t="str">
        <f>IF(BD154="","",SUMIF(C4:BF4,BD154,C13:BF13))</f>
        <v/>
      </c>
      <c r="BE162" s="2" t="str">
        <f>IF(BE154="","",SUMIF(C4:BF4,BE154,C13:BF13))</f>
        <v/>
      </c>
      <c r="BF162" s="4" t="str">
        <f>IF(BF154="","",SUMIF(C4:BF4,BF154,C13:BF13))</f>
        <v/>
      </c>
    </row>
    <row r="163" spans="1:58">
      <c r="A163" s="18">
        <f t="shared" si="12"/>
        <v>46139</v>
      </c>
      <c r="B163" s="2" t="str">
        <f t="shared" si="12"/>
        <v>Apr 27</v>
      </c>
      <c r="C163" s="2">
        <f>IF(C154="","",SUMIF(C4:BF4,C154,C14:BF14))</f>
        <v>0</v>
      </c>
      <c r="D163" s="2">
        <f>IF(D154="","",SUMIF(C4:BF4,D154,C14:BF14))</f>
        <v>1</v>
      </c>
      <c r="E163" s="2">
        <f>IF(E154="","",SUMIF(C4:BF4,E154,C14:BF14))</f>
        <v>1</v>
      </c>
      <c r="F163" s="2">
        <f>IF(F154="","",SUMIF(C4:BF4,F154,C14:BF14))</f>
        <v>0</v>
      </c>
      <c r="G163" s="2">
        <f>IF(G154="","",SUMIF(C4:BF4,G154,C14:BF14))</f>
        <v>1</v>
      </c>
      <c r="H163" s="2">
        <f>IF(H154="","",SUMIF(C4:BF4,H154,C14:BF14))</f>
        <v>2</v>
      </c>
      <c r="I163" s="2">
        <f>IF(I154="","",SUMIF(C4:BF4,I154,C14:BF14))</f>
        <v>0</v>
      </c>
      <c r="J163" s="2">
        <f>IF(J154="","",SUMIF(C4:BF4,J154,C14:BF14))</f>
        <v>0</v>
      </c>
      <c r="K163" s="2">
        <f>IF(K154="","",SUMIF(C4:BF4,K154,C14:BF14))</f>
        <v>0</v>
      </c>
      <c r="L163" s="2">
        <f>IF(L154="","",SUMIF(C4:BF4,L154,C14:BF14))</f>
        <v>0</v>
      </c>
      <c r="M163" s="2">
        <f>IF(M154="","",SUMIF(C4:BF4,M154,C14:BF14))</f>
        <v>0</v>
      </c>
      <c r="N163" s="2">
        <f>IF(N154="","",SUMIF(C4:BF4,N154,C14:BF14))</f>
        <v>1</v>
      </c>
      <c r="O163" s="2">
        <f>IF(O154="","",SUMIF(C4:BF4,O154,C14:BF14))</f>
        <v>0</v>
      </c>
      <c r="P163" s="2">
        <f>IF(P154="","",SUMIF(C4:BF4,P154,C14:BF14))</f>
        <v>0</v>
      </c>
      <c r="Q163" s="2">
        <f>IF(Q154="","",SUMIF(C4:BF4,Q154,C14:BF14))</f>
        <v>1</v>
      </c>
      <c r="R163" s="2">
        <f>IF(R154="","",SUMIF(C4:BF4,R154,C14:BF14))</f>
        <v>0</v>
      </c>
      <c r="S163" s="2">
        <f>IF(S154="","",SUMIF(C4:BF4,S154,C14:BF14))</f>
        <v>0</v>
      </c>
      <c r="T163" s="2">
        <f>IF(T154="","",SUMIF(C4:BF4,T154,C14:BF14))</f>
        <v>0</v>
      </c>
      <c r="U163" s="2">
        <f>IF(U154="","",SUMIF(C4:BF4,U154,C14:BF14))</f>
        <v>0</v>
      </c>
      <c r="V163" s="2">
        <f>IF(V154="","",SUMIF(C4:BF4,V154,C14:BF14))</f>
        <v>0</v>
      </c>
      <c r="W163" s="2" t="str">
        <f>IF(W154="","",SUMIF(C4:BF4,W154,C14:BF14))</f>
        <v/>
      </c>
      <c r="X163" s="2" t="str">
        <f>IF(X154="","",SUMIF(C4:BF4,X154,C14:BF14))</f>
        <v/>
      </c>
      <c r="Y163" s="2" t="str">
        <f>IF(Y154="","",SUMIF(C4:BF4,Y154,C14:BF14))</f>
        <v/>
      </c>
      <c r="Z163" s="2" t="str">
        <f>IF(Z154="","",SUMIF(C4:BF4,Z154,C14:BF14))</f>
        <v/>
      </c>
      <c r="AA163" s="2" t="str">
        <f>IF(AA154="","",SUMIF(C4:BF4,AA154,C14:BF14))</f>
        <v/>
      </c>
      <c r="AB163" s="2" t="str">
        <f>IF(AB154="","",SUMIF(C4:BF4,AB154,C14:BF14))</f>
        <v/>
      </c>
      <c r="AC163" s="2" t="str">
        <f>IF(AC154="","",SUMIF(C4:BF4,AC154,C14:BF14))</f>
        <v/>
      </c>
      <c r="AD163" s="2" t="str">
        <f>IF(AD154="","",SUMIF(C4:BF4,AD154,C14:BF14))</f>
        <v/>
      </c>
      <c r="AE163" s="2" t="str">
        <f>IF(AE154="","",SUMIF(C4:BF4,AE154,C14:BF14))</f>
        <v/>
      </c>
      <c r="AF163" s="2" t="str">
        <f>IF(AF154="","",SUMIF(C4:BF4,AF154,C14:BF14))</f>
        <v/>
      </c>
      <c r="AG163" s="2" t="str">
        <f>IF(AG154="","",SUMIF(C4:BF4,AG154,C14:BF14))</f>
        <v/>
      </c>
      <c r="AH163" s="2" t="str">
        <f>IF(AH154="","",SUMIF(C4:BF4,AH154,C14:BF14))</f>
        <v/>
      </c>
      <c r="AI163" s="2" t="str">
        <f>IF(AI154="","",SUMIF(C4:BF4,AI154,C14:BF14))</f>
        <v/>
      </c>
      <c r="AJ163" s="2" t="str">
        <f>IF(AJ154="","",SUMIF(C4:BF4,AJ154,C14:BF14))</f>
        <v/>
      </c>
      <c r="AK163" s="2" t="str">
        <f>IF(AK154="","",SUMIF(C4:BF4,AK154,C14:BF14))</f>
        <v/>
      </c>
      <c r="AL163" s="2" t="str">
        <f>IF(AL154="","",SUMIF(C4:BF4,AL154,C14:BF14))</f>
        <v/>
      </c>
      <c r="AM163" s="2" t="str">
        <f>IF(AM154="","",SUMIF(C4:BF4,AM154,C14:BF14))</f>
        <v/>
      </c>
      <c r="AN163" s="2" t="str">
        <f>IF(AN154="","",SUMIF(C4:BF4,AN154,C14:BF14))</f>
        <v/>
      </c>
      <c r="AO163" s="2" t="str">
        <f>IF(AO154="","",SUMIF(C4:BF4,AO154,C14:BF14))</f>
        <v/>
      </c>
      <c r="AP163" s="2" t="str">
        <f>IF(AP154="","",SUMIF(C4:BF4,AP154,C14:BF14))</f>
        <v/>
      </c>
      <c r="AQ163" s="2" t="str">
        <f>IF(AQ154="","",SUMIF(C4:BF4,AQ154,C14:BF14))</f>
        <v/>
      </c>
      <c r="AR163" s="2" t="str">
        <f>IF(AR154="","",SUMIF(C4:BF4,AR154,C14:BF14))</f>
        <v/>
      </c>
      <c r="AS163" s="2" t="str">
        <f>IF(AS154="","",SUMIF(C4:BF4,AS154,C14:BF14))</f>
        <v/>
      </c>
      <c r="AT163" s="2" t="str">
        <f>IF(AT154="","",SUMIF(C4:BF4,AT154,C14:BF14))</f>
        <v/>
      </c>
      <c r="AU163" s="2" t="str">
        <f>IF(AU154="","",SUMIF(C4:BF4,AU154,C14:BF14))</f>
        <v/>
      </c>
      <c r="AV163" s="2" t="str">
        <f>IF(AV154="","",SUMIF(C4:BF4,AV154,C14:BF14))</f>
        <v/>
      </c>
      <c r="AW163" s="2" t="str">
        <f>IF(AW154="","",SUMIF(C4:BF4,AW154,C14:BF14))</f>
        <v/>
      </c>
      <c r="AX163" s="2" t="str">
        <f>IF(AX154="","",SUMIF(C4:BF4,AX154,C14:BF14))</f>
        <v/>
      </c>
      <c r="AY163" s="2" t="str">
        <f>IF(AY154="","",SUMIF(C4:BF4,AY154,C14:BF14))</f>
        <v/>
      </c>
      <c r="AZ163" s="2" t="str">
        <f>IF(AZ154="","",SUMIF(C4:BF4,AZ154,C14:BF14))</f>
        <v/>
      </c>
      <c r="BA163" s="2" t="str">
        <f>IF(BA154="","",SUMIF(C4:BF4,BA154,C14:BF14))</f>
        <v/>
      </c>
      <c r="BB163" s="2" t="str">
        <f>IF(BB154="","",SUMIF(C4:BF4,BB154,C14:BF14))</f>
        <v/>
      </c>
      <c r="BC163" s="2" t="str">
        <f>IF(BC154="","",SUMIF(C4:BF4,BC154,C14:BF14))</f>
        <v/>
      </c>
      <c r="BD163" s="2" t="str">
        <f>IF(BD154="","",SUMIF(C4:BF4,BD154,C14:BF14))</f>
        <v/>
      </c>
      <c r="BE163" s="2" t="str">
        <f>IF(BE154="","",SUMIF(C4:BF4,BE154,C14:BF14))</f>
        <v/>
      </c>
      <c r="BF163" s="4" t="str">
        <f>IF(BF154="","",SUMIF(C4:BF4,BF154,C14:BF14))</f>
        <v/>
      </c>
    </row>
    <row r="164" spans="1:58">
      <c r="A164" s="18">
        <f t="shared" si="12"/>
        <v>46146</v>
      </c>
      <c r="B164" s="2" t="str">
        <f t="shared" si="12"/>
        <v>May 4</v>
      </c>
      <c r="C164" s="2">
        <f>IF(C154="","",SUMIF(C4:BF4,C154,C15:BF15))</f>
        <v>0</v>
      </c>
      <c r="D164" s="2">
        <f>IF(D154="","",SUMIF(C4:BF4,D154,C15:BF15))</f>
        <v>3</v>
      </c>
      <c r="E164" s="2">
        <f>IF(E154="","",SUMIF(C4:BF4,E154,C15:BF15))</f>
        <v>3</v>
      </c>
      <c r="F164" s="2">
        <f>IF(F154="","",SUMIF(C4:BF4,F154,C15:BF15))</f>
        <v>0</v>
      </c>
      <c r="G164" s="2">
        <f>IF(G154="","",SUMIF(C4:BF4,G154,C15:BF15))</f>
        <v>0</v>
      </c>
      <c r="H164" s="2">
        <f>IF(H154="","",SUMIF(C4:BF4,H154,C15:BF15))</f>
        <v>0</v>
      </c>
      <c r="I164" s="2">
        <f>IF(I154="","",SUMIF(C4:BF4,I154,C15:BF15))</f>
        <v>0</v>
      </c>
      <c r="J164" s="2">
        <f>IF(J154="","",SUMIF(C4:BF4,J154,C15:BF15))</f>
        <v>0</v>
      </c>
      <c r="K164" s="2">
        <f>IF(K154="","",SUMIF(C4:BF4,K154,C15:BF15))</f>
        <v>0</v>
      </c>
      <c r="L164" s="2">
        <f>IF(L154="","",SUMIF(C4:BF4,L154,C15:BF15))</f>
        <v>1</v>
      </c>
      <c r="M164" s="2">
        <f>IF(M154="","",SUMIF(C4:BF4,M154,C15:BF15))</f>
        <v>0</v>
      </c>
      <c r="N164" s="2">
        <f>IF(N154="","",SUMIF(C4:BF4,N154,C15:BF15))</f>
        <v>0</v>
      </c>
      <c r="O164" s="2">
        <f>IF(O154="","",SUMIF(C4:BF4,O154,C15:BF15))</f>
        <v>0</v>
      </c>
      <c r="P164" s="2">
        <f>IF(P154="","",SUMIF(C4:BF4,P154,C15:BF15))</f>
        <v>0</v>
      </c>
      <c r="Q164" s="2">
        <f>IF(Q154="","",SUMIF(C4:BF4,Q154,C15:BF15))</f>
        <v>0</v>
      </c>
      <c r="R164" s="2">
        <f>IF(R154="","",SUMIF(C4:BF4,R154,C15:BF15))</f>
        <v>0</v>
      </c>
      <c r="S164" s="2">
        <f>IF(S154="","",SUMIF(C4:BF4,S154,C15:BF15))</f>
        <v>0</v>
      </c>
      <c r="T164" s="2">
        <f>IF(T154="","",SUMIF(C4:BF4,T154,C15:BF15))</f>
        <v>0</v>
      </c>
      <c r="U164" s="2">
        <f>IF(U154="","",SUMIF(C4:BF4,U154,C15:BF15))</f>
        <v>0</v>
      </c>
      <c r="V164" s="2">
        <f>IF(V154="","",SUMIF(C4:BF4,V154,C15:BF15))</f>
        <v>1</v>
      </c>
      <c r="W164" s="2" t="str">
        <f>IF(W154="","",SUMIF(C4:BF4,W154,C15:BF15))</f>
        <v/>
      </c>
      <c r="X164" s="2" t="str">
        <f>IF(X154="","",SUMIF(C4:BF4,X154,C15:BF15))</f>
        <v/>
      </c>
      <c r="Y164" s="2" t="str">
        <f>IF(Y154="","",SUMIF(C4:BF4,Y154,C15:BF15))</f>
        <v/>
      </c>
      <c r="Z164" s="2" t="str">
        <f>IF(Z154="","",SUMIF(C4:BF4,Z154,C15:BF15))</f>
        <v/>
      </c>
      <c r="AA164" s="2" t="str">
        <f>IF(AA154="","",SUMIF(C4:BF4,AA154,C15:BF15))</f>
        <v/>
      </c>
      <c r="AB164" s="2" t="str">
        <f>IF(AB154="","",SUMIF(C4:BF4,AB154,C15:BF15))</f>
        <v/>
      </c>
      <c r="AC164" s="2" t="str">
        <f>IF(AC154="","",SUMIF(C4:BF4,AC154,C15:BF15))</f>
        <v/>
      </c>
      <c r="AD164" s="2" t="str">
        <f>IF(AD154="","",SUMIF(C4:BF4,AD154,C15:BF15))</f>
        <v/>
      </c>
      <c r="AE164" s="2" t="str">
        <f>IF(AE154="","",SUMIF(C4:BF4,AE154,C15:BF15))</f>
        <v/>
      </c>
      <c r="AF164" s="2" t="str">
        <f>IF(AF154="","",SUMIF(C4:BF4,AF154,C15:BF15))</f>
        <v/>
      </c>
      <c r="AG164" s="2" t="str">
        <f>IF(AG154="","",SUMIF(C4:BF4,AG154,C15:BF15))</f>
        <v/>
      </c>
      <c r="AH164" s="2" t="str">
        <f>IF(AH154="","",SUMIF(C4:BF4,AH154,C15:BF15))</f>
        <v/>
      </c>
      <c r="AI164" s="2" t="str">
        <f>IF(AI154="","",SUMIF(C4:BF4,AI154,C15:BF15))</f>
        <v/>
      </c>
      <c r="AJ164" s="2" t="str">
        <f>IF(AJ154="","",SUMIF(C4:BF4,AJ154,C15:BF15))</f>
        <v/>
      </c>
      <c r="AK164" s="2" t="str">
        <f>IF(AK154="","",SUMIF(C4:BF4,AK154,C15:BF15))</f>
        <v/>
      </c>
      <c r="AL164" s="2" t="str">
        <f>IF(AL154="","",SUMIF(C4:BF4,AL154,C15:BF15))</f>
        <v/>
      </c>
      <c r="AM164" s="2" t="str">
        <f>IF(AM154="","",SUMIF(C4:BF4,AM154,C15:BF15))</f>
        <v/>
      </c>
      <c r="AN164" s="2" t="str">
        <f>IF(AN154="","",SUMIF(C4:BF4,AN154,C15:BF15))</f>
        <v/>
      </c>
      <c r="AO164" s="2" t="str">
        <f>IF(AO154="","",SUMIF(C4:BF4,AO154,C15:BF15))</f>
        <v/>
      </c>
      <c r="AP164" s="2" t="str">
        <f>IF(AP154="","",SUMIF(C4:BF4,AP154,C15:BF15))</f>
        <v/>
      </c>
      <c r="AQ164" s="2" t="str">
        <f>IF(AQ154="","",SUMIF(C4:BF4,AQ154,C15:BF15))</f>
        <v/>
      </c>
      <c r="AR164" s="2" t="str">
        <f>IF(AR154="","",SUMIF(C4:BF4,AR154,C15:BF15))</f>
        <v/>
      </c>
      <c r="AS164" s="2" t="str">
        <f>IF(AS154="","",SUMIF(C4:BF4,AS154,C15:BF15))</f>
        <v/>
      </c>
      <c r="AT164" s="2" t="str">
        <f>IF(AT154="","",SUMIF(C4:BF4,AT154,C15:BF15))</f>
        <v/>
      </c>
      <c r="AU164" s="2" t="str">
        <f>IF(AU154="","",SUMIF(C4:BF4,AU154,C15:BF15))</f>
        <v/>
      </c>
      <c r="AV164" s="2" t="str">
        <f>IF(AV154="","",SUMIF(C4:BF4,AV154,C15:BF15))</f>
        <v/>
      </c>
      <c r="AW164" s="2" t="str">
        <f>IF(AW154="","",SUMIF(C4:BF4,AW154,C15:BF15))</f>
        <v/>
      </c>
      <c r="AX164" s="2" t="str">
        <f>IF(AX154="","",SUMIF(C4:BF4,AX154,C15:BF15))</f>
        <v/>
      </c>
      <c r="AY164" s="2" t="str">
        <f>IF(AY154="","",SUMIF(C4:BF4,AY154,C15:BF15))</f>
        <v/>
      </c>
      <c r="AZ164" s="2" t="str">
        <f>IF(AZ154="","",SUMIF(C4:BF4,AZ154,C15:BF15))</f>
        <v/>
      </c>
      <c r="BA164" s="2" t="str">
        <f>IF(BA154="","",SUMIF(C4:BF4,BA154,C15:BF15))</f>
        <v/>
      </c>
      <c r="BB164" s="2" t="str">
        <f>IF(BB154="","",SUMIF(C4:BF4,BB154,C15:BF15))</f>
        <v/>
      </c>
      <c r="BC164" s="2" t="str">
        <f>IF(BC154="","",SUMIF(C4:BF4,BC154,C15:BF15))</f>
        <v/>
      </c>
      <c r="BD164" s="2" t="str">
        <f>IF(BD154="","",SUMIF(C4:BF4,BD154,C15:BF15))</f>
        <v/>
      </c>
      <c r="BE164" s="2" t="str">
        <f>IF(BE154="","",SUMIF(C4:BF4,BE154,C15:BF15))</f>
        <v/>
      </c>
      <c r="BF164" s="4" t="str">
        <f>IF(BF154="","",SUMIF(C4:BF4,BF154,C15:BF15))</f>
        <v/>
      </c>
    </row>
    <row r="165" spans="1:58">
      <c r="A165" s="18">
        <f t="shared" si="12"/>
        <v>46153</v>
      </c>
      <c r="B165" s="2" t="str">
        <f t="shared" si="12"/>
        <v>May 11</v>
      </c>
      <c r="C165" s="2">
        <f>IF(C154="","",SUMIF(C4:BF4,C154,C16:BF16))</f>
        <v>0</v>
      </c>
      <c r="D165" s="2">
        <f>IF(D154="","",SUMIF(C4:BF4,D154,C16:BF16))</f>
        <v>1</v>
      </c>
      <c r="E165" s="2">
        <f>IF(E154="","",SUMIF(C4:BF4,E154,C16:BF16))</f>
        <v>0</v>
      </c>
      <c r="F165" s="2">
        <f>IF(F154="","",SUMIF(C4:BF4,F154,C16:BF16))</f>
        <v>0</v>
      </c>
      <c r="G165" s="2">
        <f>IF(G154="","",SUMIF(C4:BF4,G154,C16:BF16))</f>
        <v>0</v>
      </c>
      <c r="H165" s="2">
        <f>IF(H154="","",SUMIF(C4:BF4,H154,C16:BF16))</f>
        <v>1</v>
      </c>
      <c r="I165" s="2">
        <f>IF(I154="","",SUMIF(C4:BF4,I154,C16:BF16))</f>
        <v>0</v>
      </c>
      <c r="J165" s="2">
        <f>IF(J154="","",SUMIF(C4:BF4,J154,C16:BF16))</f>
        <v>0</v>
      </c>
      <c r="K165" s="2">
        <f>IF(K154="","",SUMIF(C4:BF4,K154,C16:BF16))</f>
        <v>0</v>
      </c>
      <c r="L165" s="2">
        <f>IF(L154="","",SUMIF(C4:BF4,L154,C16:BF16))</f>
        <v>0</v>
      </c>
      <c r="M165" s="2">
        <f>IF(M154="","",SUMIF(C4:BF4,M154,C16:BF16))</f>
        <v>0</v>
      </c>
      <c r="N165" s="2">
        <f>IF(N154="","",SUMIF(C4:BF4,N154,C16:BF16))</f>
        <v>0</v>
      </c>
      <c r="O165" s="2">
        <f>IF(O154="","",SUMIF(C4:BF4,O154,C16:BF16))</f>
        <v>0</v>
      </c>
      <c r="P165" s="2">
        <f>IF(P154="","",SUMIF(C4:BF4,P154,C16:BF16))</f>
        <v>0</v>
      </c>
      <c r="Q165" s="2">
        <f>IF(Q154="","",SUMIF(C4:BF4,Q154,C16:BF16))</f>
        <v>0</v>
      </c>
      <c r="R165" s="2">
        <f>IF(R154="","",SUMIF(C4:BF4,R154,C16:BF16))</f>
        <v>0</v>
      </c>
      <c r="S165" s="2">
        <f>IF(S154="","",SUMIF(C4:BF4,S154,C16:BF16))</f>
        <v>0</v>
      </c>
      <c r="T165" s="2">
        <f>IF(T154="","",SUMIF(C4:BF4,T154,C16:BF16))</f>
        <v>0</v>
      </c>
      <c r="U165" s="2">
        <f>IF(U154="","",SUMIF(C4:BF4,U154,C16:BF16))</f>
        <v>0</v>
      </c>
      <c r="V165" s="2">
        <f>IF(V154="","",SUMIF(C4:BF4,V154,C16:BF16))</f>
        <v>0</v>
      </c>
      <c r="W165" s="2" t="str">
        <f>IF(W154="","",SUMIF(C4:BF4,W154,C16:BF16))</f>
        <v/>
      </c>
      <c r="X165" s="2" t="str">
        <f>IF(X154="","",SUMIF(C4:BF4,X154,C16:BF16))</f>
        <v/>
      </c>
      <c r="Y165" s="2" t="str">
        <f>IF(Y154="","",SUMIF(C4:BF4,Y154,C16:BF16))</f>
        <v/>
      </c>
      <c r="Z165" s="2" t="str">
        <f>IF(Z154="","",SUMIF(C4:BF4,Z154,C16:BF16))</f>
        <v/>
      </c>
      <c r="AA165" s="2" t="str">
        <f>IF(AA154="","",SUMIF(C4:BF4,AA154,C16:BF16))</f>
        <v/>
      </c>
      <c r="AB165" s="2" t="str">
        <f>IF(AB154="","",SUMIF(C4:BF4,AB154,C16:BF16))</f>
        <v/>
      </c>
      <c r="AC165" s="2" t="str">
        <f>IF(AC154="","",SUMIF(C4:BF4,AC154,C16:BF16))</f>
        <v/>
      </c>
      <c r="AD165" s="2" t="str">
        <f>IF(AD154="","",SUMIF(C4:BF4,AD154,C16:BF16))</f>
        <v/>
      </c>
      <c r="AE165" s="2" t="str">
        <f>IF(AE154="","",SUMIF(C4:BF4,AE154,C16:BF16))</f>
        <v/>
      </c>
      <c r="AF165" s="2" t="str">
        <f>IF(AF154="","",SUMIF(C4:BF4,AF154,C16:BF16))</f>
        <v/>
      </c>
      <c r="AG165" s="2" t="str">
        <f>IF(AG154="","",SUMIF(C4:BF4,AG154,C16:BF16))</f>
        <v/>
      </c>
      <c r="AH165" s="2" t="str">
        <f>IF(AH154="","",SUMIF(C4:BF4,AH154,C16:BF16))</f>
        <v/>
      </c>
      <c r="AI165" s="2" t="str">
        <f>IF(AI154="","",SUMIF(C4:BF4,AI154,C16:BF16))</f>
        <v/>
      </c>
      <c r="AJ165" s="2" t="str">
        <f>IF(AJ154="","",SUMIF(C4:BF4,AJ154,C16:BF16))</f>
        <v/>
      </c>
      <c r="AK165" s="2" t="str">
        <f>IF(AK154="","",SUMIF(C4:BF4,AK154,C16:BF16))</f>
        <v/>
      </c>
      <c r="AL165" s="2" t="str">
        <f>IF(AL154="","",SUMIF(C4:BF4,AL154,C16:BF16))</f>
        <v/>
      </c>
      <c r="AM165" s="2" t="str">
        <f>IF(AM154="","",SUMIF(C4:BF4,AM154,C16:BF16))</f>
        <v/>
      </c>
      <c r="AN165" s="2" t="str">
        <f>IF(AN154="","",SUMIF(C4:BF4,AN154,C16:BF16))</f>
        <v/>
      </c>
      <c r="AO165" s="2" t="str">
        <f>IF(AO154="","",SUMIF(C4:BF4,AO154,C16:BF16))</f>
        <v/>
      </c>
      <c r="AP165" s="2" t="str">
        <f>IF(AP154="","",SUMIF(C4:BF4,AP154,C16:BF16))</f>
        <v/>
      </c>
      <c r="AQ165" s="2" t="str">
        <f>IF(AQ154="","",SUMIF(C4:BF4,AQ154,C16:BF16))</f>
        <v/>
      </c>
      <c r="AR165" s="2" t="str">
        <f>IF(AR154="","",SUMIF(C4:BF4,AR154,C16:BF16))</f>
        <v/>
      </c>
      <c r="AS165" s="2" t="str">
        <f>IF(AS154="","",SUMIF(C4:BF4,AS154,C16:BF16))</f>
        <v/>
      </c>
      <c r="AT165" s="2" t="str">
        <f>IF(AT154="","",SUMIF(C4:BF4,AT154,C16:BF16))</f>
        <v/>
      </c>
      <c r="AU165" s="2" t="str">
        <f>IF(AU154="","",SUMIF(C4:BF4,AU154,C16:BF16))</f>
        <v/>
      </c>
      <c r="AV165" s="2" t="str">
        <f>IF(AV154="","",SUMIF(C4:BF4,AV154,C16:BF16))</f>
        <v/>
      </c>
      <c r="AW165" s="2" t="str">
        <f>IF(AW154="","",SUMIF(C4:BF4,AW154,C16:BF16))</f>
        <v/>
      </c>
      <c r="AX165" s="2" t="str">
        <f>IF(AX154="","",SUMIF(C4:BF4,AX154,C16:BF16))</f>
        <v/>
      </c>
      <c r="AY165" s="2" t="str">
        <f>IF(AY154="","",SUMIF(C4:BF4,AY154,C16:BF16))</f>
        <v/>
      </c>
      <c r="AZ165" s="2" t="str">
        <f>IF(AZ154="","",SUMIF(C4:BF4,AZ154,C16:BF16))</f>
        <v/>
      </c>
      <c r="BA165" s="2" t="str">
        <f>IF(BA154="","",SUMIF(C4:BF4,BA154,C16:BF16))</f>
        <v/>
      </c>
      <c r="BB165" s="2" t="str">
        <f>IF(BB154="","",SUMIF(C4:BF4,BB154,C16:BF16))</f>
        <v/>
      </c>
      <c r="BC165" s="2" t="str">
        <f>IF(BC154="","",SUMIF(C4:BF4,BC154,C16:BF16))</f>
        <v/>
      </c>
      <c r="BD165" s="2" t="str">
        <f>IF(BD154="","",SUMIF(C4:BF4,BD154,C16:BF16))</f>
        <v/>
      </c>
      <c r="BE165" s="2" t="str">
        <f>IF(BE154="","",SUMIF(C4:BF4,BE154,C16:BF16))</f>
        <v/>
      </c>
      <c r="BF165" s="4" t="str">
        <f>IF(BF154="","",SUMIF(C4:BF4,BF154,C16:BF16))</f>
        <v/>
      </c>
    </row>
    <row r="166" spans="1:58">
      <c r="A166" s="18">
        <f t="shared" si="12"/>
        <v>46160</v>
      </c>
      <c r="B166" s="2" t="str">
        <f t="shared" si="12"/>
        <v>May 18</v>
      </c>
      <c r="C166" s="2">
        <f>IF(C154="","",SUMIF(C4:BF4,C154,C17:BF17))</f>
        <v>0</v>
      </c>
      <c r="D166" s="2">
        <f>IF(D154="","",SUMIF(C4:BF4,D154,C17:BF17))</f>
        <v>3</v>
      </c>
      <c r="E166" s="2">
        <f>IF(E154="","",SUMIF(C4:BF4,E154,C17:BF17))</f>
        <v>0</v>
      </c>
      <c r="F166" s="2">
        <f>IF(F154="","",SUMIF(C4:BF4,F154,C17:BF17))</f>
        <v>0</v>
      </c>
      <c r="G166" s="2">
        <f>IF(G154="","",SUMIF(C4:BF4,G154,C17:BF17))</f>
        <v>0</v>
      </c>
      <c r="H166" s="2">
        <f>IF(H154="","",SUMIF(C4:BF4,H154,C17:BF17))</f>
        <v>0</v>
      </c>
      <c r="I166" s="2">
        <f>IF(I154="","",SUMIF(C4:BF4,I154,C17:BF17))</f>
        <v>0</v>
      </c>
      <c r="J166" s="2">
        <f>IF(J154="","",SUMIF(C4:BF4,J154,C17:BF17))</f>
        <v>0</v>
      </c>
      <c r="K166" s="2">
        <f>IF(K154="","",SUMIF(C4:BF4,K154,C17:BF17))</f>
        <v>0</v>
      </c>
      <c r="L166" s="2">
        <f>IF(L154="","",SUMIF(C4:BF4,L154,C17:BF17))</f>
        <v>0</v>
      </c>
      <c r="M166" s="2">
        <f>IF(M154="","",SUMIF(C4:BF4,M154,C17:BF17))</f>
        <v>0</v>
      </c>
      <c r="N166" s="2">
        <f>IF(N154="","",SUMIF(C4:BF4,N154,C17:BF17))</f>
        <v>0</v>
      </c>
      <c r="O166" s="2">
        <f>IF(O154="","",SUMIF(C4:BF4,O154,C17:BF17))</f>
        <v>0</v>
      </c>
      <c r="P166" s="2">
        <f>IF(P154="","",SUMIF(C4:BF4,P154,C17:BF17))</f>
        <v>0</v>
      </c>
      <c r="Q166" s="2">
        <f>IF(Q154="","",SUMIF(C4:BF4,Q154,C17:BF17))</f>
        <v>0</v>
      </c>
      <c r="R166" s="2">
        <f>IF(R154="","",SUMIF(C4:BF4,R154,C17:BF17))</f>
        <v>0</v>
      </c>
      <c r="S166" s="2">
        <f>IF(S154="","",SUMIF(C4:BF4,S154,C17:BF17))</f>
        <v>0</v>
      </c>
      <c r="T166" s="2">
        <f>IF(T154="","",SUMIF(C4:BF4,T154,C17:BF17))</f>
        <v>2</v>
      </c>
      <c r="U166" s="2">
        <f>IF(U154="","",SUMIF(C4:BF4,U154,C17:BF17))</f>
        <v>0</v>
      </c>
      <c r="V166" s="2">
        <f>IF(V154="","",SUMIF(C4:BF4,V154,C17:BF17))</f>
        <v>0</v>
      </c>
      <c r="W166" s="2" t="str">
        <f>IF(W154="","",SUMIF(C4:BF4,W154,C17:BF17))</f>
        <v/>
      </c>
      <c r="X166" s="2" t="str">
        <f>IF(X154="","",SUMIF(C4:BF4,X154,C17:BF17))</f>
        <v/>
      </c>
      <c r="Y166" s="2" t="str">
        <f>IF(Y154="","",SUMIF(C4:BF4,Y154,C17:BF17))</f>
        <v/>
      </c>
      <c r="Z166" s="2" t="str">
        <f>IF(Z154="","",SUMIF(C4:BF4,Z154,C17:BF17))</f>
        <v/>
      </c>
      <c r="AA166" s="2" t="str">
        <f>IF(AA154="","",SUMIF(C4:BF4,AA154,C17:BF17))</f>
        <v/>
      </c>
      <c r="AB166" s="2" t="str">
        <f>IF(AB154="","",SUMIF(C4:BF4,AB154,C17:BF17))</f>
        <v/>
      </c>
      <c r="AC166" s="2" t="str">
        <f>IF(AC154="","",SUMIF(C4:BF4,AC154,C17:BF17))</f>
        <v/>
      </c>
      <c r="AD166" s="2" t="str">
        <f>IF(AD154="","",SUMIF(C4:BF4,AD154,C17:BF17))</f>
        <v/>
      </c>
      <c r="AE166" s="2" t="str">
        <f>IF(AE154="","",SUMIF(C4:BF4,AE154,C17:BF17))</f>
        <v/>
      </c>
      <c r="AF166" s="2" t="str">
        <f>IF(AF154="","",SUMIF(C4:BF4,AF154,C17:BF17))</f>
        <v/>
      </c>
      <c r="AG166" s="2" t="str">
        <f>IF(AG154="","",SUMIF(C4:BF4,AG154,C17:BF17))</f>
        <v/>
      </c>
      <c r="AH166" s="2" t="str">
        <f>IF(AH154="","",SUMIF(C4:BF4,AH154,C17:BF17))</f>
        <v/>
      </c>
      <c r="AI166" s="2" t="str">
        <f>IF(AI154="","",SUMIF(C4:BF4,AI154,C17:BF17))</f>
        <v/>
      </c>
      <c r="AJ166" s="2" t="str">
        <f>IF(AJ154="","",SUMIF(C4:BF4,AJ154,C17:BF17))</f>
        <v/>
      </c>
      <c r="AK166" s="2" t="str">
        <f>IF(AK154="","",SUMIF(C4:BF4,AK154,C17:BF17))</f>
        <v/>
      </c>
      <c r="AL166" s="2" t="str">
        <f>IF(AL154="","",SUMIF(C4:BF4,AL154,C17:BF17))</f>
        <v/>
      </c>
      <c r="AM166" s="2" t="str">
        <f>IF(AM154="","",SUMIF(C4:BF4,AM154,C17:BF17))</f>
        <v/>
      </c>
      <c r="AN166" s="2" t="str">
        <f>IF(AN154="","",SUMIF(C4:BF4,AN154,C17:BF17))</f>
        <v/>
      </c>
      <c r="AO166" s="2" t="str">
        <f>IF(AO154="","",SUMIF(C4:BF4,AO154,C17:BF17))</f>
        <v/>
      </c>
      <c r="AP166" s="2" t="str">
        <f>IF(AP154="","",SUMIF(C4:BF4,AP154,C17:BF17))</f>
        <v/>
      </c>
      <c r="AQ166" s="2" t="str">
        <f>IF(AQ154="","",SUMIF(C4:BF4,AQ154,C17:BF17))</f>
        <v/>
      </c>
      <c r="AR166" s="2" t="str">
        <f>IF(AR154="","",SUMIF(C4:BF4,AR154,C17:BF17))</f>
        <v/>
      </c>
      <c r="AS166" s="2" t="str">
        <f>IF(AS154="","",SUMIF(C4:BF4,AS154,C17:BF17))</f>
        <v/>
      </c>
      <c r="AT166" s="2" t="str">
        <f>IF(AT154="","",SUMIF(C4:BF4,AT154,C17:BF17))</f>
        <v/>
      </c>
      <c r="AU166" s="2" t="str">
        <f>IF(AU154="","",SUMIF(C4:BF4,AU154,C17:BF17))</f>
        <v/>
      </c>
      <c r="AV166" s="2" t="str">
        <f>IF(AV154="","",SUMIF(C4:BF4,AV154,C17:BF17))</f>
        <v/>
      </c>
      <c r="AW166" s="2" t="str">
        <f>IF(AW154="","",SUMIF(C4:BF4,AW154,C17:BF17))</f>
        <v/>
      </c>
      <c r="AX166" s="2" t="str">
        <f>IF(AX154="","",SUMIF(C4:BF4,AX154,C17:BF17))</f>
        <v/>
      </c>
      <c r="AY166" s="2" t="str">
        <f>IF(AY154="","",SUMIF(C4:BF4,AY154,C17:BF17))</f>
        <v/>
      </c>
      <c r="AZ166" s="2" t="str">
        <f>IF(AZ154="","",SUMIF(C4:BF4,AZ154,C17:BF17))</f>
        <v/>
      </c>
      <c r="BA166" s="2" t="str">
        <f>IF(BA154="","",SUMIF(C4:BF4,BA154,C17:BF17))</f>
        <v/>
      </c>
      <c r="BB166" s="2" t="str">
        <f>IF(BB154="","",SUMIF(C4:BF4,BB154,C17:BF17))</f>
        <v/>
      </c>
      <c r="BC166" s="2" t="str">
        <f>IF(BC154="","",SUMIF(C4:BF4,BC154,C17:BF17))</f>
        <v/>
      </c>
      <c r="BD166" s="2" t="str">
        <f>IF(BD154="","",SUMIF(C4:BF4,BD154,C17:BF17))</f>
        <v/>
      </c>
      <c r="BE166" s="2" t="str">
        <f>IF(BE154="","",SUMIF(C4:BF4,BE154,C17:BF17))</f>
        <v/>
      </c>
      <c r="BF166" s="4" t="str">
        <f>IF(BF154="","",SUMIF(C4:BF4,BF154,C17:BF17))</f>
        <v/>
      </c>
    </row>
    <row r="167" spans="1:58">
      <c r="A167" s="18">
        <f t="shared" si="12"/>
        <v>46167</v>
      </c>
      <c r="B167" s="2" t="str">
        <f t="shared" si="12"/>
        <v>May 25</v>
      </c>
      <c r="C167" s="2">
        <f>IF(C154="","",SUMIF(C4:BF4,C154,C18:BF18))</f>
        <v>0</v>
      </c>
      <c r="D167" s="2">
        <f>IF(D154="","",SUMIF(C4:BF4,D154,C18:BF18))</f>
        <v>2</v>
      </c>
      <c r="E167" s="2">
        <f>IF(E154="","",SUMIF(C4:BF4,E154,C18:BF18))</f>
        <v>0</v>
      </c>
      <c r="F167" s="2">
        <f>IF(F154="","",SUMIF(C4:BF4,F154,C18:BF18))</f>
        <v>0</v>
      </c>
      <c r="G167" s="2">
        <f>IF(G154="","",SUMIF(C4:BF4,G154,C18:BF18))</f>
        <v>0</v>
      </c>
      <c r="H167" s="2">
        <f>IF(H154="","",SUMIF(C4:BF4,H154,C18:BF18))</f>
        <v>0</v>
      </c>
      <c r="I167" s="2">
        <f>IF(I154="","",SUMIF(C4:BF4,I154,C18:BF18))</f>
        <v>0</v>
      </c>
      <c r="J167" s="2">
        <f>IF(J154="","",SUMIF(C4:BF4,J154,C18:BF18))</f>
        <v>0</v>
      </c>
      <c r="K167" s="2">
        <f>IF(K154="","",SUMIF(C4:BF4,K154,C18:BF18))</f>
        <v>0</v>
      </c>
      <c r="L167" s="2">
        <f>IF(L154="","",SUMIF(C4:BF4,L154,C18:BF18))</f>
        <v>1</v>
      </c>
      <c r="M167" s="2">
        <f>IF(M154="","",SUMIF(C4:BF4,M154,C18:BF18))</f>
        <v>0</v>
      </c>
      <c r="N167" s="2">
        <f>IF(N154="","",SUMIF(C4:BF4,N154,C18:BF18))</f>
        <v>0</v>
      </c>
      <c r="O167" s="2">
        <f>IF(O154="","",SUMIF(C4:BF4,O154,C18:BF18))</f>
        <v>0</v>
      </c>
      <c r="P167" s="2">
        <f>IF(P154="","",SUMIF(C4:BF4,P154,C18:BF18))</f>
        <v>0</v>
      </c>
      <c r="Q167" s="2">
        <f>IF(Q154="","",SUMIF(C4:BF4,Q154,C18:BF18))</f>
        <v>0</v>
      </c>
      <c r="R167" s="2">
        <f>IF(R154="","",SUMIF(C4:BF4,R154,C18:BF18))</f>
        <v>1</v>
      </c>
      <c r="S167" s="2">
        <f>IF(S154="","",SUMIF(C4:BF4,S154,C18:BF18))</f>
        <v>0</v>
      </c>
      <c r="T167" s="2">
        <f>IF(T154="","",SUMIF(C4:BF4,T154,C18:BF18))</f>
        <v>0</v>
      </c>
      <c r="U167" s="2">
        <f>IF(U154="","",SUMIF(C4:BF4,U154,C18:BF18))</f>
        <v>0</v>
      </c>
      <c r="V167" s="2">
        <f>IF(V154="","",SUMIF(C4:BF4,V154,C18:BF18))</f>
        <v>0</v>
      </c>
      <c r="W167" s="2" t="str">
        <f>IF(W154="","",SUMIF(C4:BF4,W154,C18:BF18))</f>
        <v/>
      </c>
      <c r="X167" s="2" t="str">
        <f>IF(X154="","",SUMIF(C4:BF4,X154,C18:BF18))</f>
        <v/>
      </c>
      <c r="Y167" s="2" t="str">
        <f>IF(Y154="","",SUMIF(C4:BF4,Y154,C18:BF18))</f>
        <v/>
      </c>
      <c r="Z167" s="2" t="str">
        <f>IF(Z154="","",SUMIF(C4:BF4,Z154,C18:BF18))</f>
        <v/>
      </c>
      <c r="AA167" s="2" t="str">
        <f>IF(AA154="","",SUMIF(C4:BF4,AA154,C18:BF18))</f>
        <v/>
      </c>
      <c r="AB167" s="2" t="str">
        <f>IF(AB154="","",SUMIF(C4:BF4,AB154,C18:BF18))</f>
        <v/>
      </c>
      <c r="AC167" s="2" t="str">
        <f>IF(AC154="","",SUMIF(C4:BF4,AC154,C18:BF18))</f>
        <v/>
      </c>
      <c r="AD167" s="2" t="str">
        <f>IF(AD154="","",SUMIF(C4:BF4,AD154,C18:BF18))</f>
        <v/>
      </c>
      <c r="AE167" s="2" t="str">
        <f>IF(AE154="","",SUMIF(C4:BF4,AE154,C18:BF18))</f>
        <v/>
      </c>
      <c r="AF167" s="2" t="str">
        <f>IF(AF154="","",SUMIF(C4:BF4,AF154,C18:BF18))</f>
        <v/>
      </c>
      <c r="AG167" s="2" t="str">
        <f>IF(AG154="","",SUMIF(C4:BF4,AG154,C18:BF18))</f>
        <v/>
      </c>
      <c r="AH167" s="2" t="str">
        <f>IF(AH154="","",SUMIF(C4:BF4,AH154,C18:BF18))</f>
        <v/>
      </c>
      <c r="AI167" s="2" t="str">
        <f>IF(AI154="","",SUMIF(C4:BF4,AI154,C18:BF18))</f>
        <v/>
      </c>
      <c r="AJ167" s="2" t="str">
        <f>IF(AJ154="","",SUMIF(C4:BF4,AJ154,C18:BF18))</f>
        <v/>
      </c>
      <c r="AK167" s="2" t="str">
        <f>IF(AK154="","",SUMIF(C4:BF4,AK154,C18:BF18))</f>
        <v/>
      </c>
      <c r="AL167" s="2" t="str">
        <f>IF(AL154="","",SUMIF(C4:BF4,AL154,C18:BF18))</f>
        <v/>
      </c>
      <c r="AM167" s="2" t="str">
        <f>IF(AM154="","",SUMIF(C4:BF4,AM154,C18:BF18))</f>
        <v/>
      </c>
      <c r="AN167" s="2" t="str">
        <f>IF(AN154="","",SUMIF(C4:BF4,AN154,C18:BF18))</f>
        <v/>
      </c>
      <c r="AO167" s="2" t="str">
        <f>IF(AO154="","",SUMIF(C4:BF4,AO154,C18:BF18))</f>
        <v/>
      </c>
      <c r="AP167" s="2" t="str">
        <f>IF(AP154="","",SUMIF(C4:BF4,AP154,C18:BF18))</f>
        <v/>
      </c>
      <c r="AQ167" s="2" t="str">
        <f>IF(AQ154="","",SUMIF(C4:BF4,AQ154,C18:BF18))</f>
        <v/>
      </c>
      <c r="AR167" s="2" t="str">
        <f>IF(AR154="","",SUMIF(C4:BF4,AR154,C18:BF18))</f>
        <v/>
      </c>
      <c r="AS167" s="2" t="str">
        <f>IF(AS154="","",SUMIF(C4:BF4,AS154,C18:BF18))</f>
        <v/>
      </c>
      <c r="AT167" s="2" t="str">
        <f>IF(AT154="","",SUMIF(C4:BF4,AT154,C18:BF18))</f>
        <v/>
      </c>
      <c r="AU167" s="2" t="str">
        <f>IF(AU154="","",SUMIF(C4:BF4,AU154,C18:BF18))</f>
        <v/>
      </c>
      <c r="AV167" s="2" t="str">
        <f>IF(AV154="","",SUMIF(C4:BF4,AV154,C18:BF18))</f>
        <v/>
      </c>
      <c r="AW167" s="2" t="str">
        <f>IF(AW154="","",SUMIF(C4:BF4,AW154,C18:BF18))</f>
        <v/>
      </c>
      <c r="AX167" s="2" t="str">
        <f>IF(AX154="","",SUMIF(C4:BF4,AX154,C18:BF18))</f>
        <v/>
      </c>
      <c r="AY167" s="2" t="str">
        <f>IF(AY154="","",SUMIF(C4:BF4,AY154,C18:BF18))</f>
        <v/>
      </c>
      <c r="AZ167" s="2" t="str">
        <f>IF(AZ154="","",SUMIF(C4:BF4,AZ154,C18:BF18))</f>
        <v/>
      </c>
      <c r="BA167" s="2" t="str">
        <f>IF(BA154="","",SUMIF(C4:BF4,BA154,C18:BF18))</f>
        <v/>
      </c>
      <c r="BB167" s="2" t="str">
        <f>IF(BB154="","",SUMIF(C4:BF4,BB154,C18:BF18))</f>
        <v/>
      </c>
      <c r="BC167" s="2" t="str">
        <f>IF(BC154="","",SUMIF(C4:BF4,BC154,C18:BF18))</f>
        <v/>
      </c>
      <c r="BD167" s="2" t="str">
        <f>IF(BD154="","",SUMIF(C4:BF4,BD154,C18:BF18))</f>
        <v/>
      </c>
      <c r="BE167" s="2" t="str">
        <f>IF(BE154="","",SUMIF(C4:BF4,BE154,C18:BF18))</f>
        <v/>
      </c>
      <c r="BF167" s="4" t="str">
        <f>IF(BF154="","",SUMIF(C4:BF4,BF154,C18:BF18))</f>
        <v/>
      </c>
    </row>
    <row r="168" spans="1:58">
      <c r="A168" s="18">
        <f t="shared" si="12"/>
        <v>46174</v>
      </c>
      <c r="B168" s="2" t="str">
        <f t="shared" si="12"/>
        <v>Jun 1</v>
      </c>
      <c r="C168" s="2">
        <f>IF(C154="","",SUMIF(C4:BF4,C154,C19:BF19))</f>
        <v>2</v>
      </c>
      <c r="D168" s="2">
        <f>IF(D154="","",SUMIF(C4:BF4,D154,C19:BF19))</f>
        <v>0</v>
      </c>
      <c r="E168" s="2">
        <f>IF(E154="","",SUMIF(C4:BF4,E154,C19:BF19))</f>
        <v>0</v>
      </c>
      <c r="F168" s="2">
        <f>IF(F154="","",SUMIF(C4:BF4,F154,C19:BF19))</f>
        <v>0</v>
      </c>
      <c r="G168" s="2">
        <f>IF(G154="","",SUMIF(C4:BF4,G154,C19:BF19))</f>
        <v>0</v>
      </c>
      <c r="H168" s="2">
        <f>IF(H154="","",SUMIF(C4:BF4,H154,C19:BF19))</f>
        <v>0</v>
      </c>
      <c r="I168" s="2">
        <f>IF(I154="","",SUMIF(C4:BF4,I154,C19:BF19))</f>
        <v>0</v>
      </c>
      <c r="J168" s="2">
        <f>IF(J154="","",SUMIF(C4:BF4,J154,C19:BF19))</f>
        <v>0</v>
      </c>
      <c r="K168" s="2">
        <f>IF(K154="","",SUMIF(C4:BF4,K154,C19:BF19))</f>
        <v>0</v>
      </c>
      <c r="L168" s="2">
        <f>IF(L154="","",SUMIF(C4:BF4,L154,C19:BF19))</f>
        <v>0</v>
      </c>
      <c r="M168" s="2">
        <f>IF(M154="","",SUMIF(C4:BF4,M154,C19:BF19))</f>
        <v>0</v>
      </c>
      <c r="N168" s="2">
        <f>IF(N154="","",SUMIF(C4:BF4,N154,C19:BF19))</f>
        <v>0</v>
      </c>
      <c r="O168" s="2">
        <f>IF(O154="","",SUMIF(C4:BF4,O154,C19:BF19))</f>
        <v>0</v>
      </c>
      <c r="P168" s="2">
        <f>IF(P154="","",SUMIF(C4:BF4,P154,C19:BF19))</f>
        <v>0</v>
      </c>
      <c r="Q168" s="2">
        <f>IF(Q154="","",SUMIF(C4:BF4,Q154,C19:BF19))</f>
        <v>0</v>
      </c>
      <c r="R168" s="2">
        <f>IF(R154="","",SUMIF(C4:BF4,R154,C19:BF19))</f>
        <v>0</v>
      </c>
      <c r="S168" s="2">
        <f>IF(S154="","",SUMIF(C4:BF4,S154,C19:BF19))</f>
        <v>0</v>
      </c>
      <c r="T168" s="2">
        <f>IF(T154="","",SUMIF(C4:BF4,T154,C19:BF19))</f>
        <v>0</v>
      </c>
      <c r="U168" s="2">
        <f>IF(U154="","",SUMIF(C4:BF4,U154,C19:BF19))</f>
        <v>0</v>
      </c>
      <c r="V168" s="2">
        <f>IF(V154="","",SUMIF(C4:BF4,V154,C19:BF19))</f>
        <v>0</v>
      </c>
      <c r="W168" s="2" t="str">
        <f>IF(W154="","",SUMIF(C4:BF4,W154,C19:BF19))</f>
        <v/>
      </c>
      <c r="X168" s="2" t="str">
        <f>IF(X154="","",SUMIF(C4:BF4,X154,C19:BF19))</f>
        <v/>
      </c>
      <c r="Y168" s="2" t="str">
        <f>IF(Y154="","",SUMIF(C4:BF4,Y154,C19:BF19))</f>
        <v/>
      </c>
      <c r="Z168" s="2" t="str">
        <f>IF(Z154="","",SUMIF(C4:BF4,Z154,C19:BF19))</f>
        <v/>
      </c>
      <c r="AA168" s="2" t="str">
        <f>IF(AA154="","",SUMIF(C4:BF4,AA154,C19:BF19))</f>
        <v/>
      </c>
      <c r="AB168" s="2" t="str">
        <f>IF(AB154="","",SUMIF(C4:BF4,AB154,C19:BF19))</f>
        <v/>
      </c>
      <c r="AC168" s="2" t="str">
        <f>IF(AC154="","",SUMIF(C4:BF4,AC154,C19:BF19))</f>
        <v/>
      </c>
      <c r="AD168" s="2" t="str">
        <f>IF(AD154="","",SUMIF(C4:BF4,AD154,C19:BF19))</f>
        <v/>
      </c>
      <c r="AE168" s="2" t="str">
        <f>IF(AE154="","",SUMIF(C4:BF4,AE154,C19:BF19))</f>
        <v/>
      </c>
      <c r="AF168" s="2" t="str">
        <f>IF(AF154="","",SUMIF(C4:BF4,AF154,C19:BF19))</f>
        <v/>
      </c>
      <c r="AG168" s="2" t="str">
        <f>IF(AG154="","",SUMIF(C4:BF4,AG154,C19:BF19))</f>
        <v/>
      </c>
      <c r="AH168" s="2" t="str">
        <f>IF(AH154="","",SUMIF(C4:BF4,AH154,C19:BF19))</f>
        <v/>
      </c>
      <c r="AI168" s="2" t="str">
        <f>IF(AI154="","",SUMIF(C4:BF4,AI154,C19:BF19))</f>
        <v/>
      </c>
      <c r="AJ168" s="2" t="str">
        <f>IF(AJ154="","",SUMIF(C4:BF4,AJ154,C19:BF19))</f>
        <v/>
      </c>
      <c r="AK168" s="2" t="str">
        <f>IF(AK154="","",SUMIF(C4:BF4,AK154,C19:BF19))</f>
        <v/>
      </c>
      <c r="AL168" s="2" t="str">
        <f>IF(AL154="","",SUMIF(C4:BF4,AL154,C19:BF19))</f>
        <v/>
      </c>
      <c r="AM168" s="2" t="str">
        <f>IF(AM154="","",SUMIF(C4:BF4,AM154,C19:BF19))</f>
        <v/>
      </c>
      <c r="AN168" s="2" t="str">
        <f>IF(AN154="","",SUMIF(C4:BF4,AN154,C19:BF19))</f>
        <v/>
      </c>
      <c r="AO168" s="2" t="str">
        <f>IF(AO154="","",SUMIF(C4:BF4,AO154,C19:BF19))</f>
        <v/>
      </c>
      <c r="AP168" s="2" t="str">
        <f>IF(AP154="","",SUMIF(C4:BF4,AP154,C19:BF19))</f>
        <v/>
      </c>
      <c r="AQ168" s="2" t="str">
        <f>IF(AQ154="","",SUMIF(C4:BF4,AQ154,C19:BF19))</f>
        <v/>
      </c>
      <c r="AR168" s="2" t="str">
        <f>IF(AR154="","",SUMIF(C4:BF4,AR154,C19:BF19))</f>
        <v/>
      </c>
      <c r="AS168" s="2" t="str">
        <f>IF(AS154="","",SUMIF(C4:BF4,AS154,C19:BF19))</f>
        <v/>
      </c>
      <c r="AT168" s="2" t="str">
        <f>IF(AT154="","",SUMIF(C4:BF4,AT154,C19:BF19))</f>
        <v/>
      </c>
      <c r="AU168" s="2" t="str">
        <f>IF(AU154="","",SUMIF(C4:BF4,AU154,C19:BF19))</f>
        <v/>
      </c>
      <c r="AV168" s="2" t="str">
        <f>IF(AV154="","",SUMIF(C4:BF4,AV154,C19:BF19))</f>
        <v/>
      </c>
      <c r="AW168" s="2" t="str">
        <f>IF(AW154="","",SUMIF(C4:BF4,AW154,C19:BF19))</f>
        <v/>
      </c>
      <c r="AX168" s="2" t="str">
        <f>IF(AX154="","",SUMIF(C4:BF4,AX154,C19:BF19))</f>
        <v/>
      </c>
      <c r="AY168" s="2" t="str">
        <f>IF(AY154="","",SUMIF(C4:BF4,AY154,C19:BF19))</f>
        <v/>
      </c>
      <c r="AZ168" s="2" t="str">
        <f>IF(AZ154="","",SUMIF(C4:BF4,AZ154,C19:BF19))</f>
        <v/>
      </c>
      <c r="BA168" s="2" t="str">
        <f>IF(BA154="","",SUMIF(C4:BF4,BA154,C19:BF19))</f>
        <v/>
      </c>
      <c r="BB168" s="2" t="str">
        <f>IF(BB154="","",SUMIF(C4:BF4,BB154,C19:BF19))</f>
        <v/>
      </c>
      <c r="BC168" s="2" t="str">
        <f>IF(BC154="","",SUMIF(C4:BF4,BC154,C19:BF19))</f>
        <v/>
      </c>
      <c r="BD168" s="2" t="str">
        <f>IF(BD154="","",SUMIF(C4:BF4,BD154,C19:BF19))</f>
        <v/>
      </c>
      <c r="BE168" s="2" t="str">
        <f>IF(BE154="","",SUMIF(C4:BF4,BE154,C19:BF19))</f>
        <v/>
      </c>
      <c r="BF168" s="4" t="str">
        <f>IF(BF154="","",SUMIF(C4:BF4,BF154,C19:BF19))</f>
        <v/>
      </c>
    </row>
    <row r="169" spans="1:58">
      <c r="A169" s="18">
        <f t="shared" si="12"/>
        <v>46181</v>
      </c>
      <c r="B169" s="2" t="str">
        <f t="shared" si="12"/>
        <v>Jun 8</v>
      </c>
      <c r="C169" s="2">
        <f>IF(C154="","",SUMIF(C4:BF4,C154,C20:BF20))</f>
        <v>0</v>
      </c>
      <c r="D169" s="2">
        <f>IF(D154="","",SUMIF(C4:BF4,D154,C20:BF20))</f>
        <v>1</v>
      </c>
      <c r="E169" s="2">
        <f>IF(E154="","",SUMIF(C4:BF4,E154,C20:BF20))</f>
        <v>0</v>
      </c>
      <c r="F169" s="2">
        <f>IF(F154="","",SUMIF(C4:BF4,F154,C20:BF20))</f>
        <v>0</v>
      </c>
      <c r="G169" s="2">
        <f>IF(G154="","",SUMIF(C4:BF4,G154,C20:BF20))</f>
        <v>0</v>
      </c>
      <c r="H169" s="2">
        <f>IF(H154="","",SUMIF(C4:BF4,H154,C20:BF20))</f>
        <v>0</v>
      </c>
      <c r="I169" s="2">
        <f>IF(I154="","",SUMIF(C4:BF4,I154,C20:BF20))</f>
        <v>0</v>
      </c>
      <c r="J169" s="2">
        <f>IF(J154="","",SUMIF(C4:BF4,J154,C20:BF20))</f>
        <v>1</v>
      </c>
      <c r="K169" s="2">
        <f>IF(K154="","",SUMIF(C4:BF4,K154,C20:BF20))</f>
        <v>0</v>
      </c>
      <c r="L169" s="2">
        <f>IF(L154="","",SUMIF(C4:BF4,L154,C20:BF20))</f>
        <v>0</v>
      </c>
      <c r="M169" s="2">
        <f>IF(M154="","",SUMIF(C4:BF4,M154,C20:BF20))</f>
        <v>0</v>
      </c>
      <c r="N169" s="2">
        <f>IF(N154="","",SUMIF(C4:BF4,N154,C20:BF20))</f>
        <v>0</v>
      </c>
      <c r="O169" s="2">
        <f>IF(O154="","",SUMIF(C4:BF4,O154,C20:BF20))</f>
        <v>0</v>
      </c>
      <c r="P169" s="2">
        <f>IF(P154="","",SUMIF(C4:BF4,P154,C20:BF20))</f>
        <v>0</v>
      </c>
      <c r="Q169" s="2">
        <f>IF(Q154="","",SUMIF(C4:BF4,Q154,C20:BF20))</f>
        <v>0</v>
      </c>
      <c r="R169" s="2">
        <f>IF(R154="","",SUMIF(C4:BF4,R154,C20:BF20))</f>
        <v>0</v>
      </c>
      <c r="S169" s="2">
        <f>IF(S154="","",SUMIF(C4:BF4,S154,C20:BF20))</f>
        <v>0</v>
      </c>
      <c r="T169" s="2">
        <f>IF(T154="","",SUMIF(C4:BF4,T154,C20:BF20))</f>
        <v>0</v>
      </c>
      <c r="U169" s="2">
        <f>IF(U154="","",SUMIF(C4:BF4,U154,C20:BF20))</f>
        <v>0</v>
      </c>
      <c r="V169" s="2">
        <f>IF(V154="","",SUMIF(C4:BF4,V154,C20:BF20))</f>
        <v>0</v>
      </c>
      <c r="W169" s="2" t="str">
        <f>IF(W154="","",SUMIF(C4:BF4,W154,C20:BF20))</f>
        <v/>
      </c>
      <c r="X169" s="2" t="str">
        <f>IF(X154="","",SUMIF(C4:BF4,X154,C20:BF20))</f>
        <v/>
      </c>
      <c r="Y169" s="2" t="str">
        <f>IF(Y154="","",SUMIF(C4:BF4,Y154,C20:BF20))</f>
        <v/>
      </c>
      <c r="Z169" s="2" t="str">
        <f>IF(Z154="","",SUMIF(C4:BF4,Z154,C20:BF20))</f>
        <v/>
      </c>
      <c r="AA169" s="2" t="str">
        <f>IF(AA154="","",SUMIF(C4:BF4,AA154,C20:BF20))</f>
        <v/>
      </c>
      <c r="AB169" s="2" t="str">
        <f>IF(AB154="","",SUMIF(C4:BF4,AB154,C20:BF20))</f>
        <v/>
      </c>
      <c r="AC169" s="2" t="str">
        <f>IF(AC154="","",SUMIF(C4:BF4,AC154,C20:BF20))</f>
        <v/>
      </c>
      <c r="AD169" s="2" t="str">
        <f>IF(AD154="","",SUMIF(C4:BF4,AD154,C20:BF20))</f>
        <v/>
      </c>
      <c r="AE169" s="2" t="str">
        <f>IF(AE154="","",SUMIF(C4:BF4,AE154,C20:BF20))</f>
        <v/>
      </c>
      <c r="AF169" s="2" t="str">
        <f>IF(AF154="","",SUMIF(C4:BF4,AF154,C20:BF20))</f>
        <v/>
      </c>
      <c r="AG169" s="2" t="str">
        <f>IF(AG154="","",SUMIF(C4:BF4,AG154,C20:BF20))</f>
        <v/>
      </c>
      <c r="AH169" s="2" t="str">
        <f>IF(AH154="","",SUMIF(C4:BF4,AH154,C20:BF20))</f>
        <v/>
      </c>
      <c r="AI169" s="2" t="str">
        <f>IF(AI154="","",SUMIF(C4:BF4,AI154,C20:BF20))</f>
        <v/>
      </c>
      <c r="AJ169" s="2" t="str">
        <f>IF(AJ154="","",SUMIF(C4:BF4,AJ154,C20:BF20))</f>
        <v/>
      </c>
      <c r="AK169" s="2" t="str">
        <f>IF(AK154="","",SUMIF(C4:BF4,AK154,C20:BF20))</f>
        <v/>
      </c>
      <c r="AL169" s="2" t="str">
        <f>IF(AL154="","",SUMIF(C4:BF4,AL154,C20:BF20))</f>
        <v/>
      </c>
      <c r="AM169" s="2" t="str">
        <f>IF(AM154="","",SUMIF(C4:BF4,AM154,C20:BF20))</f>
        <v/>
      </c>
      <c r="AN169" s="2" t="str">
        <f>IF(AN154="","",SUMIF(C4:BF4,AN154,C20:BF20))</f>
        <v/>
      </c>
      <c r="AO169" s="2" t="str">
        <f>IF(AO154="","",SUMIF(C4:BF4,AO154,C20:BF20))</f>
        <v/>
      </c>
      <c r="AP169" s="2" t="str">
        <f>IF(AP154="","",SUMIF(C4:BF4,AP154,C20:BF20))</f>
        <v/>
      </c>
      <c r="AQ169" s="2" t="str">
        <f>IF(AQ154="","",SUMIF(C4:BF4,AQ154,C20:BF20))</f>
        <v/>
      </c>
      <c r="AR169" s="2" t="str">
        <f>IF(AR154="","",SUMIF(C4:BF4,AR154,C20:BF20))</f>
        <v/>
      </c>
      <c r="AS169" s="2" t="str">
        <f>IF(AS154="","",SUMIF(C4:BF4,AS154,C20:BF20))</f>
        <v/>
      </c>
      <c r="AT169" s="2" t="str">
        <f>IF(AT154="","",SUMIF(C4:BF4,AT154,C20:BF20))</f>
        <v/>
      </c>
      <c r="AU169" s="2" t="str">
        <f>IF(AU154="","",SUMIF(C4:BF4,AU154,C20:BF20))</f>
        <v/>
      </c>
      <c r="AV169" s="2" t="str">
        <f>IF(AV154="","",SUMIF(C4:BF4,AV154,C20:BF20))</f>
        <v/>
      </c>
      <c r="AW169" s="2" t="str">
        <f>IF(AW154="","",SUMIF(C4:BF4,AW154,C20:BF20))</f>
        <v/>
      </c>
      <c r="AX169" s="2" t="str">
        <f>IF(AX154="","",SUMIF(C4:BF4,AX154,C20:BF20))</f>
        <v/>
      </c>
      <c r="AY169" s="2" t="str">
        <f>IF(AY154="","",SUMIF(C4:BF4,AY154,C20:BF20))</f>
        <v/>
      </c>
      <c r="AZ169" s="2" t="str">
        <f>IF(AZ154="","",SUMIF(C4:BF4,AZ154,C20:BF20))</f>
        <v/>
      </c>
      <c r="BA169" s="2" t="str">
        <f>IF(BA154="","",SUMIF(C4:BF4,BA154,C20:BF20))</f>
        <v/>
      </c>
      <c r="BB169" s="2" t="str">
        <f>IF(BB154="","",SUMIF(C4:BF4,BB154,C20:BF20))</f>
        <v/>
      </c>
      <c r="BC169" s="2" t="str">
        <f>IF(BC154="","",SUMIF(C4:BF4,BC154,C20:BF20))</f>
        <v/>
      </c>
      <c r="BD169" s="2" t="str">
        <f>IF(BD154="","",SUMIF(C4:BF4,BD154,C20:BF20))</f>
        <v/>
      </c>
      <c r="BE169" s="2" t="str">
        <f>IF(BE154="","",SUMIF(C4:BF4,BE154,C20:BF20))</f>
        <v/>
      </c>
      <c r="BF169" s="4" t="str">
        <f>IF(BF154="","",SUMIF(C4:BF4,BF154,C20:BF20))</f>
        <v/>
      </c>
    </row>
    <row r="170" spans="1:58">
      <c r="A170" s="18">
        <f t="shared" si="12"/>
        <v>46188</v>
      </c>
      <c r="B170" s="2" t="str">
        <f t="shared" si="12"/>
        <v>Jun 15</v>
      </c>
      <c r="C170" s="2">
        <f>IF(C154="","",SUMIF(C4:BF4,C154,C21:BF21))</f>
        <v>0</v>
      </c>
      <c r="D170" s="2">
        <f>IF(D154="","",SUMIF(C4:BF4,D154,C21:BF21))</f>
        <v>2</v>
      </c>
      <c r="E170" s="2">
        <f>IF(E154="","",SUMIF(C4:BF4,E154,C21:BF21))</f>
        <v>0</v>
      </c>
      <c r="F170" s="2">
        <f>IF(F154="","",SUMIF(C4:BF4,F154,C21:BF21))</f>
        <v>0</v>
      </c>
      <c r="G170" s="2">
        <f>IF(G154="","",SUMIF(C4:BF4,G154,C21:BF21))</f>
        <v>0</v>
      </c>
      <c r="H170" s="2">
        <f>IF(H154="","",SUMIF(C4:BF4,H154,C21:BF21))</f>
        <v>2</v>
      </c>
      <c r="I170" s="2">
        <f>IF(I154="","",SUMIF(C4:BF4,I154,C21:BF21))</f>
        <v>0</v>
      </c>
      <c r="J170" s="2">
        <f>IF(J154="","",SUMIF(C4:BF4,J154,C21:BF21))</f>
        <v>1</v>
      </c>
      <c r="K170" s="2">
        <f>IF(K154="","",SUMIF(C4:BF4,K154,C21:BF21))</f>
        <v>0</v>
      </c>
      <c r="L170" s="2">
        <f>IF(L154="","",SUMIF(C4:BF4,L154,C21:BF21))</f>
        <v>2</v>
      </c>
      <c r="M170" s="2">
        <f>IF(M154="","",SUMIF(C4:BF4,M154,C21:BF21))</f>
        <v>0</v>
      </c>
      <c r="N170" s="2">
        <f>IF(N154="","",SUMIF(C4:BF4,N154,C21:BF21))</f>
        <v>1</v>
      </c>
      <c r="O170" s="2">
        <f>IF(O154="","",SUMIF(C4:BF4,O154,C21:BF21))</f>
        <v>0</v>
      </c>
      <c r="P170" s="2">
        <f>IF(P154="","",SUMIF(C4:BF4,P154,C21:BF21))</f>
        <v>0</v>
      </c>
      <c r="Q170" s="2">
        <f>IF(Q154="","",SUMIF(C4:BF4,Q154,C21:BF21))</f>
        <v>0</v>
      </c>
      <c r="R170" s="2">
        <f>IF(R154="","",SUMIF(C4:BF4,R154,C21:BF21))</f>
        <v>0</v>
      </c>
      <c r="S170" s="2">
        <f>IF(S154="","",SUMIF(C4:BF4,S154,C21:BF21))</f>
        <v>0</v>
      </c>
      <c r="T170" s="2">
        <f>IF(T154="","",SUMIF(C4:BF4,T154,C21:BF21))</f>
        <v>0</v>
      </c>
      <c r="U170" s="2">
        <f>IF(U154="","",SUMIF(C4:BF4,U154,C21:BF21))</f>
        <v>0</v>
      </c>
      <c r="V170" s="2">
        <f>IF(V154="","",SUMIF(C4:BF4,V154,C21:BF21))</f>
        <v>0</v>
      </c>
      <c r="W170" s="2" t="str">
        <f>IF(W154="","",SUMIF(C4:BF4,W154,C21:BF21))</f>
        <v/>
      </c>
      <c r="X170" s="2" t="str">
        <f>IF(X154="","",SUMIF(C4:BF4,X154,C21:BF21))</f>
        <v/>
      </c>
      <c r="Y170" s="2" t="str">
        <f>IF(Y154="","",SUMIF(C4:BF4,Y154,C21:BF21))</f>
        <v/>
      </c>
      <c r="Z170" s="2" t="str">
        <f>IF(Z154="","",SUMIF(C4:BF4,Z154,C21:BF21))</f>
        <v/>
      </c>
      <c r="AA170" s="2" t="str">
        <f>IF(AA154="","",SUMIF(C4:BF4,AA154,C21:BF21))</f>
        <v/>
      </c>
      <c r="AB170" s="2" t="str">
        <f>IF(AB154="","",SUMIF(C4:BF4,AB154,C21:BF21))</f>
        <v/>
      </c>
      <c r="AC170" s="2" t="str">
        <f>IF(AC154="","",SUMIF(C4:BF4,AC154,C21:BF21))</f>
        <v/>
      </c>
      <c r="AD170" s="2" t="str">
        <f>IF(AD154="","",SUMIF(C4:BF4,AD154,C21:BF21))</f>
        <v/>
      </c>
      <c r="AE170" s="2" t="str">
        <f>IF(AE154="","",SUMIF(C4:BF4,AE154,C21:BF21))</f>
        <v/>
      </c>
      <c r="AF170" s="2" t="str">
        <f>IF(AF154="","",SUMIF(C4:BF4,AF154,C21:BF21))</f>
        <v/>
      </c>
      <c r="AG170" s="2" t="str">
        <f>IF(AG154="","",SUMIF(C4:BF4,AG154,C21:BF21))</f>
        <v/>
      </c>
      <c r="AH170" s="2" t="str">
        <f>IF(AH154="","",SUMIF(C4:BF4,AH154,C21:BF21))</f>
        <v/>
      </c>
      <c r="AI170" s="2" t="str">
        <f>IF(AI154="","",SUMIF(C4:BF4,AI154,C21:BF21))</f>
        <v/>
      </c>
      <c r="AJ170" s="2" t="str">
        <f>IF(AJ154="","",SUMIF(C4:BF4,AJ154,C21:BF21))</f>
        <v/>
      </c>
      <c r="AK170" s="2" t="str">
        <f>IF(AK154="","",SUMIF(C4:BF4,AK154,C21:BF21))</f>
        <v/>
      </c>
      <c r="AL170" s="2" t="str">
        <f>IF(AL154="","",SUMIF(C4:BF4,AL154,C21:BF21))</f>
        <v/>
      </c>
      <c r="AM170" s="2" t="str">
        <f>IF(AM154="","",SUMIF(C4:BF4,AM154,C21:BF21))</f>
        <v/>
      </c>
      <c r="AN170" s="2" t="str">
        <f>IF(AN154="","",SUMIF(C4:BF4,AN154,C21:BF21))</f>
        <v/>
      </c>
      <c r="AO170" s="2" t="str">
        <f>IF(AO154="","",SUMIF(C4:BF4,AO154,C21:BF21))</f>
        <v/>
      </c>
      <c r="AP170" s="2" t="str">
        <f>IF(AP154="","",SUMIF(C4:BF4,AP154,C21:BF21))</f>
        <v/>
      </c>
      <c r="AQ170" s="2" t="str">
        <f>IF(AQ154="","",SUMIF(C4:BF4,AQ154,C21:BF21))</f>
        <v/>
      </c>
      <c r="AR170" s="2" t="str">
        <f>IF(AR154="","",SUMIF(C4:BF4,AR154,C21:BF21))</f>
        <v/>
      </c>
      <c r="AS170" s="2" t="str">
        <f>IF(AS154="","",SUMIF(C4:BF4,AS154,C21:BF21))</f>
        <v/>
      </c>
      <c r="AT170" s="2" t="str">
        <f>IF(AT154="","",SUMIF(C4:BF4,AT154,C21:BF21))</f>
        <v/>
      </c>
      <c r="AU170" s="2" t="str">
        <f>IF(AU154="","",SUMIF(C4:BF4,AU154,C21:BF21))</f>
        <v/>
      </c>
      <c r="AV170" s="2" t="str">
        <f>IF(AV154="","",SUMIF(C4:BF4,AV154,C21:BF21))</f>
        <v/>
      </c>
      <c r="AW170" s="2" t="str">
        <f>IF(AW154="","",SUMIF(C4:BF4,AW154,C21:BF21))</f>
        <v/>
      </c>
      <c r="AX170" s="2" t="str">
        <f>IF(AX154="","",SUMIF(C4:BF4,AX154,C21:BF21))</f>
        <v/>
      </c>
      <c r="AY170" s="2" t="str">
        <f>IF(AY154="","",SUMIF(C4:BF4,AY154,C21:BF21))</f>
        <v/>
      </c>
      <c r="AZ170" s="2" t="str">
        <f>IF(AZ154="","",SUMIF(C4:BF4,AZ154,C21:BF21))</f>
        <v/>
      </c>
      <c r="BA170" s="2" t="str">
        <f>IF(BA154="","",SUMIF(C4:BF4,BA154,C21:BF21))</f>
        <v/>
      </c>
      <c r="BB170" s="2" t="str">
        <f>IF(BB154="","",SUMIF(C4:BF4,BB154,C21:BF21))</f>
        <v/>
      </c>
      <c r="BC170" s="2" t="str">
        <f>IF(BC154="","",SUMIF(C4:BF4,BC154,C21:BF21))</f>
        <v/>
      </c>
      <c r="BD170" s="2" t="str">
        <f>IF(BD154="","",SUMIF(C4:BF4,BD154,C21:BF21))</f>
        <v/>
      </c>
      <c r="BE170" s="2" t="str">
        <f>IF(BE154="","",SUMIF(C4:BF4,BE154,C21:BF21))</f>
        <v/>
      </c>
      <c r="BF170" s="4" t="str">
        <f>IF(BF154="","",SUMIF(C4:BF4,BF154,C21:BF21))</f>
        <v/>
      </c>
    </row>
    <row r="171" spans="1:58">
      <c r="A171" s="18">
        <f t="shared" si="12"/>
        <v>46195</v>
      </c>
      <c r="B171" s="2" t="str">
        <f t="shared" si="12"/>
        <v>Jun 22</v>
      </c>
      <c r="C171" s="2">
        <f>IF(C154="","",SUMIF(C4:BF4,C154,C22:BF22))</f>
        <v>0</v>
      </c>
      <c r="D171" s="2">
        <f>IF(D154="","",SUMIF(C4:BF4,D154,C22:BF22))</f>
        <v>0</v>
      </c>
      <c r="E171" s="2">
        <f>IF(E154="","",SUMIF(C4:BF4,E154,C22:BF22))</f>
        <v>0</v>
      </c>
      <c r="F171" s="2">
        <f>IF(F154="","",SUMIF(C4:BF4,F154,C22:BF22))</f>
        <v>0</v>
      </c>
      <c r="G171" s="2">
        <f>IF(G154="","",SUMIF(C4:BF4,G154,C22:BF22))</f>
        <v>0</v>
      </c>
      <c r="H171" s="2">
        <f>IF(H154="","",SUMIF(C4:BF4,H154,C22:BF22))</f>
        <v>0</v>
      </c>
      <c r="I171" s="2">
        <f>IF(I154="","",SUMIF(C4:BF4,I154,C22:BF22))</f>
        <v>0</v>
      </c>
      <c r="J171" s="2">
        <f>IF(J154="","",SUMIF(C4:BF4,J154,C22:BF22))</f>
        <v>0</v>
      </c>
      <c r="K171" s="2">
        <f>IF(K154="","",SUMIF(C4:BF4,K154,C22:BF22))</f>
        <v>0</v>
      </c>
      <c r="L171" s="2">
        <f>IF(L154="","",SUMIF(C4:BF4,L154,C22:BF22))</f>
        <v>2</v>
      </c>
      <c r="M171" s="2">
        <f>IF(M154="","",SUMIF(C4:BF4,M154,C22:BF22))</f>
        <v>0</v>
      </c>
      <c r="N171" s="2">
        <f>IF(N154="","",SUMIF(C4:BF4,N154,C22:BF22))</f>
        <v>2</v>
      </c>
      <c r="O171" s="2">
        <f>IF(O154="","",SUMIF(C4:BF4,O154,C22:BF22))</f>
        <v>0</v>
      </c>
      <c r="P171" s="2">
        <f>IF(P154="","",SUMIF(C4:BF4,P154,C22:BF22))</f>
        <v>0</v>
      </c>
      <c r="Q171" s="2">
        <f>IF(Q154="","",SUMIF(C4:BF4,Q154,C22:BF22))</f>
        <v>0</v>
      </c>
      <c r="R171" s="2">
        <f>IF(R154="","",SUMIF(C4:BF4,R154,C22:BF22))</f>
        <v>0</v>
      </c>
      <c r="S171" s="2">
        <f>IF(S154="","",SUMIF(C4:BF4,S154,C22:BF22))</f>
        <v>0</v>
      </c>
      <c r="T171" s="2">
        <f>IF(T154="","",SUMIF(C4:BF4,T154,C22:BF22))</f>
        <v>0</v>
      </c>
      <c r="U171" s="2">
        <f>IF(U154="","",SUMIF(C4:BF4,U154,C22:BF22))</f>
        <v>0</v>
      </c>
      <c r="V171" s="2">
        <f>IF(V154="","",SUMIF(C4:BF4,V154,C22:BF22))</f>
        <v>0</v>
      </c>
      <c r="W171" s="2" t="str">
        <f>IF(W154="","",SUMIF(C4:BF4,W154,C22:BF22))</f>
        <v/>
      </c>
      <c r="X171" s="2" t="str">
        <f>IF(X154="","",SUMIF(C4:BF4,X154,C22:BF22))</f>
        <v/>
      </c>
      <c r="Y171" s="2" t="str">
        <f>IF(Y154="","",SUMIF(C4:BF4,Y154,C22:BF22))</f>
        <v/>
      </c>
      <c r="Z171" s="2" t="str">
        <f>IF(Z154="","",SUMIF(C4:BF4,Z154,C22:BF22))</f>
        <v/>
      </c>
      <c r="AA171" s="2" t="str">
        <f>IF(AA154="","",SUMIF(C4:BF4,AA154,C22:BF22))</f>
        <v/>
      </c>
      <c r="AB171" s="2" t="str">
        <f>IF(AB154="","",SUMIF(C4:BF4,AB154,C22:BF22))</f>
        <v/>
      </c>
      <c r="AC171" s="2" t="str">
        <f>IF(AC154="","",SUMIF(C4:BF4,AC154,C22:BF22))</f>
        <v/>
      </c>
      <c r="AD171" s="2" t="str">
        <f>IF(AD154="","",SUMIF(C4:BF4,AD154,C22:BF22))</f>
        <v/>
      </c>
      <c r="AE171" s="2" t="str">
        <f>IF(AE154="","",SUMIF(C4:BF4,AE154,C22:BF22))</f>
        <v/>
      </c>
      <c r="AF171" s="2" t="str">
        <f>IF(AF154="","",SUMIF(C4:BF4,AF154,C22:BF22))</f>
        <v/>
      </c>
      <c r="AG171" s="2" t="str">
        <f>IF(AG154="","",SUMIF(C4:BF4,AG154,C22:BF22))</f>
        <v/>
      </c>
      <c r="AH171" s="2" t="str">
        <f>IF(AH154="","",SUMIF(C4:BF4,AH154,C22:BF22))</f>
        <v/>
      </c>
      <c r="AI171" s="2" t="str">
        <f>IF(AI154="","",SUMIF(C4:BF4,AI154,C22:BF22))</f>
        <v/>
      </c>
      <c r="AJ171" s="2" t="str">
        <f>IF(AJ154="","",SUMIF(C4:BF4,AJ154,C22:BF22))</f>
        <v/>
      </c>
      <c r="AK171" s="2" t="str">
        <f>IF(AK154="","",SUMIF(C4:BF4,AK154,C22:BF22))</f>
        <v/>
      </c>
      <c r="AL171" s="2" t="str">
        <f>IF(AL154="","",SUMIF(C4:BF4,AL154,C22:BF22))</f>
        <v/>
      </c>
      <c r="AM171" s="2" t="str">
        <f>IF(AM154="","",SUMIF(C4:BF4,AM154,C22:BF22))</f>
        <v/>
      </c>
      <c r="AN171" s="2" t="str">
        <f>IF(AN154="","",SUMIF(C4:BF4,AN154,C22:BF22))</f>
        <v/>
      </c>
      <c r="AO171" s="2" t="str">
        <f>IF(AO154="","",SUMIF(C4:BF4,AO154,C22:BF22))</f>
        <v/>
      </c>
      <c r="AP171" s="2" t="str">
        <f>IF(AP154="","",SUMIF(C4:BF4,AP154,C22:BF22))</f>
        <v/>
      </c>
      <c r="AQ171" s="2" t="str">
        <f>IF(AQ154="","",SUMIF(C4:BF4,AQ154,C22:BF22))</f>
        <v/>
      </c>
      <c r="AR171" s="2" t="str">
        <f>IF(AR154="","",SUMIF(C4:BF4,AR154,C22:BF22))</f>
        <v/>
      </c>
      <c r="AS171" s="2" t="str">
        <f>IF(AS154="","",SUMIF(C4:BF4,AS154,C22:BF22))</f>
        <v/>
      </c>
      <c r="AT171" s="2" t="str">
        <f>IF(AT154="","",SUMIF(C4:BF4,AT154,C22:BF22))</f>
        <v/>
      </c>
      <c r="AU171" s="2" t="str">
        <f>IF(AU154="","",SUMIF(C4:BF4,AU154,C22:BF22))</f>
        <v/>
      </c>
      <c r="AV171" s="2" t="str">
        <f>IF(AV154="","",SUMIF(C4:BF4,AV154,C22:BF22))</f>
        <v/>
      </c>
      <c r="AW171" s="2" t="str">
        <f>IF(AW154="","",SUMIF(C4:BF4,AW154,C22:BF22))</f>
        <v/>
      </c>
      <c r="AX171" s="2" t="str">
        <f>IF(AX154="","",SUMIF(C4:BF4,AX154,C22:BF22))</f>
        <v/>
      </c>
      <c r="AY171" s="2" t="str">
        <f>IF(AY154="","",SUMIF(C4:BF4,AY154,C22:BF22))</f>
        <v/>
      </c>
      <c r="AZ171" s="2" t="str">
        <f>IF(AZ154="","",SUMIF(C4:BF4,AZ154,C22:BF22))</f>
        <v/>
      </c>
      <c r="BA171" s="2" t="str">
        <f>IF(BA154="","",SUMIF(C4:BF4,BA154,C22:BF22))</f>
        <v/>
      </c>
      <c r="BB171" s="2" t="str">
        <f>IF(BB154="","",SUMIF(C4:BF4,BB154,C22:BF22))</f>
        <v/>
      </c>
      <c r="BC171" s="2" t="str">
        <f>IF(BC154="","",SUMIF(C4:BF4,BC154,C22:BF22))</f>
        <v/>
      </c>
      <c r="BD171" s="2" t="str">
        <f>IF(BD154="","",SUMIF(C4:BF4,BD154,C22:BF22))</f>
        <v/>
      </c>
      <c r="BE171" s="2" t="str">
        <f>IF(BE154="","",SUMIF(C4:BF4,BE154,C22:BF22))</f>
        <v/>
      </c>
      <c r="BF171" s="4" t="str">
        <f>IF(BF154="","",SUMIF(C4:BF4,BF154,C22:BF22))</f>
        <v/>
      </c>
    </row>
    <row r="172" spans="1:58">
      <c r="A172" s="18">
        <f t="shared" si="12"/>
        <v>46202</v>
      </c>
      <c r="B172" s="2" t="str">
        <f t="shared" si="12"/>
        <v>Jun 29</v>
      </c>
      <c r="C172" s="2">
        <f>IF(C154="","",SUMIF(C4:BF4,C154,C23:BF23))</f>
        <v>0</v>
      </c>
      <c r="D172" s="2">
        <f>IF(D154="","",SUMIF(C4:BF4,D154,C23:BF23))</f>
        <v>1</v>
      </c>
      <c r="E172" s="2">
        <f>IF(E154="","",SUMIF(C4:BF4,E154,C23:BF23))</f>
        <v>0</v>
      </c>
      <c r="F172" s="2">
        <f>IF(F154="","",SUMIF(C4:BF4,F154,C23:BF23))</f>
        <v>1</v>
      </c>
      <c r="G172" s="2">
        <f>IF(G154="","",SUMIF(C4:BF4,G154,C23:BF23))</f>
        <v>1</v>
      </c>
      <c r="H172" s="2">
        <f>IF(H154="","",SUMIF(C4:BF4,H154,C23:BF23))</f>
        <v>0</v>
      </c>
      <c r="I172" s="2">
        <f>IF(I154="","",SUMIF(C4:BF4,I154,C23:BF23))</f>
        <v>0</v>
      </c>
      <c r="J172" s="2">
        <f>IF(J154="","",SUMIF(C4:BF4,J154,C23:BF23))</f>
        <v>0</v>
      </c>
      <c r="K172" s="2">
        <f>IF(K154="","",SUMIF(C4:BF4,K154,C23:BF23))</f>
        <v>0</v>
      </c>
      <c r="L172" s="2">
        <f>IF(L154="","",SUMIF(C4:BF4,L154,C23:BF23))</f>
        <v>0</v>
      </c>
      <c r="M172" s="2">
        <f>IF(M154="","",SUMIF(C4:BF4,M154,C23:BF23))</f>
        <v>0</v>
      </c>
      <c r="N172" s="2">
        <f>IF(N154="","",SUMIF(C4:BF4,N154,C23:BF23))</f>
        <v>0</v>
      </c>
      <c r="O172" s="2">
        <f>IF(O154="","",SUMIF(C4:BF4,O154,C23:BF23))</f>
        <v>0</v>
      </c>
      <c r="P172" s="2">
        <f>IF(P154="","",SUMIF(C4:BF4,P154,C23:BF23))</f>
        <v>0</v>
      </c>
      <c r="Q172" s="2">
        <f>IF(Q154="","",SUMIF(C4:BF4,Q154,C23:BF23))</f>
        <v>0</v>
      </c>
      <c r="R172" s="2">
        <f>IF(R154="","",SUMIF(C4:BF4,R154,C23:BF23))</f>
        <v>0</v>
      </c>
      <c r="S172" s="2">
        <f>IF(S154="","",SUMIF(C4:BF4,S154,C23:BF23))</f>
        <v>0</v>
      </c>
      <c r="T172" s="2">
        <f>IF(T154="","",SUMIF(C4:BF4,T154,C23:BF23))</f>
        <v>0</v>
      </c>
      <c r="U172" s="2">
        <f>IF(U154="","",SUMIF(C4:BF4,U154,C23:BF23))</f>
        <v>1</v>
      </c>
      <c r="V172" s="2">
        <f>IF(V154="","",SUMIF(C4:BF4,V154,C23:BF23))</f>
        <v>0</v>
      </c>
      <c r="W172" s="2" t="str">
        <f>IF(W154="","",SUMIF(C4:BF4,W154,C23:BF23))</f>
        <v/>
      </c>
      <c r="X172" s="2" t="str">
        <f>IF(X154="","",SUMIF(C4:BF4,X154,C23:BF23))</f>
        <v/>
      </c>
      <c r="Y172" s="2" t="str">
        <f>IF(Y154="","",SUMIF(C4:BF4,Y154,C23:BF23))</f>
        <v/>
      </c>
      <c r="Z172" s="2" t="str">
        <f>IF(Z154="","",SUMIF(C4:BF4,Z154,C23:BF23))</f>
        <v/>
      </c>
      <c r="AA172" s="2" t="str">
        <f>IF(AA154="","",SUMIF(C4:BF4,AA154,C23:BF23))</f>
        <v/>
      </c>
      <c r="AB172" s="2" t="str">
        <f>IF(AB154="","",SUMIF(C4:BF4,AB154,C23:BF23))</f>
        <v/>
      </c>
      <c r="AC172" s="2" t="str">
        <f>IF(AC154="","",SUMIF(C4:BF4,AC154,C23:BF23))</f>
        <v/>
      </c>
      <c r="AD172" s="2" t="str">
        <f>IF(AD154="","",SUMIF(C4:BF4,AD154,C23:BF23))</f>
        <v/>
      </c>
      <c r="AE172" s="2" t="str">
        <f>IF(AE154="","",SUMIF(C4:BF4,AE154,C23:BF23))</f>
        <v/>
      </c>
      <c r="AF172" s="2" t="str">
        <f>IF(AF154="","",SUMIF(C4:BF4,AF154,C23:BF23))</f>
        <v/>
      </c>
      <c r="AG172" s="2" t="str">
        <f>IF(AG154="","",SUMIF(C4:BF4,AG154,C23:BF23))</f>
        <v/>
      </c>
      <c r="AH172" s="2" t="str">
        <f>IF(AH154="","",SUMIF(C4:BF4,AH154,C23:BF23))</f>
        <v/>
      </c>
      <c r="AI172" s="2" t="str">
        <f>IF(AI154="","",SUMIF(C4:BF4,AI154,C23:BF23))</f>
        <v/>
      </c>
      <c r="AJ172" s="2" t="str">
        <f>IF(AJ154="","",SUMIF(C4:BF4,AJ154,C23:BF23))</f>
        <v/>
      </c>
      <c r="AK172" s="2" t="str">
        <f>IF(AK154="","",SUMIF(C4:BF4,AK154,C23:BF23))</f>
        <v/>
      </c>
      <c r="AL172" s="2" t="str">
        <f>IF(AL154="","",SUMIF(C4:BF4,AL154,C23:BF23))</f>
        <v/>
      </c>
      <c r="AM172" s="2" t="str">
        <f>IF(AM154="","",SUMIF(C4:BF4,AM154,C23:BF23))</f>
        <v/>
      </c>
      <c r="AN172" s="2" t="str">
        <f>IF(AN154="","",SUMIF(C4:BF4,AN154,C23:BF23))</f>
        <v/>
      </c>
      <c r="AO172" s="2" t="str">
        <f>IF(AO154="","",SUMIF(C4:BF4,AO154,C23:BF23))</f>
        <v/>
      </c>
      <c r="AP172" s="2" t="str">
        <f>IF(AP154="","",SUMIF(C4:BF4,AP154,C23:BF23))</f>
        <v/>
      </c>
      <c r="AQ172" s="2" t="str">
        <f>IF(AQ154="","",SUMIF(C4:BF4,AQ154,C23:BF23))</f>
        <v/>
      </c>
      <c r="AR172" s="2" t="str">
        <f>IF(AR154="","",SUMIF(C4:BF4,AR154,C23:BF23))</f>
        <v/>
      </c>
      <c r="AS172" s="2" t="str">
        <f>IF(AS154="","",SUMIF(C4:BF4,AS154,C23:BF23))</f>
        <v/>
      </c>
      <c r="AT172" s="2" t="str">
        <f>IF(AT154="","",SUMIF(C4:BF4,AT154,C23:BF23))</f>
        <v/>
      </c>
      <c r="AU172" s="2" t="str">
        <f>IF(AU154="","",SUMIF(C4:BF4,AU154,C23:BF23))</f>
        <v/>
      </c>
      <c r="AV172" s="2" t="str">
        <f>IF(AV154="","",SUMIF(C4:BF4,AV154,C23:BF23))</f>
        <v/>
      </c>
      <c r="AW172" s="2" t="str">
        <f>IF(AW154="","",SUMIF(C4:BF4,AW154,C23:BF23))</f>
        <v/>
      </c>
      <c r="AX172" s="2" t="str">
        <f>IF(AX154="","",SUMIF(C4:BF4,AX154,C23:BF23))</f>
        <v/>
      </c>
      <c r="AY172" s="2" t="str">
        <f>IF(AY154="","",SUMIF(C4:BF4,AY154,C23:BF23))</f>
        <v/>
      </c>
      <c r="AZ172" s="2" t="str">
        <f>IF(AZ154="","",SUMIF(C4:BF4,AZ154,C23:BF23))</f>
        <v/>
      </c>
      <c r="BA172" s="2" t="str">
        <f>IF(BA154="","",SUMIF(C4:BF4,BA154,C23:BF23))</f>
        <v/>
      </c>
      <c r="BB172" s="2" t="str">
        <f>IF(BB154="","",SUMIF(C4:BF4,BB154,C23:BF23))</f>
        <v/>
      </c>
      <c r="BC172" s="2" t="str">
        <f>IF(BC154="","",SUMIF(C4:BF4,BC154,C23:BF23))</f>
        <v/>
      </c>
      <c r="BD172" s="2" t="str">
        <f>IF(BD154="","",SUMIF(C4:BF4,BD154,C23:BF23))</f>
        <v/>
      </c>
      <c r="BE172" s="2" t="str">
        <f>IF(BE154="","",SUMIF(C4:BF4,BE154,C23:BF23))</f>
        <v/>
      </c>
      <c r="BF172" s="4" t="str">
        <f>IF(BF154="","",SUMIF(C4:BF4,BF154,C23:BF23))</f>
        <v/>
      </c>
    </row>
    <row r="173" spans="1:58">
      <c r="A173" s="18">
        <f t="shared" si="12"/>
        <v>46209</v>
      </c>
      <c r="B173" s="2" t="str">
        <f t="shared" si="12"/>
        <v>Jul 6</v>
      </c>
      <c r="C173" s="2">
        <f>IF(C154="","",SUMIF(C4:BF4,C154,C24:BF24))</f>
        <v>0</v>
      </c>
      <c r="D173" s="2">
        <f>IF(D154="","",SUMIF(C4:BF4,D154,C24:BF24))</f>
        <v>1</v>
      </c>
      <c r="E173" s="2">
        <f>IF(E154="","",SUMIF(C4:BF4,E154,C24:BF24))</f>
        <v>1</v>
      </c>
      <c r="F173" s="2">
        <f>IF(F154="","",SUMIF(C4:BF4,F154,C24:BF24))</f>
        <v>0</v>
      </c>
      <c r="G173" s="2">
        <f>IF(G154="","",SUMIF(C4:BF4,G154,C24:BF24))</f>
        <v>0</v>
      </c>
      <c r="H173" s="2">
        <f>IF(H154="","",SUMIF(C4:BF4,H154,C24:BF24))</f>
        <v>2</v>
      </c>
      <c r="I173" s="2">
        <f>IF(I154="","",SUMIF(C4:BF4,I154,C24:BF24))</f>
        <v>0</v>
      </c>
      <c r="J173" s="2">
        <f>IF(J154="","",SUMIF(C4:BF4,J154,C24:BF24))</f>
        <v>0</v>
      </c>
      <c r="K173" s="2">
        <f>IF(K154="","",SUMIF(C4:BF4,K154,C24:BF24))</f>
        <v>0</v>
      </c>
      <c r="L173" s="2">
        <f>IF(L154="","",SUMIF(C4:BF4,L154,C24:BF24))</f>
        <v>0</v>
      </c>
      <c r="M173" s="2">
        <f>IF(M154="","",SUMIF(C4:BF4,M154,C24:BF24))</f>
        <v>0</v>
      </c>
      <c r="N173" s="2">
        <f>IF(N154="","",SUMIF(C4:BF4,N154,C24:BF24))</f>
        <v>0</v>
      </c>
      <c r="O173" s="2">
        <f>IF(O154="","",SUMIF(C4:BF4,O154,C24:BF24))</f>
        <v>0</v>
      </c>
      <c r="P173" s="2">
        <f>IF(P154="","",SUMIF(C4:BF4,P154,C24:BF24))</f>
        <v>0</v>
      </c>
      <c r="Q173" s="2">
        <f>IF(Q154="","",SUMIF(C4:BF4,Q154,C24:BF24))</f>
        <v>0</v>
      </c>
      <c r="R173" s="2">
        <f>IF(R154="","",SUMIF(C4:BF4,R154,C24:BF24))</f>
        <v>0</v>
      </c>
      <c r="S173" s="2">
        <f>IF(S154="","",SUMIF(C4:BF4,S154,C24:BF24))</f>
        <v>0</v>
      </c>
      <c r="T173" s="2">
        <f>IF(T154="","",SUMIF(C4:BF4,T154,C24:BF24))</f>
        <v>1</v>
      </c>
      <c r="U173" s="2">
        <f>IF(U154="","",SUMIF(C4:BF4,U154,C24:BF24))</f>
        <v>0</v>
      </c>
      <c r="V173" s="2">
        <f>IF(V154="","",SUMIF(C4:BF4,V154,C24:BF24))</f>
        <v>0</v>
      </c>
      <c r="W173" s="2" t="str">
        <f>IF(W154="","",SUMIF(C4:BF4,W154,C24:BF24))</f>
        <v/>
      </c>
      <c r="X173" s="2" t="str">
        <f>IF(X154="","",SUMIF(C4:BF4,X154,C24:BF24))</f>
        <v/>
      </c>
      <c r="Y173" s="2" t="str">
        <f>IF(Y154="","",SUMIF(C4:BF4,Y154,C24:BF24))</f>
        <v/>
      </c>
      <c r="Z173" s="2" t="str">
        <f>IF(Z154="","",SUMIF(C4:BF4,Z154,C24:BF24))</f>
        <v/>
      </c>
      <c r="AA173" s="2" t="str">
        <f>IF(AA154="","",SUMIF(C4:BF4,AA154,C24:BF24))</f>
        <v/>
      </c>
      <c r="AB173" s="2" t="str">
        <f>IF(AB154="","",SUMIF(C4:BF4,AB154,C24:BF24))</f>
        <v/>
      </c>
      <c r="AC173" s="2" t="str">
        <f>IF(AC154="","",SUMIF(C4:BF4,AC154,C24:BF24))</f>
        <v/>
      </c>
      <c r="AD173" s="2" t="str">
        <f>IF(AD154="","",SUMIF(C4:BF4,AD154,C24:BF24))</f>
        <v/>
      </c>
      <c r="AE173" s="2" t="str">
        <f>IF(AE154="","",SUMIF(C4:BF4,AE154,C24:BF24))</f>
        <v/>
      </c>
      <c r="AF173" s="2" t="str">
        <f>IF(AF154="","",SUMIF(C4:BF4,AF154,C24:BF24))</f>
        <v/>
      </c>
      <c r="AG173" s="2" t="str">
        <f>IF(AG154="","",SUMIF(C4:BF4,AG154,C24:BF24))</f>
        <v/>
      </c>
      <c r="AH173" s="2" t="str">
        <f>IF(AH154="","",SUMIF(C4:BF4,AH154,C24:BF24))</f>
        <v/>
      </c>
      <c r="AI173" s="2" t="str">
        <f>IF(AI154="","",SUMIF(C4:BF4,AI154,C24:BF24))</f>
        <v/>
      </c>
      <c r="AJ173" s="2" t="str">
        <f>IF(AJ154="","",SUMIF(C4:BF4,AJ154,C24:BF24))</f>
        <v/>
      </c>
      <c r="AK173" s="2" t="str">
        <f>IF(AK154="","",SUMIF(C4:BF4,AK154,C24:BF24))</f>
        <v/>
      </c>
      <c r="AL173" s="2" t="str">
        <f>IF(AL154="","",SUMIF(C4:BF4,AL154,C24:BF24))</f>
        <v/>
      </c>
      <c r="AM173" s="2" t="str">
        <f>IF(AM154="","",SUMIF(C4:BF4,AM154,C24:BF24))</f>
        <v/>
      </c>
      <c r="AN173" s="2" t="str">
        <f>IF(AN154="","",SUMIF(C4:BF4,AN154,C24:BF24))</f>
        <v/>
      </c>
      <c r="AO173" s="2" t="str">
        <f>IF(AO154="","",SUMIF(C4:BF4,AO154,C24:BF24))</f>
        <v/>
      </c>
      <c r="AP173" s="2" t="str">
        <f>IF(AP154="","",SUMIF(C4:BF4,AP154,C24:BF24))</f>
        <v/>
      </c>
      <c r="AQ173" s="2" t="str">
        <f>IF(AQ154="","",SUMIF(C4:BF4,AQ154,C24:BF24))</f>
        <v/>
      </c>
      <c r="AR173" s="2" t="str">
        <f>IF(AR154="","",SUMIF(C4:BF4,AR154,C24:BF24))</f>
        <v/>
      </c>
      <c r="AS173" s="2" t="str">
        <f>IF(AS154="","",SUMIF(C4:BF4,AS154,C24:BF24))</f>
        <v/>
      </c>
      <c r="AT173" s="2" t="str">
        <f>IF(AT154="","",SUMIF(C4:BF4,AT154,C24:BF24))</f>
        <v/>
      </c>
      <c r="AU173" s="2" t="str">
        <f>IF(AU154="","",SUMIF(C4:BF4,AU154,C24:BF24))</f>
        <v/>
      </c>
      <c r="AV173" s="2" t="str">
        <f>IF(AV154="","",SUMIF(C4:BF4,AV154,C24:BF24))</f>
        <v/>
      </c>
      <c r="AW173" s="2" t="str">
        <f>IF(AW154="","",SUMIF(C4:BF4,AW154,C24:BF24))</f>
        <v/>
      </c>
      <c r="AX173" s="2" t="str">
        <f>IF(AX154="","",SUMIF(C4:BF4,AX154,C24:BF24))</f>
        <v/>
      </c>
      <c r="AY173" s="2" t="str">
        <f>IF(AY154="","",SUMIF(C4:BF4,AY154,C24:BF24))</f>
        <v/>
      </c>
      <c r="AZ173" s="2" t="str">
        <f>IF(AZ154="","",SUMIF(C4:BF4,AZ154,C24:BF24))</f>
        <v/>
      </c>
      <c r="BA173" s="2" t="str">
        <f>IF(BA154="","",SUMIF(C4:BF4,BA154,C24:BF24))</f>
        <v/>
      </c>
      <c r="BB173" s="2" t="str">
        <f>IF(BB154="","",SUMIF(C4:BF4,BB154,C24:BF24))</f>
        <v/>
      </c>
      <c r="BC173" s="2" t="str">
        <f>IF(BC154="","",SUMIF(C4:BF4,BC154,C24:BF24))</f>
        <v/>
      </c>
      <c r="BD173" s="2" t="str">
        <f>IF(BD154="","",SUMIF(C4:BF4,BD154,C24:BF24))</f>
        <v/>
      </c>
      <c r="BE173" s="2" t="str">
        <f>IF(BE154="","",SUMIF(C4:BF4,BE154,C24:BF24))</f>
        <v/>
      </c>
      <c r="BF173" s="4" t="str">
        <f>IF(BF154="","",SUMIF(C4:BF4,BF154,C24:BF24))</f>
        <v/>
      </c>
    </row>
    <row r="174" spans="1:58">
      <c r="A174" s="18">
        <f t="shared" si="12"/>
        <v>46216</v>
      </c>
      <c r="B174" s="2" t="str">
        <f t="shared" si="12"/>
        <v>Jul 13</v>
      </c>
      <c r="C174" s="2">
        <f>IF(C154="","",SUMIF(C4:BF4,C154,C25:BF25))</f>
        <v>0</v>
      </c>
      <c r="D174" s="2">
        <f>IF(D154="","",SUMIF(C4:BF4,D154,C25:BF25))</f>
        <v>0</v>
      </c>
      <c r="E174" s="2">
        <f>IF(E154="","",SUMIF(C4:BF4,E154,C25:BF25))</f>
        <v>0</v>
      </c>
      <c r="F174" s="2">
        <f>IF(F154="","",SUMIF(C4:BF4,F154,C25:BF25))</f>
        <v>0</v>
      </c>
      <c r="G174" s="2">
        <f>IF(G154="","",SUMIF(C4:BF4,G154,C25:BF25))</f>
        <v>0</v>
      </c>
      <c r="H174" s="2">
        <f>IF(H154="","",SUMIF(C4:BF4,H154,C25:BF25))</f>
        <v>0</v>
      </c>
      <c r="I174" s="2">
        <f>IF(I154="","",SUMIF(C4:BF4,I154,C25:BF25))</f>
        <v>0</v>
      </c>
      <c r="J174" s="2">
        <f>IF(J154="","",SUMIF(C4:BF4,J154,C25:BF25))</f>
        <v>0</v>
      </c>
      <c r="K174" s="2">
        <f>IF(K154="","",SUMIF(C4:BF4,K154,C25:BF25))</f>
        <v>0</v>
      </c>
      <c r="L174" s="2">
        <f>IF(L154="","",SUMIF(C4:BF4,L154,C25:BF25))</f>
        <v>0</v>
      </c>
      <c r="M174" s="2">
        <f>IF(M154="","",SUMIF(C4:BF4,M154,C25:BF25))</f>
        <v>0</v>
      </c>
      <c r="N174" s="2">
        <f>IF(N154="","",SUMIF(C4:BF4,N154,C25:BF25))</f>
        <v>0</v>
      </c>
      <c r="O174" s="2">
        <f>IF(O154="","",SUMIF(C4:BF4,O154,C25:BF25))</f>
        <v>0</v>
      </c>
      <c r="P174" s="2">
        <f>IF(P154="","",SUMIF(C4:BF4,P154,C25:BF25))</f>
        <v>0</v>
      </c>
      <c r="Q174" s="2">
        <f>IF(Q154="","",SUMIF(C4:BF4,Q154,C25:BF25))</f>
        <v>0</v>
      </c>
      <c r="R174" s="2">
        <f>IF(R154="","",SUMIF(C4:BF4,R154,C25:BF25))</f>
        <v>0</v>
      </c>
      <c r="S174" s="2">
        <f>IF(S154="","",SUMIF(C4:BF4,S154,C25:BF25))</f>
        <v>0</v>
      </c>
      <c r="T174" s="2">
        <f>IF(T154="","",SUMIF(C4:BF4,T154,C25:BF25))</f>
        <v>0</v>
      </c>
      <c r="U174" s="2">
        <f>IF(U154="","",SUMIF(C4:BF4,U154,C25:BF25))</f>
        <v>0</v>
      </c>
      <c r="V174" s="2">
        <f>IF(V154="","",SUMIF(C4:BF4,V154,C25:BF25))</f>
        <v>0</v>
      </c>
      <c r="W174" s="2" t="str">
        <f>IF(W154="","",SUMIF(C4:BF4,W154,C25:BF25))</f>
        <v/>
      </c>
      <c r="X174" s="2" t="str">
        <f>IF(X154="","",SUMIF(C4:BF4,X154,C25:BF25))</f>
        <v/>
      </c>
      <c r="Y174" s="2" t="str">
        <f>IF(Y154="","",SUMIF(C4:BF4,Y154,C25:BF25))</f>
        <v/>
      </c>
      <c r="Z174" s="2" t="str">
        <f>IF(Z154="","",SUMIF(C4:BF4,Z154,C25:BF25))</f>
        <v/>
      </c>
      <c r="AA174" s="2" t="str">
        <f>IF(AA154="","",SUMIF(C4:BF4,AA154,C25:BF25))</f>
        <v/>
      </c>
      <c r="AB174" s="2" t="str">
        <f>IF(AB154="","",SUMIF(C4:BF4,AB154,C25:BF25))</f>
        <v/>
      </c>
      <c r="AC174" s="2" t="str">
        <f>IF(AC154="","",SUMIF(C4:BF4,AC154,C25:BF25))</f>
        <v/>
      </c>
      <c r="AD174" s="2" t="str">
        <f>IF(AD154="","",SUMIF(C4:BF4,AD154,C25:BF25))</f>
        <v/>
      </c>
      <c r="AE174" s="2" t="str">
        <f>IF(AE154="","",SUMIF(C4:BF4,AE154,C25:BF25))</f>
        <v/>
      </c>
      <c r="AF174" s="2" t="str">
        <f>IF(AF154="","",SUMIF(C4:BF4,AF154,C25:BF25))</f>
        <v/>
      </c>
      <c r="AG174" s="2" t="str">
        <f>IF(AG154="","",SUMIF(C4:BF4,AG154,C25:BF25))</f>
        <v/>
      </c>
      <c r="AH174" s="2" t="str">
        <f>IF(AH154="","",SUMIF(C4:BF4,AH154,C25:BF25))</f>
        <v/>
      </c>
      <c r="AI174" s="2" t="str">
        <f>IF(AI154="","",SUMIF(C4:BF4,AI154,C25:BF25))</f>
        <v/>
      </c>
      <c r="AJ174" s="2" t="str">
        <f>IF(AJ154="","",SUMIF(C4:BF4,AJ154,C25:BF25))</f>
        <v/>
      </c>
      <c r="AK174" s="2" t="str">
        <f>IF(AK154="","",SUMIF(C4:BF4,AK154,C25:BF25))</f>
        <v/>
      </c>
      <c r="AL174" s="2" t="str">
        <f>IF(AL154="","",SUMIF(C4:BF4,AL154,C25:BF25))</f>
        <v/>
      </c>
      <c r="AM174" s="2" t="str">
        <f>IF(AM154="","",SUMIF(C4:BF4,AM154,C25:BF25))</f>
        <v/>
      </c>
      <c r="AN174" s="2" t="str">
        <f>IF(AN154="","",SUMIF(C4:BF4,AN154,C25:BF25))</f>
        <v/>
      </c>
      <c r="AO174" s="2" t="str">
        <f>IF(AO154="","",SUMIF(C4:BF4,AO154,C25:BF25))</f>
        <v/>
      </c>
      <c r="AP174" s="2" t="str">
        <f>IF(AP154="","",SUMIF(C4:BF4,AP154,C25:BF25))</f>
        <v/>
      </c>
      <c r="AQ174" s="2" t="str">
        <f>IF(AQ154="","",SUMIF(C4:BF4,AQ154,C25:BF25))</f>
        <v/>
      </c>
      <c r="AR174" s="2" t="str">
        <f>IF(AR154="","",SUMIF(C4:BF4,AR154,C25:BF25))</f>
        <v/>
      </c>
      <c r="AS174" s="2" t="str">
        <f>IF(AS154="","",SUMIF(C4:BF4,AS154,C25:BF25))</f>
        <v/>
      </c>
      <c r="AT174" s="2" t="str">
        <f>IF(AT154="","",SUMIF(C4:BF4,AT154,C25:BF25))</f>
        <v/>
      </c>
      <c r="AU174" s="2" t="str">
        <f>IF(AU154="","",SUMIF(C4:BF4,AU154,C25:BF25))</f>
        <v/>
      </c>
      <c r="AV174" s="2" t="str">
        <f>IF(AV154="","",SUMIF(C4:BF4,AV154,C25:BF25))</f>
        <v/>
      </c>
      <c r="AW174" s="2" t="str">
        <f>IF(AW154="","",SUMIF(C4:BF4,AW154,C25:BF25))</f>
        <v/>
      </c>
      <c r="AX174" s="2" t="str">
        <f>IF(AX154="","",SUMIF(C4:BF4,AX154,C25:BF25))</f>
        <v/>
      </c>
      <c r="AY174" s="2" t="str">
        <f>IF(AY154="","",SUMIF(C4:BF4,AY154,C25:BF25))</f>
        <v/>
      </c>
      <c r="AZ174" s="2" t="str">
        <f>IF(AZ154="","",SUMIF(C4:BF4,AZ154,C25:BF25))</f>
        <v/>
      </c>
      <c r="BA174" s="2" t="str">
        <f>IF(BA154="","",SUMIF(C4:BF4,BA154,C25:BF25))</f>
        <v/>
      </c>
      <c r="BB174" s="2" t="str">
        <f>IF(BB154="","",SUMIF(C4:BF4,BB154,C25:BF25))</f>
        <v/>
      </c>
      <c r="BC174" s="2" t="str">
        <f>IF(BC154="","",SUMIF(C4:BF4,BC154,C25:BF25))</f>
        <v/>
      </c>
      <c r="BD174" s="2" t="str">
        <f>IF(BD154="","",SUMIF(C4:BF4,BD154,C25:BF25))</f>
        <v/>
      </c>
      <c r="BE174" s="2" t="str">
        <f>IF(BE154="","",SUMIF(C4:BF4,BE154,C25:BF25))</f>
        <v/>
      </c>
      <c r="BF174" s="4" t="str">
        <f>IF(BF154="","",SUMIF(C4:BF4,BF154,C25:BF25))</f>
        <v/>
      </c>
    </row>
    <row r="175" spans="1:58">
      <c r="A175" s="18">
        <f t="shared" ref="A175:B194" si="13">A26</f>
        <v>46223</v>
      </c>
      <c r="B175" s="2" t="str">
        <f t="shared" si="13"/>
        <v>Jul 20</v>
      </c>
      <c r="C175" s="2">
        <f>IF(C154="","",SUMIF(C4:BF4,C154,C26:BF26))</f>
        <v>0</v>
      </c>
      <c r="D175" s="2">
        <f>IF(D154="","",SUMIF(C4:BF4,D154,C26:BF26))</f>
        <v>0</v>
      </c>
      <c r="E175" s="2">
        <f>IF(E154="","",SUMIF(C4:BF4,E154,C26:BF26))</f>
        <v>0</v>
      </c>
      <c r="F175" s="2">
        <f>IF(F154="","",SUMIF(C4:BF4,F154,C26:BF26))</f>
        <v>0</v>
      </c>
      <c r="G175" s="2">
        <f>IF(G154="","",SUMIF(C4:BF4,G154,C26:BF26))</f>
        <v>0</v>
      </c>
      <c r="H175" s="2">
        <f>IF(H154="","",SUMIF(C4:BF4,H154,C26:BF26))</f>
        <v>0</v>
      </c>
      <c r="I175" s="2">
        <f>IF(I154="","",SUMIF(C4:BF4,I154,C26:BF26))</f>
        <v>0</v>
      </c>
      <c r="J175" s="2">
        <f>IF(J154="","",SUMIF(C4:BF4,J154,C26:BF26))</f>
        <v>0</v>
      </c>
      <c r="K175" s="2">
        <f>IF(K154="","",SUMIF(C4:BF4,K154,C26:BF26))</f>
        <v>0</v>
      </c>
      <c r="L175" s="2">
        <f>IF(L154="","",SUMIF(C4:BF4,L154,C26:BF26))</f>
        <v>0</v>
      </c>
      <c r="M175" s="2">
        <f>IF(M154="","",SUMIF(C4:BF4,M154,C26:BF26))</f>
        <v>0</v>
      </c>
      <c r="N175" s="2">
        <f>IF(N154="","",SUMIF(C4:BF4,N154,C26:BF26))</f>
        <v>0</v>
      </c>
      <c r="O175" s="2">
        <f>IF(O154="","",SUMIF(C4:BF4,O154,C26:BF26))</f>
        <v>0</v>
      </c>
      <c r="P175" s="2">
        <f>IF(P154="","",SUMIF(C4:BF4,P154,C26:BF26))</f>
        <v>0</v>
      </c>
      <c r="Q175" s="2">
        <f>IF(Q154="","",SUMIF(C4:BF4,Q154,C26:BF26))</f>
        <v>0</v>
      </c>
      <c r="R175" s="2">
        <f>IF(R154="","",SUMIF(C4:BF4,R154,C26:BF26))</f>
        <v>0</v>
      </c>
      <c r="S175" s="2">
        <f>IF(S154="","",SUMIF(C4:BF4,S154,C26:BF26))</f>
        <v>0</v>
      </c>
      <c r="T175" s="2">
        <f>IF(T154="","",SUMIF(C4:BF4,T154,C26:BF26))</f>
        <v>0</v>
      </c>
      <c r="U175" s="2">
        <f>IF(U154="","",SUMIF(C4:BF4,U154,C26:BF26))</f>
        <v>0</v>
      </c>
      <c r="V175" s="2">
        <f>IF(V154="","",SUMIF(C4:BF4,V154,C26:BF26))</f>
        <v>0</v>
      </c>
      <c r="W175" s="2" t="str">
        <f>IF(W154="","",SUMIF(C4:BF4,W154,C26:BF26))</f>
        <v/>
      </c>
      <c r="X175" s="2" t="str">
        <f>IF(X154="","",SUMIF(C4:BF4,X154,C26:BF26))</f>
        <v/>
      </c>
      <c r="Y175" s="2" t="str">
        <f>IF(Y154="","",SUMIF(C4:BF4,Y154,C26:BF26))</f>
        <v/>
      </c>
      <c r="Z175" s="2" t="str">
        <f>IF(Z154="","",SUMIF(C4:BF4,Z154,C26:BF26))</f>
        <v/>
      </c>
      <c r="AA175" s="2" t="str">
        <f>IF(AA154="","",SUMIF(C4:BF4,AA154,C26:BF26))</f>
        <v/>
      </c>
      <c r="AB175" s="2" t="str">
        <f>IF(AB154="","",SUMIF(C4:BF4,AB154,C26:BF26))</f>
        <v/>
      </c>
      <c r="AC175" s="2" t="str">
        <f>IF(AC154="","",SUMIF(C4:BF4,AC154,C26:BF26))</f>
        <v/>
      </c>
      <c r="AD175" s="2" t="str">
        <f>IF(AD154="","",SUMIF(C4:BF4,AD154,C26:BF26))</f>
        <v/>
      </c>
      <c r="AE175" s="2" t="str">
        <f>IF(AE154="","",SUMIF(C4:BF4,AE154,C26:BF26))</f>
        <v/>
      </c>
      <c r="AF175" s="2" t="str">
        <f>IF(AF154="","",SUMIF(C4:BF4,AF154,C26:BF26))</f>
        <v/>
      </c>
      <c r="AG175" s="2" t="str">
        <f>IF(AG154="","",SUMIF(C4:BF4,AG154,C26:BF26))</f>
        <v/>
      </c>
      <c r="AH175" s="2" t="str">
        <f>IF(AH154="","",SUMIF(C4:BF4,AH154,C26:BF26))</f>
        <v/>
      </c>
      <c r="AI175" s="2" t="str">
        <f>IF(AI154="","",SUMIF(C4:BF4,AI154,C26:BF26))</f>
        <v/>
      </c>
      <c r="AJ175" s="2" t="str">
        <f>IF(AJ154="","",SUMIF(C4:BF4,AJ154,C26:BF26))</f>
        <v/>
      </c>
      <c r="AK175" s="2" t="str">
        <f>IF(AK154="","",SUMIF(C4:BF4,AK154,C26:BF26))</f>
        <v/>
      </c>
      <c r="AL175" s="2" t="str">
        <f>IF(AL154="","",SUMIF(C4:BF4,AL154,C26:BF26))</f>
        <v/>
      </c>
      <c r="AM175" s="2" t="str">
        <f>IF(AM154="","",SUMIF(C4:BF4,AM154,C26:BF26))</f>
        <v/>
      </c>
      <c r="AN175" s="2" t="str">
        <f>IF(AN154="","",SUMIF(C4:BF4,AN154,C26:BF26))</f>
        <v/>
      </c>
      <c r="AO175" s="2" t="str">
        <f>IF(AO154="","",SUMIF(C4:BF4,AO154,C26:BF26))</f>
        <v/>
      </c>
      <c r="AP175" s="2" t="str">
        <f>IF(AP154="","",SUMIF(C4:BF4,AP154,C26:BF26))</f>
        <v/>
      </c>
      <c r="AQ175" s="2" t="str">
        <f>IF(AQ154="","",SUMIF(C4:BF4,AQ154,C26:BF26))</f>
        <v/>
      </c>
      <c r="AR175" s="2" t="str">
        <f>IF(AR154="","",SUMIF(C4:BF4,AR154,C26:BF26))</f>
        <v/>
      </c>
      <c r="AS175" s="2" t="str">
        <f>IF(AS154="","",SUMIF(C4:BF4,AS154,C26:BF26))</f>
        <v/>
      </c>
      <c r="AT175" s="2" t="str">
        <f>IF(AT154="","",SUMIF(C4:BF4,AT154,C26:BF26))</f>
        <v/>
      </c>
      <c r="AU175" s="2" t="str">
        <f>IF(AU154="","",SUMIF(C4:BF4,AU154,C26:BF26))</f>
        <v/>
      </c>
      <c r="AV175" s="2" t="str">
        <f>IF(AV154="","",SUMIF(C4:BF4,AV154,C26:BF26))</f>
        <v/>
      </c>
      <c r="AW175" s="2" t="str">
        <f>IF(AW154="","",SUMIF(C4:BF4,AW154,C26:BF26))</f>
        <v/>
      </c>
      <c r="AX175" s="2" t="str">
        <f>IF(AX154="","",SUMIF(C4:BF4,AX154,C26:BF26))</f>
        <v/>
      </c>
      <c r="AY175" s="2" t="str">
        <f>IF(AY154="","",SUMIF(C4:BF4,AY154,C26:BF26))</f>
        <v/>
      </c>
      <c r="AZ175" s="2" t="str">
        <f>IF(AZ154="","",SUMIF(C4:BF4,AZ154,C26:BF26))</f>
        <v/>
      </c>
      <c r="BA175" s="2" t="str">
        <f>IF(BA154="","",SUMIF(C4:BF4,BA154,C26:BF26))</f>
        <v/>
      </c>
      <c r="BB175" s="2" t="str">
        <f>IF(BB154="","",SUMIF(C4:BF4,BB154,C26:BF26))</f>
        <v/>
      </c>
      <c r="BC175" s="2" t="str">
        <f>IF(BC154="","",SUMIF(C4:BF4,BC154,C26:BF26))</f>
        <v/>
      </c>
      <c r="BD175" s="2" t="str">
        <f>IF(BD154="","",SUMIF(C4:BF4,BD154,C26:BF26))</f>
        <v/>
      </c>
      <c r="BE175" s="2" t="str">
        <f>IF(BE154="","",SUMIF(C4:BF4,BE154,C26:BF26))</f>
        <v/>
      </c>
      <c r="BF175" s="4" t="str">
        <f>IF(BF154="","",SUMIF(C4:BF4,BF154,C26:BF26))</f>
        <v/>
      </c>
    </row>
    <row r="176" spans="1:58">
      <c r="A176" s="18">
        <f t="shared" si="13"/>
        <v>46230</v>
      </c>
      <c r="B176" s="2" t="str">
        <f t="shared" si="13"/>
        <v>Jul 27</v>
      </c>
      <c r="C176" s="2">
        <f>IF(C154="","",SUMIF(C4:BF4,C154,C27:BF27))</f>
        <v>0</v>
      </c>
      <c r="D176" s="2">
        <f>IF(D154="","",SUMIF(C4:BF4,D154,C27:BF27))</f>
        <v>0</v>
      </c>
      <c r="E176" s="2">
        <f>IF(E154="","",SUMIF(C4:BF4,E154,C27:BF27))</f>
        <v>0</v>
      </c>
      <c r="F176" s="2">
        <f>IF(F154="","",SUMIF(C4:BF4,F154,C27:BF27))</f>
        <v>0</v>
      </c>
      <c r="G176" s="2">
        <f>IF(G154="","",SUMIF(C4:BF4,G154,C27:BF27))</f>
        <v>0</v>
      </c>
      <c r="H176" s="2">
        <f>IF(H154="","",SUMIF(C4:BF4,H154,C27:BF27))</f>
        <v>0</v>
      </c>
      <c r="I176" s="2">
        <f>IF(I154="","",SUMIF(C4:BF4,I154,C27:BF27))</f>
        <v>0</v>
      </c>
      <c r="J176" s="2">
        <f>IF(J154="","",SUMIF(C4:BF4,J154,C27:BF27))</f>
        <v>0</v>
      </c>
      <c r="K176" s="2">
        <f>IF(K154="","",SUMIF(C4:BF4,K154,C27:BF27))</f>
        <v>0</v>
      </c>
      <c r="L176" s="2">
        <f>IF(L154="","",SUMIF(C4:BF4,L154,C27:BF27))</f>
        <v>0</v>
      </c>
      <c r="M176" s="2">
        <f>IF(M154="","",SUMIF(C4:BF4,M154,C27:BF27))</f>
        <v>0</v>
      </c>
      <c r="N176" s="2">
        <f>IF(N154="","",SUMIF(C4:BF4,N154,C27:BF27))</f>
        <v>0</v>
      </c>
      <c r="O176" s="2">
        <f>IF(O154="","",SUMIF(C4:BF4,O154,C27:BF27))</f>
        <v>0</v>
      </c>
      <c r="P176" s="2">
        <f>IF(P154="","",SUMIF(C4:BF4,P154,C27:BF27))</f>
        <v>0</v>
      </c>
      <c r="Q176" s="2">
        <f>IF(Q154="","",SUMIF(C4:BF4,Q154,C27:BF27))</f>
        <v>0</v>
      </c>
      <c r="R176" s="2">
        <f>IF(R154="","",SUMIF(C4:BF4,R154,C27:BF27))</f>
        <v>0</v>
      </c>
      <c r="S176" s="2">
        <f>IF(S154="","",SUMIF(C4:BF4,S154,C27:BF27))</f>
        <v>0</v>
      </c>
      <c r="T176" s="2">
        <f>IF(T154="","",SUMIF(C4:BF4,T154,C27:BF27))</f>
        <v>0</v>
      </c>
      <c r="U176" s="2">
        <f>IF(U154="","",SUMIF(C4:BF4,U154,C27:BF27))</f>
        <v>0</v>
      </c>
      <c r="V176" s="2">
        <f>IF(V154="","",SUMIF(C4:BF4,V154,C27:BF27))</f>
        <v>0</v>
      </c>
      <c r="W176" s="2" t="str">
        <f>IF(W154="","",SUMIF(C4:BF4,W154,C27:BF27))</f>
        <v/>
      </c>
      <c r="X176" s="2" t="str">
        <f>IF(X154="","",SUMIF(C4:BF4,X154,C27:BF27))</f>
        <v/>
      </c>
      <c r="Y176" s="2" t="str">
        <f>IF(Y154="","",SUMIF(C4:BF4,Y154,C27:BF27))</f>
        <v/>
      </c>
      <c r="Z176" s="2" t="str">
        <f>IF(Z154="","",SUMIF(C4:BF4,Z154,C27:BF27))</f>
        <v/>
      </c>
      <c r="AA176" s="2" t="str">
        <f>IF(AA154="","",SUMIF(C4:BF4,AA154,C27:BF27))</f>
        <v/>
      </c>
      <c r="AB176" s="2" t="str">
        <f>IF(AB154="","",SUMIF(C4:BF4,AB154,C27:BF27))</f>
        <v/>
      </c>
      <c r="AC176" s="2" t="str">
        <f>IF(AC154="","",SUMIF(C4:BF4,AC154,C27:BF27))</f>
        <v/>
      </c>
      <c r="AD176" s="2" t="str">
        <f>IF(AD154="","",SUMIF(C4:BF4,AD154,C27:BF27))</f>
        <v/>
      </c>
      <c r="AE176" s="2" t="str">
        <f>IF(AE154="","",SUMIF(C4:BF4,AE154,C27:BF27))</f>
        <v/>
      </c>
      <c r="AF176" s="2" t="str">
        <f>IF(AF154="","",SUMIF(C4:BF4,AF154,C27:BF27))</f>
        <v/>
      </c>
      <c r="AG176" s="2" t="str">
        <f>IF(AG154="","",SUMIF(C4:BF4,AG154,C27:BF27))</f>
        <v/>
      </c>
      <c r="AH176" s="2" t="str">
        <f>IF(AH154="","",SUMIF(C4:BF4,AH154,C27:BF27))</f>
        <v/>
      </c>
      <c r="AI176" s="2" t="str">
        <f>IF(AI154="","",SUMIF(C4:BF4,AI154,C27:BF27))</f>
        <v/>
      </c>
      <c r="AJ176" s="2" t="str">
        <f>IF(AJ154="","",SUMIF(C4:BF4,AJ154,C27:BF27))</f>
        <v/>
      </c>
      <c r="AK176" s="2" t="str">
        <f>IF(AK154="","",SUMIF(C4:BF4,AK154,C27:BF27))</f>
        <v/>
      </c>
      <c r="AL176" s="2" t="str">
        <f>IF(AL154="","",SUMIF(C4:BF4,AL154,C27:BF27))</f>
        <v/>
      </c>
      <c r="AM176" s="2" t="str">
        <f>IF(AM154="","",SUMIF(C4:BF4,AM154,C27:BF27))</f>
        <v/>
      </c>
      <c r="AN176" s="2" t="str">
        <f>IF(AN154="","",SUMIF(C4:BF4,AN154,C27:BF27))</f>
        <v/>
      </c>
      <c r="AO176" s="2" t="str">
        <f>IF(AO154="","",SUMIF(C4:BF4,AO154,C27:BF27))</f>
        <v/>
      </c>
      <c r="AP176" s="2" t="str">
        <f>IF(AP154="","",SUMIF(C4:BF4,AP154,C27:BF27))</f>
        <v/>
      </c>
      <c r="AQ176" s="2" t="str">
        <f>IF(AQ154="","",SUMIF(C4:BF4,AQ154,C27:BF27))</f>
        <v/>
      </c>
      <c r="AR176" s="2" t="str">
        <f>IF(AR154="","",SUMIF(C4:BF4,AR154,C27:BF27))</f>
        <v/>
      </c>
      <c r="AS176" s="2" t="str">
        <f>IF(AS154="","",SUMIF(C4:BF4,AS154,C27:BF27))</f>
        <v/>
      </c>
      <c r="AT176" s="2" t="str">
        <f>IF(AT154="","",SUMIF(C4:BF4,AT154,C27:BF27))</f>
        <v/>
      </c>
      <c r="AU176" s="2" t="str">
        <f>IF(AU154="","",SUMIF(C4:BF4,AU154,C27:BF27))</f>
        <v/>
      </c>
      <c r="AV176" s="2" t="str">
        <f>IF(AV154="","",SUMIF(C4:BF4,AV154,C27:BF27))</f>
        <v/>
      </c>
      <c r="AW176" s="2" t="str">
        <f>IF(AW154="","",SUMIF(C4:BF4,AW154,C27:BF27))</f>
        <v/>
      </c>
      <c r="AX176" s="2" t="str">
        <f>IF(AX154="","",SUMIF(C4:BF4,AX154,C27:BF27))</f>
        <v/>
      </c>
      <c r="AY176" s="2" t="str">
        <f>IF(AY154="","",SUMIF(C4:BF4,AY154,C27:BF27))</f>
        <v/>
      </c>
      <c r="AZ176" s="2" t="str">
        <f>IF(AZ154="","",SUMIF(C4:BF4,AZ154,C27:BF27))</f>
        <v/>
      </c>
      <c r="BA176" s="2" t="str">
        <f>IF(BA154="","",SUMIF(C4:BF4,BA154,C27:BF27))</f>
        <v/>
      </c>
      <c r="BB176" s="2" t="str">
        <f>IF(BB154="","",SUMIF(C4:BF4,BB154,C27:BF27))</f>
        <v/>
      </c>
      <c r="BC176" s="2" t="str">
        <f>IF(BC154="","",SUMIF(C4:BF4,BC154,C27:BF27))</f>
        <v/>
      </c>
      <c r="BD176" s="2" t="str">
        <f>IF(BD154="","",SUMIF(C4:BF4,BD154,C27:BF27))</f>
        <v/>
      </c>
      <c r="BE176" s="2" t="str">
        <f>IF(BE154="","",SUMIF(C4:BF4,BE154,C27:BF27))</f>
        <v/>
      </c>
      <c r="BF176" s="4" t="str">
        <f>IF(BF154="","",SUMIF(C4:BF4,BF154,C27:BF27))</f>
        <v/>
      </c>
    </row>
    <row r="177" spans="1:58">
      <c r="A177" s="18">
        <f t="shared" si="13"/>
        <v>46237</v>
      </c>
      <c r="B177" s="2" t="str">
        <f t="shared" si="13"/>
        <v>Aug 3</v>
      </c>
      <c r="C177" s="2">
        <f>IF(C154="","",SUMIF(C4:BF4,C154,C28:BF28))</f>
        <v>0</v>
      </c>
      <c r="D177" s="2">
        <f>IF(D154="","",SUMIF(C4:BF4,D154,C28:BF28))</f>
        <v>0</v>
      </c>
      <c r="E177" s="2">
        <f>IF(E154="","",SUMIF(C4:BF4,E154,C28:BF28))</f>
        <v>0</v>
      </c>
      <c r="F177" s="2">
        <f>IF(F154="","",SUMIF(C4:BF4,F154,C28:BF28))</f>
        <v>0</v>
      </c>
      <c r="G177" s="2">
        <f>IF(G154="","",SUMIF(C4:BF4,G154,C28:BF28))</f>
        <v>0</v>
      </c>
      <c r="H177" s="2">
        <f>IF(H154="","",SUMIF(C4:BF4,H154,C28:BF28))</f>
        <v>0</v>
      </c>
      <c r="I177" s="2">
        <f>IF(I154="","",SUMIF(C4:BF4,I154,C28:BF28))</f>
        <v>0</v>
      </c>
      <c r="J177" s="2">
        <f>IF(J154="","",SUMIF(C4:BF4,J154,C28:BF28))</f>
        <v>0</v>
      </c>
      <c r="K177" s="2">
        <f>IF(K154="","",SUMIF(C4:BF4,K154,C28:BF28))</f>
        <v>0</v>
      </c>
      <c r="L177" s="2">
        <f>IF(L154="","",SUMIF(C4:BF4,L154,C28:BF28))</f>
        <v>0</v>
      </c>
      <c r="M177" s="2">
        <f>IF(M154="","",SUMIF(C4:BF4,M154,C28:BF28))</f>
        <v>0</v>
      </c>
      <c r="N177" s="2">
        <f>IF(N154="","",SUMIF(C4:BF4,N154,C28:BF28))</f>
        <v>0</v>
      </c>
      <c r="O177" s="2">
        <f>IF(O154="","",SUMIF(C4:BF4,O154,C28:BF28))</f>
        <v>0</v>
      </c>
      <c r="P177" s="2">
        <f>IF(P154="","",SUMIF(C4:BF4,P154,C28:BF28))</f>
        <v>0</v>
      </c>
      <c r="Q177" s="2">
        <f>IF(Q154="","",SUMIF(C4:BF4,Q154,C28:BF28))</f>
        <v>0</v>
      </c>
      <c r="R177" s="2">
        <f>IF(R154="","",SUMIF(C4:BF4,R154,C28:BF28))</f>
        <v>0</v>
      </c>
      <c r="S177" s="2">
        <f>IF(S154="","",SUMIF(C4:BF4,S154,C28:BF28))</f>
        <v>0</v>
      </c>
      <c r="T177" s="2">
        <f>IF(T154="","",SUMIF(C4:BF4,T154,C28:BF28))</f>
        <v>0</v>
      </c>
      <c r="U177" s="2">
        <f>IF(U154="","",SUMIF(C4:BF4,U154,C28:BF28))</f>
        <v>0</v>
      </c>
      <c r="V177" s="2">
        <f>IF(V154="","",SUMIF(C4:BF4,V154,C28:BF28))</f>
        <v>0</v>
      </c>
      <c r="W177" s="2" t="str">
        <f>IF(W154="","",SUMIF(C4:BF4,W154,C28:BF28))</f>
        <v/>
      </c>
      <c r="X177" s="2" t="str">
        <f>IF(X154="","",SUMIF(C4:BF4,X154,C28:BF28))</f>
        <v/>
      </c>
      <c r="Y177" s="2" t="str">
        <f>IF(Y154="","",SUMIF(C4:BF4,Y154,C28:BF28))</f>
        <v/>
      </c>
      <c r="Z177" s="2" t="str">
        <f>IF(Z154="","",SUMIF(C4:BF4,Z154,C28:BF28))</f>
        <v/>
      </c>
      <c r="AA177" s="2" t="str">
        <f>IF(AA154="","",SUMIF(C4:BF4,AA154,C28:BF28))</f>
        <v/>
      </c>
      <c r="AB177" s="2" t="str">
        <f>IF(AB154="","",SUMIF(C4:BF4,AB154,C28:BF28))</f>
        <v/>
      </c>
      <c r="AC177" s="2" t="str">
        <f>IF(AC154="","",SUMIF(C4:BF4,AC154,C28:BF28))</f>
        <v/>
      </c>
      <c r="AD177" s="2" t="str">
        <f>IF(AD154="","",SUMIF(C4:BF4,AD154,C28:BF28))</f>
        <v/>
      </c>
      <c r="AE177" s="2" t="str">
        <f>IF(AE154="","",SUMIF(C4:BF4,AE154,C28:BF28))</f>
        <v/>
      </c>
      <c r="AF177" s="2" t="str">
        <f>IF(AF154="","",SUMIF(C4:BF4,AF154,C28:BF28))</f>
        <v/>
      </c>
      <c r="AG177" s="2" t="str">
        <f>IF(AG154="","",SUMIF(C4:BF4,AG154,C28:BF28))</f>
        <v/>
      </c>
      <c r="AH177" s="2" t="str">
        <f>IF(AH154="","",SUMIF(C4:BF4,AH154,C28:BF28))</f>
        <v/>
      </c>
      <c r="AI177" s="2" t="str">
        <f>IF(AI154="","",SUMIF(C4:BF4,AI154,C28:BF28))</f>
        <v/>
      </c>
      <c r="AJ177" s="2" t="str">
        <f>IF(AJ154="","",SUMIF(C4:BF4,AJ154,C28:BF28))</f>
        <v/>
      </c>
      <c r="AK177" s="2" t="str">
        <f>IF(AK154="","",SUMIF(C4:BF4,AK154,C28:BF28))</f>
        <v/>
      </c>
      <c r="AL177" s="2" t="str">
        <f>IF(AL154="","",SUMIF(C4:BF4,AL154,C28:BF28))</f>
        <v/>
      </c>
      <c r="AM177" s="2" t="str">
        <f>IF(AM154="","",SUMIF(C4:BF4,AM154,C28:BF28))</f>
        <v/>
      </c>
      <c r="AN177" s="2" t="str">
        <f>IF(AN154="","",SUMIF(C4:BF4,AN154,C28:BF28))</f>
        <v/>
      </c>
      <c r="AO177" s="2" t="str">
        <f>IF(AO154="","",SUMIF(C4:BF4,AO154,C28:BF28))</f>
        <v/>
      </c>
      <c r="AP177" s="2" t="str">
        <f>IF(AP154="","",SUMIF(C4:BF4,AP154,C28:BF28))</f>
        <v/>
      </c>
      <c r="AQ177" s="2" t="str">
        <f>IF(AQ154="","",SUMIF(C4:BF4,AQ154,C28:BF28))</f>
        <v/>
      </c>
      <c r="AR177" s="2" t="str">
        <f>IF(AR154="","",SUMIF(C4:BF4,AR154,C28:BF28))</f>
        <v/>
      </c>
      <c r="AS177" s="2" t="str">
        <f>IF(AS154="","",SUMIF(C4:BF4,AS154,C28:BF28))</f>
        <v/>
      </c>
      <c r="AT177" s="2" t="str">
        <f>IF(AT154="","",SUMIF(C4:BF4,AT154,C28:BF28))</f>
        <v/>
      </c>
      <c r="AU177" s="2" t="str">
        <f>IF(AU154="","",SUMIF(C4:BF4,AU154,C28:BF28))</f>
        <v/>
      </c>
      <c r="AV177" s="2" t="str">
        <f>IF(AV154="","",SUMIF(C4:BF4,AV154,C28:BF28))</f>
        <v/>
      </c>
      <c r="AW177" s="2" t="str">
        <f>IF(AW154="","",SUMIF(C4:BF4,AW154,C28:BF28))</f>
        <v/>
      </c>
      <c r="AX177" s="2" t="str">
        <f>IF(AX154="","",SUMIF(C4:BF4,AX154,C28:BF28))</f>
        <v/>
      </c>
      <c r="AY177" s="2" t="str">
        <f>IF(AY154="","",SUMIF(C4:BF4,AY154,C28:BF28))</f>
        <v/>
      </c>
      <c r="AZ177" s="2" t="str">
        <f>IF(AZ154="","",SUMIF(C4:BF4,AZ154,C28:BF28))</f>
        <v/>
      </c>
      <c r="BA177" s="2" t="str">
        <f>IF(BA154="","",SUMIF(C4:BF4,BA154,C28:BF28))</f>
        <v/>
      </c>
      <c r="BB177" s="2" t="str">
        <f>IF(BB154="","",SUMIF(C4:BF4,BB154,C28:BF28))</f>
        <v/>
      </c>
      <c r="BC177" s="2" t="str">
        <f>IF(BC154="","",SUMIF(C4:BF4,BC154,C28:BF28))</f>
        <v/>
      </c>
      <c r="BD177" s="2" t="str">
        <f>IF(BD154="","",SUMIF(C4:BF4,BD154,C28:BF28))</f>
        <v/>
      </c>
      <c r="BE177" s="2" t="str">
        <f>IF(BE154="","",SUMIF(C4:BF4,BE154,C28:BF28))</f>
        <v/>
      </c>
      <c r="BF177" s="4" t="str">
        <f>IF(BF154="","",SUMIF(C4:BF4,BF154,C28:BF28))</f>
        <v/>
      </c>
    </row>
    <row r="178" spans="1:58">
      <c r="A178" s="18">
        <f t="shared" si="13"/>
        <v>46244</v>
      </c>
      <c r="B178" s="2" t="str">
        <f t="shared" si="13"/>
        <v>Aug 10</v>
      </c>
      <c r="C178" s="2">
        <f>IF(C154="","",SUMIF(C4:BF4,C154,C29:BF29))</f>
        <v>0</v>
      </c>
      <c r="D178" s="2">
        <f>IF(D154="","",SUMIF(C4:BF4,D154,C29:BF29))</f>
        <v>0</v>
      </c>
      <c r="E178" s="2">
        <f>IF(E154="","",SUMIF(C4:BF4,E154,C29:BF29))</f>
        <v>0</v>
      </c>
      <c r="F178" s="2">
        <f>IF(F154="","",SUMIF(C4:BF4,F154,C29:BF29))</f>
        <v>0</v>
      </c>
      <c r="G178" s="2">
        <f>IF(G154="","",SUMIF(C4:BF4,G154,C29:BF29))</f>
        <v>0</v>
      </c>
      <c r="H178" s="2">
        <f>IF(H154="","",SUMIF(C4:BF4,H154,C29:BF29))</f>
        <v>0</v>
      </c>
      <c r="I178" s="2">
        <f>IF(I154="","",SUMIF(C4:BF4,I154,C29:BF29))</f>
        <v>0</v>
      </c>
      <c r="J178" s="2">
        <f>IF(J154="","",SUMIF(C4:BF4,J154,C29:BF29))</f>
        <v>0</v>
      </c>
      <c r="K178" s="2">
        <f>IF(K154="","",SUMIF(C4:BF4,K154,C29:BF29))</f>
        <v>0</v>
      </c>
      <c r="L178" s="2">
        <f>IF(L154="","",SUMIF(C4:BF4,L154,C29:BF29))</f>
        <v>0</v>
      </c>
      <c r="M178" s="2">
        <f>IF(M154="","",SUMIF(C4:BF4,M154,C29:BF29))</f>
        <v>0</v>
      </c>
      <c r="N178" s="2">
        <f>IF(N154="","",SUMIF(C4:BF4,N154,C29:BF29))</f>
        <v>0</v>
      </c>
      <c r="O178" s="2">
        <f>IF(O154="","",SUMIF(C4:BF4,O154,C29:BF29))</f>
        <v>0</v>
      </c>
      <c r="P178" s="2">
        <f>IF(P154="","",SUMIF(C4:BF4,P154,C29:BF29))</f>
        <v>0</v>
      </c>
      <c r="Q178" s="2">
        <f>IF(Q154="","",SUMIF(C4:BF4,Q154,C29:BF29))</f>
        <v>0</v>
      </c>
      <c r="R178" s="2">
        <f>IF(R154="","",SUMIF(C4:BF4,R154,C29:BF29))</f>
        <v>0</v>
      </c>
      <c r="S178" s="2">
        <f>IF(S154="","",SUMIF(C4:BF4,S154,C29:BF29))</f>
        <v>0</v>
      </c>
      <c r="T178" s="2">
        <f>IF(T154="","",SUMIF(C4:BF4,T154,C29:BF29))</f>
        <v>0</v>
      </c>
      <c r="U178" s="2">
        <f>IF(U154="","",SUMIF(C4:BF4,U154,C29:BF29))</f>
        <v>0</v>
      </c>
      <c r="V178" s="2">
        <f>IF(V154="","",SUMIF(C4:BF4,V154,C29:BF29))</f>
        <v>0</v>
      </c>
      <c r="W178" s="2" t="str">
        <f>IF(W154="","",SUMIF(C4:BF4,W154,C29:BF29))</f>
        <v/>
      </c>
      <c r="X178" s="2" t="str">
        <f>IF(X154="","",SUMIF(C4:BF4,X154,C29:BF29))</f>
        <v/>
      </c>
      <c r="Y178" s="2" t="str">
        <f>IF(Y154="","",SUMIF(C4:BF4,Y154,C29:BF29))</f>
        <v/>
      </c>
      <c r="Z178" s="2" t="str">
        <f>IF(Z154="","",SUMIF(C4:BF4,Z154,C29:BF29))</f>
        <v/>
      </c>
      <c r="AA178" s="2" t="str">
        <f>IF(AA154="","",SUMIF(C4:BF4,AA154,C29:BF29))</f>
        <v/>
      </c>
      <c r="AB178" s="2" t="str">
        <f>IF(AB154="","",SUMIF(C4:BF4,AB154,C29:BF29))</f>
        <v/>
      </c>
      <c r="AC178" s="2" t="str">
        <f>IF(AC154="","",SUMIF(C4:BF4,AC154,C29:BF29))</f>
        <v/>
      </c>
      <c r="AD178" s="2" t="str">
        <f>IF(AD154="","",SUMIF(C4:BF4,AD154,C29:BF29))</f>
        <v/>
      </c>
      <c r="AE178" s="2" t="str">
        <f>IF(AE154="","",SUMIF(C4:BF4,AE154,C29:BF29))</f>
        <v/>
      </c>
      <c r="AF178" s="2" t="str">
        <f>IF(AF154="","",SUMIF(C4:BF4,AF154,C29:BF29))</f>
        <v/>
      </c>
      <c r="AG178" s="2" t="str">
        <f>IF(AG154="","",SUMIF(C4:BF4,AG154,C29:BF29))</f>
        <v/>
      </c>
      <c r="AH178" s="2" t="str">
        <f>IF(AH154="","",SUMIF(C4:BF4,AH154,C29:BF29))</f>
        <v/>
      </c>
      <c r="AI178" s="2" t="str">
        <f>IF(AI154="","",SUMIF(C4:BF4,AI154,C29:BF29))</f>
        <v/>
      </c>
      <c r="AJ178" s="2" t="str">
        <f>IF(AJ154="","",SUMIF(C4:BF4,AJ154,C29:BF29))</f>
        <v/>
      </c>
      <c r="AK178" s="2" t="str">
        <f>IF(AK154="","",SUMIF(C4:BF4,AK154,C29:BF29))</f>
        <v/>
      </c>
      <c r="AL178" s="2" t="str">
        <f>IF(AL154="","",SUMIF(C4:BF4,AL154,C29:BF29))</f>
        <v/>
      </c>
      <c r="AM178" s="2" t="str">
        <f>IF(AM154="","",SUMIF(C4:BF4,AM154,C29:BF29))</f>
        <v/>
      </c>
      <c r="AN178" s="2" t="str">
        <f>IF(AN154="","",SUMIF(C4:BF4,AN154,C29:BF29))</f>
        <v/>
      </c>
      <c r="AO178" s="2" t="str">
        <f>IF(AO154="","",SUMIF(C4:BF4,AO154,C29:BF29))</f>
        <v/>
      </c>
      <c r="AP178" s="2" t="str">
        <f>IF(AP154="","",SUMIF(C4:BF4,AP154,C29:BF29))</f>
        <v/>
      </c>
      <c r="AQ178" s="2" t="str">
        <f>IF(AQ154="","",SUMIF(C4:BF4,AQ154,C29:BF29))</f>
        <v/>
      </c>
      <c r="AR178" s="2" t="str">
        <f>IF(AR154="","",SUMIF(C4:BF4,AR154,C29:BF29))</f>
        <v/>
      </c>
      <c r="AS178" s="2" t="str">
        <f>IF(AS154="","",SUMIF(C4:BF4,AS154,C29:BF29))</f>
        <v/>
      </c>
      <c r="AT178" s="2" t="str">
        <f>IF(AT154="","",SUMIF(C4:BF4,AT154,C29:BF29))</f>
        <v/>
      </c>
      <c r="AU178" s="2" t="str">
        <f>IF(AU154="","",SUMIF(C4:BF4,AU154,C29:BF29))</f>
        <v/>
      </c>
      <c r="AV178" s="2" t="str">
        <f>IF(AV154="","",SUMIF(C4:BF4,AV154,C29:BF29))</f>
        <v/>
      </c>
      <c r="AW178" s="2" t="str">
        <f>IF(AW154="","",SUMIF(C4:BF4,AW154,C29:BF29))</f>
        <v/>
      </c>
      <c r="AX178" s="2" t="str">
        <f>IF(AX154="","",SUMIF(C4:BF4,AX154,C29:BF29))</f>
        <v/>
      </c>
      <c r="AY178" s="2" t="str">
        <f>IF(AY154="","",SUMIF(C4:BF4,AY154,C29:BF29))</f>
        <v/>
      </c>
      <c r="AZ178" s="2" t="str">
        <f>IF(AZ154="","",SUMIF(C4:BF4,AZ154,C29:BF29))</f>
        <v/>
      </c>
      <c r="BA178" s="2" t="str">
        <f>IF(BA154="","",SUMIF(C4:BF4,BA154,C29:BF29))</f>
        <v/>
      </c>
      <c r="BB178" s="2" t="str">
        <f>IF(BB154="","",SUMIF(C4:BF4,BB154,C29:BF29))</f>
        <v/>
      </c>
      <c r="BC178" s="2" t="str">
        <f>IF(BC154="","",SUMIF(C4:BF4,BC154,C29:BF29))</f>
        <v/>
      </c>
      <c r="BD178" s="2" t="str">
        <f>IF(BD154="","",SUMIF(C4:BF4,BD154,C29:BF29))</f>
        <v/>
      </c>
      <c r="BE178" s="2" t="str">
        <f>IF(BE154="","",SUMIF(C4:BF4,BE154,C29:BF29))</f>
        <v/>
      </c>
      <c r="BF178" s="4" t="str">
        <f>IF(BF154="","",SUMIF(C4:BF4,BF154,C29:BF29))</f>
        <v/>
      </c>
    </row>
    <row r="179" spans="1:58">
      <c r="A179" s="18">
        <f t="shared" si="13"/>
        <v>46251</v>
      </c>
      <c r="B179" s="2" t="str">
        <f t="shared" si="13"/>
        <v>Aug 17</v>
      </c>
      <c r="C179" s="2">
        <f>IF(C154="","",SUMIF(C4:BF4,C154,C30:BF30))</f>
        <v>0</v>
      </c>
      <c r="D179" s="2">
        <f>IF(D154="","",SUMIF(C4:BF4,D154,C30:BF30))</f>
        <v>0</v>
      </c>
      <c r="E179" s="2">
        <f>IF(E154="","",SUMIF(C4:BF4,E154,C30:BF30))</f>
        <v>0</v>
      </c>
      <c r="F179" s="2">
        <f>IF(F154="","",SUMIF(C4:BF4,F154,C30:BF30))</f>
        <v>0</v>
      </c>
      <c r="G179" s="2">
        <f>IF(G154="","",SUMIF(C4:BF4,G154,C30:BF30))</f>
        <v>0</v>
      </c>
      <c r="H179" s="2">
        <f>IF(H154="","",SUMIF(C4:BF4,H154,C30:BF30))</f>
        <v>0</v>
      </c>
      <c r="I179" s="2">
        <f>IF(I154="","",SUMIF(C4:BF4,I154,C30:BF30))</f>
        <v>0</v>
      </c>
      <c r="J179" s="2">
        <f>IF(J154="","",SUMIF(C4:BF4,J154,C30:BF30))</f>
        <v>0</v>
      </c>
      <c r="K179" s="2">
        <f>IF(K154="","",SUMIF(C4:BF4,K154,C30:BF30))</f>
        <v>0</v>
      </c>
      <c r="L179" s="2">
        <f>IF(L154="","",SUMIF(C4:BF4,L154,C30:BF30))</f>
        <v>0</v>
      </c>
      <c r="M179" s="2">
        <f>IF(M154="","",SUMIF(C4:BF4,M154,C30:BF30))</f>
        <v>0</v>
      </c>
      <c r="N179" s="2">
        <f>IF(N154="","",SUMIF(C4:BF4,N154,C30:BF30))</f>
        <v>0</v>
      </c>
      <c r="O179" s="2">
        <f>IF(O154="","",SUMIF(C4:BF4,O154,C30:BF30))</f>
        <v>0</v>
      </c>
      <c r="P179" s="2">
        <f>IF(P154="","",SUMIF(C4:BF4,P154,C30:BF30))</f>
        <v>0</v>
      </c>
      <c r="Q179" s="2">
        <f>IF(Q154="","",SUMIF(C4:BF4,Q154,C30:BF30))</f>
        <v>0</v>
      </c>
      <c r="R179" s="2">
        <f>IF(R154="","",SUMIF(C4:BF4,R154,C30:BF30))</f>
        <v>0</v>
      </c>
      <c r="S179" s="2">
        <f>IF(S154="","",SUMIF(C4:BF4,S154,C30:BF30))</f>
        <v>0</v>
      </c>
      <c r="T179" s="2">
        <f>IF(T154="","",SUMIF(C4:BF4,T154,C30:BF30))</f>
        <v>0</v>
      </c>
      <c r="U179" s="2">
        <f>IF(U154="","",SUMIF(C4:BF4,U154,C30:BF30))</f>
        <v>0</v>
      </c>
      <c r="V179" s="2">
        <f>IF(V154="","",SUMIF(C4:BF4,V154,C30:BF30))</f>
        <v>0</v>
      </c>
      <c r="W179" s="2" t="str">
        <f>IF(W154="","",SUMIF(C4:BF4,W154,C30:BF30))</f>
        <v/>
      </c>
      <c r="X179" s="2" t="str">
        <f>IF(X154="","",SUMIF(C4:BF4,X154,C30:BF30))</f>
        <v/>
      </c>
      <c r="Y179" s="2" t="str">
        <f>IF(Y154="","",SUMIF(C4:BF4,Y154,C30:BF30))</f>
        <v/>
      </c>
      <c r="Z179" s="2" t="str">
        <f>IF(Z154="","",SUMIF(C4:BF4,Z154,C30:BF30))</f>
        <v/>
      </c>
      <c r="AA179" s="2" t="str">
        <f>IF(AA154="","",SUMIF(C4:BF4,AA154,C30:BF30))</f>
        <v/>
      </c>
      <c r="AB179" s="2" t="str">
        <f>IF(AB154="","",SUMIF(C4:BF4,AB154,C30:BF30))</f>
        <v/>
      </c>
      <c r="AC179" s="2" t="str">
        <f>IF(AC154="","",SUMIF(C4:BF4,AC154,C30:BF30))</f>
        <v/>
      </c>
      <c r="AD179" s="2" t="str">
        <f>IF(AD154="","",SUMIF(C4:BF4,AD154,C30:BF30))</f>
        <v/>
      </c>
      <c r="AE179" s="2" t="str">
        <f>IF(AE154="","",SUMIF(C4:BF4,AE154,C30:BF30))</f>
        <v/>
      </c>
      <c r="AF179" s="2" t="str">
        <f>IF(AF154="","",SUMIF(C4:BF4,AF154,C30:BF30))</f>
        <v/>
      </c>
      <c r="AG179" s="2" t="str">
        <f>IF(AG154="","",SUMIF(C4:BF4,AG154,C30:BF30))</f>
        <v/>
      </c>
      <c r="AH179" s="2" t="str">
        <f>IF(AH154="","",SUMIF(C4:BF4,AH154,C30:BF30))</f>
        <v/>
      </c>
      <c r="AI179" s="2" t="str">
        <f>IF(AI154="","",SUMIF(C4:BF4,AI154,C30:BF30))</f>
        <v/>
      </c>
      <c r="AJ179" s="2" t="str">
        <f>IF(AJ154="","",SUMIF(C4:BF4,AJ154,C30:BF30))</f>
        <v/>
      </c>
      <c r="AK179" s="2" t="str">
        <f>IF(AK154="","",SUMIF(C4:BF4,AK154,C30:BF30))</f>
        <v/>
      </c>
      <c r="AL179" s="2" t="str">
        <f>IF(AL154="","",SUMIF(C4:BF4,AL154,C30:BF30))</f>
        <v/>
      </c>
      <c r="AM179" s="2" t="str">
        <f>IF(AM154="","",SUMIF(C4:BF4,AM154,C30:BF30))</f>
        <v/>
      </c>
      <c r="AN179" s="2" t="str">
        <f>IF(AN154="","",SUMIF(C4:BF4,AN154,C30:BF30))</f>
        <v/>
      </c>
      <c r="AO179" s="2" t="str">
        <f>IF(AO154="","",SUMIF(C4:BF4,AO154,C30:BF30))</f>
        <v/>
      </c>
      <c r="AP179" s="2" t="str">
        <f>IF(AP154="","",SUMIF(C4:BF4,AP154,C30:BF30))</f>
        <v/>
      </c>
      <c r="AQ179" s="2" t="str">
        <f>IF(AQ154="","",SUMIF(C4:BF4,AQ154,C30:BF30))</f>
        <v/>
      </c>
      <c r="AR179" s="2" t="str">
        <f>IF(AR154="","",SUMIF(C4:BF4,AR154,C30:BF30))</f>
        <v/>
      </c>
      <c r="AS179" s="2" t="str">
        <f>IF(AS154="","",SUMIF(C4:BF4,AS154,C30:BF30))</f>
        <v/>
      </c>
      <c r="AT179" s="2" t="str">
        <f>IF(AT154="","",SUMIF(C4:BF4,AT154,C30:BF30))</f>
        <v/>
      </c>
      <c r="AU179" s="2" t="str">
        <f>IF(AU154="","",SUMIF(C4:BF4,AU154,C30:BF30))</f>
        <v/>
      </c>
      <c r="AV179" s="2" t="str">
        <f>IF(AV154="","",SUMIF(C4:BF4,AV154,C30:BF30))</f>
        <v/>
      </c>
      <c r="AW179" s="2" t="str">
        <f>IF(AW154="","",SUMIF(C4:BF4,AW154,C30:BF30))</f>
        <v/>
      </c>
      <c r="AX179" s="2" t="str">
        <f>IF(AX154="","",SUMIF(C4:BF4,AX154,C30:BF30))</f>
        <v/>
      </c>
      <c r="AY179" s="2" t="str">
        <f>IF(AY154="","",SUMIF(C4:BF4,AY154,C30:BF30))</f>
        <v/>
      </c>
      <c r="AZ179" s="2" t="str">
        <f>IF(AZ154="","",SUMIF(C4:BF4,AZ154,C30:BF30))</f>
        <v/>
      </c>
      <c r="BA179" s="2" t="str">
        <f>IF(BA154="","",SUMIF(C4:BF4,BA154,C30:BF30))</f>
        <v/>
      </c>
      <c r="BB179" s="2" t="str">
        <f>IF(BB154="","",SUMIF(C4:BF4,BB154,C30:BF30))</f>
        <v/>
      </c>
      <c r="BC179" s="2" t="str">
        <f>IF(BC154="","",SUMIF(C4:BF4,BC154,C30:BF30))</f>
        <v/>
      </c>
      <c r="BD179" s="2" t="str">
        <f>IF(BD154="","",SUMIF(C4:BF4,BD154,C30:BF30))</f>
        <v/>
      </c>
      <c r="BE179" s="2" t="str">
        <f>IF(BE154="","",SUMIF(C4:BF4,BE154,C30:BF30))</f>
        <v/>
      </c>
      <c r="BF179" s="4" t="str">
        <f>IF(BF154="","",SUMIF(C4:BF4,BF154,C30:BF30))</f>
        <v/>
      </c>
    </row>
    <row r="180" spans="1:58">
      <c r="A180" s="18">
        <f t="shared" si="13"/>
        <v>46258</v>
      </c>
      <c r="B180" s="2" t="str">
        <f t="shared" si="13"/>
        <v>Aug 24</v>
      </c>
      <c r="C180" s="2">
        <f>IF(C154="","",SUMIF(C4:BF4,C154,C31:BF31))</f>
        <v>0</v>
      </c>
      <c r="D180" s="2">
        <f>IF(D154="","",SUMIF(C4:BF4,D154,C31:BF31))</f>
        <v>0</v>
      </c>
      <c r="E180" s="2">
        <f>IF(E154="","",SUMIF(C4:BF4,E154,C31:BF31))</f>
        <v>0</v>
      </c>
      <c r="F180" s="2">
        <f>IF(F154="","",SUMIF(C4:BF4,F154,C31:BF31))</f>
        <v>0</v>
      </c>
      <c r="G180" s="2">
        <f>IF(G154="","",SUMIF(C4:BF4,G154,C31:BF31))</f>
        <v>0</v>
      </c>
      <c r="H180" s="2">
        <f>IF(H154="","",SUMIF(C4:BF4,H154,C31:BF31))</f>
        <v>0</v>
      </c>
      <c r="I180" s="2">
        <f>IF(I154="","",SUMIF(C4:BF4,I154,C31:BF31))</f>
        <v>0</v>
      </c>
      <c r="J180" s="2">
        <f>IF(J154="","",SUMIF(C4:BF4,J154,C31:BF31))</f>
        <v>0</v>
      </c>
      <c r="K180" s="2">
        <f>IF(K154="","",SUMIF(C4:BF4,K154,C31:BF31))</f>
        <v>0</v>
      </c>
      <c r="L180" s="2">
        <f>IF(L154="","",SUMIF(C4:BF4,L154,C31:BF31))</f>
        <v>0</v>
      </c>
      <c r="M180" s="2">
        <f>IF(M154="","",SUMIF(C4:BF4,M154,C31:BF31))</f>
        <v>0</v>
      </c>
      <c r="N180" s="2">
        <f>IF(N154="","",SUMIF(C4:BF4,N154,C31:BF31))</f>
        <v>0</v>
      </c>
      <c r="O180" s="2">
        <f>IF(O154="","",SUMIF(C4:BF4,O154,C31:BF31))</f>
        <v>0</v>
      </c>
      <c r="P180" s="2">
        <f>IF(P154="","",SUMIF(C4:BF4,P154,C31:BF31))</f>
        <v>0</v>
      </c>
      <c r="Q180" s="2">
        <f>IF(Q154="","",SUMIF(C4:BF4,Q154,C31:BF31))</f>
        <v>0</v>
      </c>
      <c r="R180" s="2">
        <f>IF(R154="","",SUMIF(C4:BF4,R154,C31:BF31))</f>
        <v>0</v>
      </c>
      <c r="S180" s="2">
        <f>IF(S154="","",SUMIF(C4:BF4,S154,C31:BF31))</f>
        <v>0</v>
      </c>
      <c r="T180" s="2">
        <f>IF(T154="","",SUMIF(C4:BF4,T154,C31:BF31))</f>
        <v>0</v>
      </c>
      <c r="U180" s="2">
        <f>IF(U154="","",SUMIF(C4:BF4,U154,C31:BF31))</f>
        <v>0</v>
      </c>
      <c r="V180" s="2">
        <f>IF(V154="","",SUMIF(C4:BF4,V154,C31:BF31))</f>
        <v>0</v>
      </c>
      <c r="W180" s="2" t="str">
        <f>IF(W154="","",SUMIF(C4:BF4,W154,C31:BF31))</f>
        <v/>
      </c>
      <c r="X180" s="2" t="str">
        <f>IF(X154="","",SUMIF(C4:BF4,X154,C31:BF31))</f>
        <v/>
      </c>
      <c r="Y180" s="2" t="str">
        <f>IF(Y154="","",SUMIF(C4:BF4,Y154,C31:BF31))</f>
        <v/>
      </c>
      <c r="Z180" s="2" t="str">
        <f>IF(Z154="","",SUMIF(C4:BF4,Z154,C31:BF31))</f>
        <v/>
      </c>
      <c r="AA180" s="2" t="str">
        <f>IF(AA154="","",SUMIF(C4:BF4,AA154,C31:BF31))</f>
        <v/>
      </c>
      <c r="AB180" s="2" t="str">
        <f>IF(AB154="","",SUMIF(C4:BF4,AB154,C31:BF31))</f>
        <v/>
      </c>
      <c r="AC180" s="2" t="str">
        <f>IF(AC154="","",SUMIF(C4:BF4,AC154,C31:BF31))</f>
        <v/>
      </c>
      <c r="AD180" s="2" t="str">
        <f>IF(AD154="","",SUMIF(C4:BF4,AD154,C31:BF31))</f>
        <v/>
      </c>
      <c r="AE180" s="2" t="str">
        <f>IF(AE154="","",SUMIF(C4:BF4,AE154,C31:BF31))</f>
        <v/>
      </c>
      <c r="AF180" s="2" t="str">
        <f>IF(AF154="","",SUMIF(C4:BF4,AF154,C31:BF31))</f>
        <v/>
      </c>
      <c r="AG180" s="2" t="str">
        <f>IF(AG154="","",SUMIF(C4:BF4,AG154,C31:BF31))</f>
        <v/>
      </c>
      <c r="AH180" s="2" t="str">
        <f>IF(AH154="","",SUMIF(C4:BF4,AH154,C31:BF31))</f>
        <v/>
      </c>
      <c r="AI180" s="2" t="str">
        <f>IF(AI154="","",SUMIF(C4:BF4,AI154,C31:BF31))</f>
        <v/>
      </c>
      <c r="AJ180" s="2" t="str">
        <f>IF(AJ154="","",SUMIF(C4:BF4,AJ154,C31:BF31))</f>
        <v/>
      </c>
      <c r="AK180" s="2" t="str">
        <f>IF(AK154="","",SUMIF(C4:BF4,AK154,C31:BF31))</f>
        <v/>
      </c>
      <c r="AL180" s="2" t="str">
        <f>IF(AL154="","",SUMIF(C4:BF4,AL154,C31:BF31))</f>
        <v/>
      </c>
      <c r="AM180" s="2" t="str">
        <f>IF(AM154="","",SUMIF(C4:BF4,AM154,C31:BF31))</f>
        <v/>
      </c>
      <c r="AN180" s="2" t="str">
        <f>IF(AN154="","",SUMIF(C4:BF4,AN154,C31:BF31))</f>
        <v/>
      </c>
      <c r="AO180" s="2" t="str">
        <f>IF(AO154="","",SUMIF(C4:BF4,AO154,C31:BF31))</f>
        <v/>
      </c>
      <c r="AP180" s="2" t="str">
        <f>IF(AP154="","",SUMIF(C4:BF4,AP154,C31:BF31))</f>
        <v/>
      </c>
      <c r="AQ180" s="2" t="str">
        <f>IF(AQ154="","",SUMIF(C4:BF4,AQ154,C31:BF31))</f>
        <v/>
      </c>
      <c r="AR180" s="2" t="str">
        <f>IF(AR154="","",SUMIF(C4:BF4,AR154,C31:BF31))</f>
        <v/>
      </c>
      <c r="AS180" s="2" t="str">
        <f>IF(AS154="","",SUMIF(C4:BF4,AS154,C31:BF31))</f>
        <v/>
      </c>
      <c r="AT180" s="2" t="str">
        <f>IF(AT154="","",SUMIF(C4:BF4,AT154,C31:BF31))</f>
        <v/>
      </c>
      <c r="AU180" s="2" t="str">
        <f>IF(AU154="","",SUMIF(C4:BF4,AU154,C31:BF31))</f>
        <v/>
      </c>
      <c r="AV180" s="2" t="str">
        <f>IF(AV154="","",SUMIF(C4:BF4,AV154,C31:BF31))</f>
        <v/>
      </c>
      <c r="AW180" s="2" t="str">
        <f>IF(AW154="","",SUMIF(C4:BF4,AW154,C31:BF31))</f>
        <v/>
      </c>
      <c r="AX180" s="2" t="str">
        <f>IF(AX154="","",SUMIF(C4:BF4,AX154,C31:BF31))</f>
        <v/>
      </c>
      <c r="AY180" s="2" t="str">
        <f>IF(AY154="","",SUMIF(C4:BF4,AY154,C31:BF31))</f>
        <v/>
      </c>
      <c r="AZ180" s="2" t="str">
        <f>IF(AZ154="","",SUMIF(C4:BF4,AZ154,C31:BF31))</f>
        <v/>
      </c>
      <c r="BA180" s="2" t="str">
        <f>IF(BA154="","",SUMIF(C4:BF4,BA154,C31:BF31))</f>
        <v/>
      </c>
      <c r="BB180" s="2" t="str">
        <f>IF(BB154="","",SUMIF(C4:BF4,BB154,C31:BF31))</f>
        <v/>
      </c>
      <c r="BC180" s="2" t="str">
        <f>IF(BC154="","",SUMIF(C4:BF4,BC154,C31:BF31))</f>
        <v/>
      </c>
      <c r="BD180" s="2" t="str">
        <f>IF(BD154="","",SUMIF(C4:BF4,BD154,C31:BF31))</f>
        <v/>
      </c>
      <c r="BE180" s="2" t="str">
        <f>IF(BE154="","",SUMIF(C4:BF4,BE154,C31:BF31))</f>
        <v/>
      </c>
      <c r="BF180" s="4" t="str">
        <f>IF(BF154="","",SUMIF(C4:BF4,BF154,C31:BF31))</f>
        <v/>
      </c>
    </row>
    <row r="181" spans="1:58">
      <c r="A181" s="18">
        <f t="shared" si="13"/>
        <v>46265</v>
      </c>
      <c r="B181" s="2" t="str">
        <f t="shared" si="13"/>
        <v>Aug 31</v>
      </c>
      <c r="C181" s="2">
        <f>IF(C154="","",SUMIF(C4:BF4,C154,C32:BF32))</f>
        <v>0</v>
      </c>
      <c r="D181" s="2">
        <f>IF(D154="","",SUMIF(C4:BF4,D154,C32:BF32))</f>
        <v>0</v>
      </c>
      <c r="E181" s="2">
        <f>IF(E154="","",SUMIF(C4:BF4,E154,C32:BF32))</f>
        <v>0</v>
      </c>
      <c r="F181" s="2">
        <f>IF(F154="","",SUMIF(C4:BF4,F154,C32:BF32))</f>
        <v>0</v>
      </c>
      <c r="G181" s="2">
        <f>IF(G154="","",SUMIF(C4:BF4,G154,C32:BF32))</f>
        <v>0</v>
      </c>
      <c r="H181" s="2">
        <f>IF(H154="","",SUMIF(C4:BF4,H154,C32:BF32))</f>
        <v>0</v>
      </c>
      <c r="I181" s="2">
        <f>IF(I154="","",SUMIF(C4:BF4,I154,C32:BF32))</f>
        <v>0</v>
      </c>
      <c r="J181" s="2">
        <f>IF(J154="","",SUMIF(C4:BF4,J154,C32:BF32))</f>
        <v>0</v>
      </c>
      <c r="K181" s="2">
        <f>IF(K154="","",SUMIF(C4:BF4,K154,C32:BF32))</f>
        <v>0</v>
      </c>
      <c r="L181" s="2">
        <f>IF(L154="","",SUMIF(C4:BF4,L154,C32:BF32))</f>
        <v>0</v>
      </c>
      <c r="M181" s="2">
        <f>IF(M154="","",SUMIF(C4:BF4,M154,C32:BF32))</f>
        <v>0</v>
      </c>
      <c r="N181" s="2">
        <f>IF(N154="","",SUMIF(C4:BF4,N154,C32:BF32))</f>
        <v>0</v>
      </c>
      <c r="O181" s="2">
        <f>IF(O154="","",SUMIF(C4:BF4,O154,C32:BF32))</f>
        <v>0</v>
      </c>
      <c r="P181" s="2">
        <f>IF(P154="","",SUMIF(C4:BF4,P154,C32:BF32))</f>
        <v>0</v>
      </c>
      <c r="Q181" s="2">
        <f>IF(Q154="","",SUMIF(C4:BF4,Q154,C32:BF32))</f>
        <v>0</v>
      </c>
      <c r="R181" s="2">
        <f>IF(R154="","",SUMIF(C4:BF4,R154,C32:BF32))</f>
        <v>0</v>
      </c>
      <c r="S181" s="2">
        <f>IF(S154="","",SUMIF(C4:BF4,S154,C32:BF32))</f>
        <v>0</v>
      </c>
      <c r="T181" s="2">
        <f>IF(T154="","",SUMIF(C4:BF4,T154,C32:BF32))</f>
        <v>0</v>
      </c>
      <c r="U181" s="2">
        <f>IF(U154="","",SUMIF(C4:BF4,U154,C32:BF32))</f>
        <v>0</v>
      </c>
      <c r="V181" s="2">
        <f>IF(V154="","",SUMIF(C4:BF4,V154,C32:BF32))</f>
        <v>0</v>
      </c>
      <c r="W181" s="2" t="str">
        <f>IF(W154="","",SUMIF(C4:BF4,W154,C32:BF32))</f>
        <v/>
      </c>
      <c r="X181" s="2" t="str">
        <f>IF(X154="","",SUMIF(C4:BF4,X154,C32:BF32))</f>
        <v/>
      </c>
      <c r="Y181" s="2" t="str">
        <f>IF(Y154="","",SUMIF(C4:BF4,Y154,C32:BF32))</f>
        <v/>
      </c>
      <c r="Z181" s="2" t="str">
        <f>IF(Z154="","",SUMIF(C4:BF4,Z154,C32:BF32))</f>
        <v/>
      </c>
      <c r="AA181" s="2" t="str">
        <f>IF(AA154="","",SUMIF(C4:BF4,AA154,C32:BF32))</f>
        <v/>
      </c>
      <c r="AB181" s="2" t="str">
        <f>IF(AB154="","",SUMIF(C4:BF4,AB154,C32:BF32))</f>
        <v/>
      </c>
      <c r="AC181" s="2" t="str">
        <f>IF(AC154="","",SUMIF(C4:BF4,AC154,C32:BF32))</f>
        <v/>
      </c>
      <c r="AD181" s="2" t="str">
        <f>IF(AD154="","",SUMIF(C4:BF4,AD154,C32:BF32))</f>
        <v/>
      </c>
      <c r="AE181" s="2" t="str">
        <f>IF(AE154="","",SUMIF(C4:BF4,AE154,C32:BF32))</f>
        <v/>
      </c>
      <c r="AF181" s="2" t="str">
        <f>IF(AF154="","",SUMIF(C4:BF4,AF154,C32:BF32))</f>
        <v/>
      </c>
      <c r="AG181" s="2" t="str">
        <f>IF(AG154="","",SUMIF(C4:BF4,AG154,C32:BF32))</f>
        <v/>
      </c>
      <c r="AH181" s="2" t="str">
        <f>IF(AH154="","",SUMIF(C4:BF4,AH154,C32:BF32))</f>
        <v/>
      </c>
      <c r="AI181" s="2" t="str">
        <f>IF(AI154="","",SUMIF(C4:BF4,AI154,C32:BF32))</f>
        <v/>
      </c>
      <c r="AJ181" s="2" t="str">
        <f>IF(AJ154="","",SUMIF(C4:BF4,AJ154,C32:BF32))</f>
        <v/>
      </c>
      <c r="AK181" s="2" t="str">
        <f>IF(AK154="","",SUMIF(C4:BF4,AK154,C32:BF32))</f>
        <v/>
      </c>
      <c r="AL181" s="2" t="str">
        <f>IF(AL154="","",SUMIF(C4:BF4,AL154,C32:BF32))</f>
        <v/>
      </c>
      <c r="AM181" s="2" t="str">
        <f>IF(AM154="","",SUMIF(C4:BF4,AM154,C32:BF32))</f>
        <v/>
      </c>
      <c r="AN181" s="2" t="str">
        <f>IF(AN154="","",SUMIF(C4:BF4,AN154,C32:BF32))</f>
        <v/>
      </c>
      <c r="AO181" s="2" t="str">
        <f>IF(AO154="","",SUMIF(C4:BF4,AO154,C32:BF32))</f>
        <v/>
      </c>
      <c r="AP181" s="2" t="str">
        <f>IF(AP154="","",SUMIF(C4:BF4,AP154,C32:BF32))</f>
        <v/>
      </c>
      <c r="AQ181" s="2" t="str">
        <f>IF(AQ154="","",SUMIF(C4:BF4,AQ154,C32:BF32))</f>
        <v/>
      </c>
      <c r="AR181" s="2" t="str">
        <f>IF(AR154="","",SUMIF(C4:BF4,AR154,C32:BF32))</f>
        <v/>
      </c>
      <c r="AS181" s="2" t="str">
        <f>IF(AS154="","",SUMIF(C4:BF4,AS154,C32:BF32))</f>
        <v/>
      </c>
      <c r="AT181" s="2" t="str">
        <f>IF(AT154="","",SUMIF(C4:BF4,AT154,C32:BF32))</f>
        <v/>
      </c>
      <c r="AU181" s="2" t="str">
        <f>IF(AU154="","",SUMIF(C4:BF4,AU154,C32:BF32))</f>
        <v/>
      </c>
      <c r="AV181" s="2" t="str">
        <f>IF(AV154="","",SUMIF(C4:BF4,AV154,C32:BF32))</f>
        <v/>
      </c>
      <c r="AW181" s="2" t="str">
        <f>IF(AW154="","",SUMIF(C4:BF4,AW154,C32:BF32))</f>
        <v/>
      </c>
      <c r="AX181" s="2" t="str">
        <f>IF(AX154="","",SUMIF(C4:BF4,AX154,C32:BF32))</f>
        <v/>
      </c>
      <c r="AY181" s="2" t="str">
        <f>IF(AY154="","",SUMIF(C4:BF4,AY154,C32:BF32))</f>
        <v/>
      </c>
      <c r="AZ181" s="2" t="str">
        <f>IF(AZ154="","",SUMIF(C4:BF4,AZ154,C32:BF32))</f>
        <v/>
      </c>
      <c r="BA181" s="2" t="str">
        <f>IF(BA154="","",SUMIF(C4:BF4,BA154,C32:BF32))</f>
        <v/>
      </c>
      <c r="BB181" s="2" t="str">
        <f>IF(BB154="","",SUMIF(C4:BF4,BB154,C32:BF32))</f>
        <v/>
      </c>
      <c r="BC181" s="2" t="str">
        <f>IF(BC154="","",SUMIF(C4:BF4,BC154,C32:BF32))</f>
        <v/>
      </c>
      <c r="BD181" s="2" t="str">
        <f>IF(BD154="","",SUMIF(C4:BF4,BD154,C32:BF32))</f>
        <v/>
      </c>
      <c r="BE181" s="2" t="str">
        <f>IF(BE154="","",SUMIF(C4:BF4,BE154,C32:BF32))</f>
        <v/>
      </c>
      <c r="BF181" s="4" t="str">
        <f>IF(BF154="","",SUMIF(C4:BF4,BF154,C32:BF32))</f>
        <v/>
      </c>
    </row>
    <row r="182" spans="1:58">
      <c r="A182" s="18">
        <f t="shared" si="13"/>
        <v>46272</v>
      </c>
      <c r="B182" s="2" t="str">
        <f t="shared" si="13"/>
        <v>Sep 7</v>
      </c>
      <c r="C182" s="2">
        <f>IF(C154="","",SUMIF(C4:BF4,C154,C33:BF33))</f>
        <v>0</v>
      </c>
      <c r="D182" s="2">
        <f>IF(D154="","",SUMIF(C4:BF4,D154,C33:BF33))</f>
        <v>0</v>
      </c>
      <c r="E182" s="2">
        <f>IF(E154="","",SUMIF(C4:BF4,E154,C33:BF33))</f>
        <v>0</v>
      </c>
      <c r="F182" s="2">
        <f>IF(F154="","",SUMIF(C4:BF4,F154,C33:BF33))</f>
        <v>0</v>
      </c>
      <c r="G182" s="2">
        <f>IF(G154="","",SUMIF(C4:BF4,G154,C33:BF33))</f>
        <v>0</v>
      </c>
      <c r="H182" s="2">
        <f>IF(H154="","",SUMIF(C4:BF4,H154,C33:BF33))</f>
        <v>0</v>
      </c>
      <c r="I182" s="2">
        <f>IF(I154="","",SUMIF(C4:BF4,I154,C33:BF33))</f>
        <v>0</v>
      </c>
      <c r="J182" s="2">
        <f>IF(J154="","",SUMIF(C4:BF4,J154,C33:BF33))</f>
        <v>0</v>
      </c>
      <c r="K182" s="2">
        <f>IF(K154="","",SUMIF(C4:BF4,K154,C33:BF33))</f>
        <v>0</v>
      </c>
      <c r="L182" s="2">
        <f>IF(L154="","",SUMIF(C4:BF4,L154,C33:BF33))</f>
        <v>0</v>
      </c>
      <c r="M182" s="2">
        <f>IF(M154="","",SUMIF(C4:BF4,M154,C33:BF33))</f>
        <v>0</v>
      </c>
      <c r="N182" s="2">
        <f>IF(N154="","",SUMIF(C4:BF4,N154,C33:BF33))</f>
        <v>0</v>
      </c>
      <c r="O182" s="2">
        <f>IF(O154="","",SUMIF(C4:BF4,O154,C33:BF33))</f>
        <v>0</v>
      </c>
      <c r="P182" s="2">
        <f>IF(P154="","",SUMIF(C4:BF4,P154,C33:BF33))</f>
        <v>0</v>
      </c>
      <c r="Q182" s="2">
        <f>IF(Q154="","",SUMIF(C4:BF4,Q154,C33:BF33))</f>
        <v>0</v>
      </c>
      <c r="R182" s="2">
        <f>IF(R154="","",SUMIF(C4:BF4,R154,C33:BF33))</f>
        <v>0</v>
      </c>
      <c r="S182" s="2">
        <f>IF(S154="","",SUMIF(C4:BF4,S154,C33:BF33))</f>
        <v>0</v>
      </c>
      <c r="T182" s="2">
        <f>IF(T154="","",SUMIF(C4:BF4,T154,C33:BF33))</f>
        <v>0</v>
      </c>
      <c r="U182" s="2">
        <f>IF(U154="","",SUMIF(C4:BF4,U154,C33:BF33))</f>
        <v>0</v>
      </c>
      <c r="V182" s="2">
        <f>IF(V154="","",SUMIF(C4:BF4,V154,C33:BF33))</f>
        <v>0</v>
      </c>
      <c r="W182" s="2" t="str">
        <f>IF(W154="","",SUMIF(C4:BF4,W154,C33:BF33))</f>
        <v/>
      </c>
      <c r="X182" s="2" t="str">
        <f>IF(X154="","",SUMIF(C4:BF4,X154,C33:BF33))</f>
        <v/>
      </c>
      <c r="Y182" s="2" t="str">
        <f>IF(Y154="","",SUMIF(C4:BF4,Y154,C33:BF33))</f>
        <v/>
      </c>
      <c r="Z182" s="2" t="str">
        <f>IF(Z154="","",SUMIF(C4:BF4,Z154,C33:BF33))</f>
        <v/>
      </c>
      <c r="AA182" s="2" t="str">
        <f>IF(AA154="","",SUMIF(C4:BF4,AA154,C33:BF33))</f>
        <v/>
      </c>
      <c r="AB182" s="2" t="str">
        <f>IF(AB154="","",SUMIF(C4:BF4,AB154,C33:BF33))</f>
        <v/>
      </c>
      <c r="AC182" s="2" t="str">
        <f>IF(AC154="","",SUMIF(C4:BF4,AC154,C33:BF33))</f>
        <v/>
      </c>
      <c r="AD182" s="2" t="str">
        <f>IF(AD154="","",SUMIF(C4:BF4,AD154,C33:BF33))</f>
        <v/>
      </c>
      <c r="AE182" s="2" t="str">
        <f>IF(AE154="","",SUMIF(C4:BF4,AE154,C33:BF33))</f>
        <v/>
      </c>
      <c r="AF182" s="2" t="str">
        <f>IF(AF154="","",SUMIF(C4:BF4,AF154,C33:BF33))</f>
        <v/>
      </c>
      <c r="AG182" s="2" t="str">
        <f>IF(AG154="","",SUMIF(C4:BF4,AG154,C33:BF33))</f>
        <v/>
      </c>
      <c r="AH182" s="2" t="str">
        <f>IF(AH154="","",SUMIF(C4:BF4,AH154,C33:BF33))</f>
        <v/>
      </c>
      <c r="AI182" s="2" t="str">
        <f>IF(AI154="","",SUMIF(C4:BF4,AI154,C33:BF33))</f>
        <v/>
      </c>
      <c r="AJ182" s="2" t="str">
        <f>IF(AJ154="","",SUMIF(C4:BF4,AJ154,C33:BF33))</f>
        <v/>
      </c>
      <c r="AK182" s="2" t="str">
        <f>IF(AK154="","",SUMIF(C4:BF4,AK154,C33:BF33))</f>
        <v/>
      </c>
      <c r="AL182" s="2" t="str">
        <f>IF(AL154="","",SUMIF(C4:BF4,AL154,C33:BF33))</f>
        <v/>
      </c>
      <c r="AM182" s="2" t="str">
        <f>IF(AM154="","",SUMIF(C4:BF4,AM154,C33:BF33))</f>
        <v/>
      </c>
      <c r="AN182" s="2" t="str">
        <f>IF(AN154="","",SUMIF(C4:BF4,AN154,C33:BF33))</f>
        <v/>
      </c>
      <c r="AO182" s="2" t="str">
        <f>IF(AO154="","",SUMIF(C4:BF4,AO154,C33:BF33))</f>
        <v/>
      </c>
      <c r="AP182" s="2" t="str">
        <f>IF(AP154="","",SUMIF(C4:BF4,AP154,C33:BF33))</f>
        <v/>
      </c>
      <c r="AQ182" s="2" t="str">
        <f>IF(AQ154="","",SUMIF(C4:BF4,AQ154,C33:BF33))</f>
        <v/>
      </c>
      <c r="AR182" s="2" t="str">
        <f>IF(AR154="","",SUMIF(C4:BF4,AR154,C33:BF33))</f>
        <v/>
      </c>
      <c r="AS182" s="2" t="str">
        <f>IF(AS154="","",SUMIF(C4:BF4,AS154,C33:BF33))</f>
        <v/>
      </c>
      <c r="AT182" s="2" t="str">
        <f>IF(AT154="","",SUMIF(C4:BF4,AT154,C33:BF33))</f>
        <v/>
      </c>
      <c r="AU182" s="2" t="str">
        <f>IF(AU154="","",SUMIF(C4:BF4,AU154,C33:BF33))</f>
        <v/>
      </c>
      <c r="AV182" s="2" t="str">
        <f>IF(AV154="","",SUMIF(C4:BF4,AV154,C33:BF33))</f>
        <v/>
      </c>
      <c r="AW182" s="2" t="str">
        <f>IF(AW154="","",SUMIF(C4:BF4,AW154,C33:BF33))</f>
        <v/>
      </c>
      <c r="AX182" s="2" t="str">
        <f>IF(AX154="","",SUMIF(C4:BF4,AX154,C33:BF33))</f>
        <v/>
      </c>
      <c r="AY182" s="2" t="str">
        <f>IF(AY154="","",SUMIF(C4:BF4,AY154,C33:BF33))</f>
        <v/>
      </c>
      <c r="AZ182" s="2" t="str">
        <f>IF(AZ154="","",SUMIF(C4:BF4,AZ154,C33:BF33))</f>
        <v/>
      </c>
      <c r="BA182" s="2" t="str">
        <f>IF(BA154="","",SUMIF(C4:BF4,BA154,C33:BF33))</f>
        <v/>
      </c>
      <c r="BB182" s="2" t="str">
        <f>IF(BB154="","",SUMIF(C4:BF4,BB154,C33:BF33))</f>
        <v/>
      </c>
      <c r="BC182" s="2" t="str">
        <f>IF(BC154="","",SUMIF(C4:BF4,BC154,C33:BF33))</f>
        <v/>
      </c>
      <c r="BD182" s="2" t="str">
        <f>IF(BD154="","",SUMIF(C4:BF4,BD154,C33:BF33))</f>
        <v/>
      </c>
      <c r="BE182" s="2" t="str">
        <f>IF(BE154="","",SUMIF(C4:BF4,BE154,C33:BF33))</f>
        <v/>
      </c>
      <c r="BF182" s="4" t="str">
        <f>IF(BF154="","",SUMIF(C4:BF4,BF154,C33:BF33))</f>
        <v/>
      </c>
    </row>
    <row r="183" spans="1:58">
      <c r="A183" s="18">
        <f t="shared" si="13"/>
        <v>46279</v>
      </c>
      <c r="B183" s="2" t="str">
        <f t="shared" si="13"/>
        <v>Sep 14</v>
      </c>
      <c r="C183" s="2">
        <f>IF(C154="","",SUMIF(C4:BF4,C154,C34:BF34))</f>
        <v>0</v>
      </c>
      <c r="D183" s="2">
        <f>IF(D154="","",SUMIF(C4:BF4,D154,C34:BF34))</f>
        <v>0</v>
      </c>
      <c r="E183" s="2">
        <f>IF(E154="","",SUMIF(C4:BF4,E154,C34:BF34))</f>
        <v>0</v>
      </c>
      <c r="F183" s="2">
        <f>IF(F154="","",SUMIF(C4:BF4,F154,C34:BF34))</f>
        <v>0</v>
      </c>
      <c r="G183" s="2">
        <f>IF(G154="","",SUMIF(C4:BF4,G154,C34:BF34))</f>
        <v>0</v>
      </c>
      <c r="H183" s="2">
        <f>IF(H154="","",SUMIF(C4:BF4,H154,C34:BF34))</f>
        <v>0</v>
      </c>
      <c r="I183" s="2">
        <f>IF(I154="","",SUMIF(C4:BF4,I154,C34:BF34))</f>
        <v>0</v>
      </c>
      <c r="J183" s="2">
        <f>IF(J154="","",SUMIF(C4:BF4,J154,C34:BF34))</f>
        <v>0</v>
      </c>
      <c r="K183" s="2">
        <f>IF(K154="","",SUMIF(C4:BF4,K154,C34:BF34))</f>
        <v>0</v>
      </c>
      <c r="L183" s="2">
        <f>IF(L154="","",SUMIF(C4:BF4,L154,C34:BF34))</f>
        <v>0</v>
      </c>
      <c r="M183" s="2">
        <f>IF(M154="","",SUMIF(C4:BF4,M154,C34:BF34))</f>
        <v>0</v>
      </c>
      <c r="N183" s="2">
        <f>IF(N154="","",SUMIF(C4:BF4,N154,C34:BF34))</f>
        <v>0</v>
      </c>
      <c r="O183" s="2">
        <f>IF(O154="","",SUMIF(C4:BF4,O154,C34:BF34))</f>
        <v>0</v>
      </c>
      <c r="P183" s="2">
        <f>IF(P154="","",SUMIF(C4:BF4,P154,C34:BF34))</f>
        <v>0</v>
      </c>
      <c r="Q183" s="2">
        <f>IF(Q154="","",SUMIF(C4:BF4,Q154,C34:BF34))</f>
        <v>0</v>
      </c>
      <c r="R183" s="2">
        <f>IF(R154="","",SUMIF(C4:BF4,R154,C34:BF34))</f>
        <v>0</v>
      </c>
      <c r="S183" s="2">
        <f>IF(S154="","",SUMIF(C4:BF4,S154,C34:BF34))</f>
        <v>0</v>
      </c>
      <c r="T183" s="2">
        <f>IF(T154="","",SUMIF(C4:BF4,T154,C34:BF34))</f>
        <v>0</v>
      </c>
      <c r="U183" s="2">
        <f>IF(U154="","",SUMIF(C4:BF4,U154,C34:BF34))</f>
        <v>0</v>
      </c>
      <c r="V183" s="2">
        <f>IF(V154="","",SUMIF(C4:BF4,V154,C34:BF34))</f>
        <v>0</v>
      </c>
      <c r="W183" s="2" t="str">
        <f>IF(W154="","",SUMIF(C4:BF4,W154,C34:BF34))</f>
        <v/>
      </c>
      <c r="X183" s="2" t="str">
        <f>IF(X154="","",SUMIF(C4:BF4,X154,C34:BF34))</f>
        <v/>
      </c>
      <c r="Y183" s="2" t="str">
        <f>IF(Y154="","",SUMIF(C4:BF4,Y154,C34:BF34))</f>
        <v/>
      </c>
      <c r="Z183" s="2" t="str">
        <f>IF(Z154="","",SUMIF(C4:BF4,Z154,C34:BF34))</f>
        <v/>
      </c>
      <c r="AA183" s="2" t="str">
        <f>IF(AA154="","",SUMIF(C4:BF4,AA154,C34:BF34))</f>
        <v/>
      </c>
      <c r="AB183" s="2" t="str">
        <f>IF(AB154="","",SUMIF(C4:BF4,AB154,C34:BF34))</f>
        <v/>
      </c>
      <c r="AC183" s="2" t="str">
        <f>IF(AC154="","",SUMIF(C4:BF4,AC154,C34:BF34))</f>
        <v/>
      </c>
      <c r="AD183" s="2" t="str">
        <f>IF(AD154="","",SUMIF(C4:BF4,AD154,C34:BF34))</f>
        <v/>
      </c>
      <c r="AE183" s="2" t="str">
        <f>IF(AE154="","",SUMIF(C4:BF4,AE154,C34:BF34))</f>
        <v/>
      </c>
      <c r="AF183" s="2" t="str">
        <f>IF(AF154="","",SUMIF(C4:BF4,AF154,C34:BF34))</f>
        <v/>
      </c>
      <c r="AG183" s="2" t="str">
        <f>IF(AG154="","",SUMIF(C4:BF4,AG154,C34:BF34))</f>
        <v/>
      </c>
      <c r="AH183" s="2" t="str">
        <f>IF(AH154="","",SUMIF(C4:BF4,AH154,C34:BF34))</f>
        <v/>
      </c>
      <c r="AI183" s="2" t="str">
        <f>IF(AI154="","",SUMIF(C4:BF4,AI154,C34:BF34))</f>
        <v/>
      </c>
      <c r="AJ183" s="2" t="str">
        <f>IF(AJ154="","",SUMIF(C4:BF4,AJ154,C34:BF34))</f>
        <v/>
      </c>
      <c r="AK183" s="2" t="str">
        <f>IF(AK154="","",SUMIF(C4:BF4,AK154,C34:BF34))</f>
        <v/>
      </c>
      <c r="AL183" s="2" t="str">
        <f>IF(AL154="","",SUMIF(C4:BF4,AL154,C34:BF34))</f>
        <v/>
      </c>
      <c r="AM183" s="2" t="str">
        <f>IF(AM154="","",SUMIF(C4:BF4,AM154,C34:BF34))</f>
        <v/>
      </c>
      <c r="AN183" s="2" t="str">
        <f>IF(AN154="","",SUMIF(C4:BF4,AN154,C34:BF34))</f>
        <v/>
      </c>
      <c r="AO183" s="2" t="str">
        <f>IF(AO154="","",SUMIF(C4:BF4,AO154,C34:BF34))</f>
        <v/>
      </c>
      <c r="AP183" s="2" t="str">
        <f>IF(AP154="","",SUMIF(C4:BF4,AP154,C34:BF34))</f>
        <v/>
      </c>
      <c r="AQ183" s="2" t="str">
        <f>IF(AQ154="","",SUMIF(C4:BF4,AQ154,C34:BF34))</f>
        <v/>
      </c>
      <c r="AR183" s="2" t="str">
        <f>IF(AR154="","",SUMIF(C4:BF4,AR154,C34:BF34))</f>
        <v/>
      </c>
      <c r="AS183" s="2" t="str">
        <f>IF(AS154="","",SUMIF(C4:BF4,AS154,C34:BF34))</f>
        <v/>
      </c>
      <c r="AT183" s="2" t="str">
        <f>IF(AT154="","",SUMIF(C4:BF4,AT154,C34:BF34))</f>
        <v/>
      </c>
      <c r="AU183" s="2" t="str">
        <f>IF(AU154="","",SUMIF(C4:BF4,AU154,C34:BF34))</f>
        <v/>
      </c>
      <c r="AV183" s="2" t="str">
        <f>IF(AV154="","",SUMIF(C4:BF4,AV154,C34:BF34))</f>
        <v/>
      </c>
      <c r="AW183" s="2" t="str">
        <f>IF(AW154="","",SUMIF(C4:BF4,AW154,C34:BF34))</f>
        <v/>
      </c>
      <c r="AX183" s="2" t="str">
        <f>IF(AX154="","",SUMIF(C4:BF4,AX154,C34:BF34))</f>
        <v/>
      </c>
      <c r="AY183" s="2" t="str">
        <f>IF(AY154="","",SUMIF(C4:BF4,AY154,C34:BF34))</f>
        <v/>
      </c>
      <c r="AZ183" s="2" t="str">
        <f>IF(AZ154="","",SUMIF(C4:BF4,AZ154,C34:BF34))</f>
        <v/>
      </c>
      <c r="BA183" s="2" t="str">
        <f>IF(BA154="","",SUMIF(C4:BF4,BA154,C34:BF34))</f>
        <v/>
      </c>
      <c r="BB183" s="2" t="str">
        <f>IF(BB154="","",SUMIF(C4:BF4,BB154,C34:BF34))</f>
        <v/>
      </c>
      <c r="BC183" s="2" t="str">
        <f>IF(BC154="","",SUMIF(C4:BF4,BC154,C34:BF34))</f>
        <v/>
      </c>
      <c r="BD183" s="2" t="str">
        <f>IF(BD154="","",SUMIF(C4:BF4,BD154,C34:BF34))</f>
        <v/>
      </c>
      <c r="BE183" s="2" t="str">
        <f>IF(BE154="","",SUMIF(C4:BF4,BE154,C34:BF34))</f>
        <v/>
      </c>
      <c r="BF183" s="4" t="str">
        <f>IF(BF154="","",SUMIF(C4:BF4,BF154,C34:BF34))</f>
        <v/>
      </c>
    </row>
    <row r="184" spans="1:58">
      <c r="A184" s="18">
        <f t="shared" si="13"/>
        <v>46286</v>
      </c>
      <c r="B184" s="2" t="str">
        <f t="shared" si="13"/>
        <v>Sep 21</v>
      </c>
      <c r="C184" s="2">
        <f>IF(C154="","",SUMIF(C4:BF4,C154,C35:BF35))</f>
        <v>0</v>
      </c>
      <c r="D184" s="2">
        <f>IF(D154="","",SUMIF(C4:BF4,D154,C35:BF35))</f>
        <v>0</v>
      </c>
      <c r="E184" s="2">
        <f>IF(E154="","",SUMIF(C4:BF4,E154,C35:BF35))</f>
        <v>0</v>
      </c>
      <c r="F184" s="2">
        <f>IF(F154="","",SUMIF(C4:BF4,F154,C35:BF35))</f>
        <v>0</v>
      </c>
      <c r="G184" s="2">
        <f>IF(G154="","",SUMIF(C4:BF4,G154,C35:BF35))</f>
        <v>0</v>
      </c>
      <c r="H184" s="2">
        <f>IF(H154="","",SUMIF(C4:BF4,H154,C35:BF35))</f>
        <v>0</v>
      </c>
      <c r="I184" s="2">
        <f>IF(I154="","",SUMIF(C4:BF4,I154,C35:BF35))</f>
        <v>0</v>
      </c>
      <c r="J184" s="2">
        <f>IF(J154="","",SUMIF(C4:BF4,J154,C35:BF35))</f>
        <v>0</v>
      </c>
      <c r="K184" s="2">
        <f>IF(K154="","",SUMIF(C4:BF4,K154,C35:BF35))</f>
        <v>0</v>
      </c>
      <c r="L184" s="2">
        <f>IF(L154="","",SUMIF(C4:BF4,L154,C35:BF35))</f>
        <v>0</v>
      </c>
      <c r="M184" s="2">
        <f>IF(M154="","",SUMIF(C4:BF4,M154,C35:BF35))</f>
        <v>0</v>
      </c>
      <c r="N184" s="2">
        <f>IF(N154="","",SUMIF(C4:BF4,N154,C35:BF35))</f>
        <v>0</v>
      </c>
      <c r="O184" s="2">
        <f>IF(O154="","",SUMIF(C4:BF4,O154,C35:BF35))</f>
        <v>0</v>
      </c>
      <c r="P184" s="2">
        <f>IF(P154="","",SUMIF(C4:BF4,P154,C35:BF35))</f>
        <v>0</v>
      </c>
      <c r="Q184" s="2">
        <f>IF(Q154="","",SUMIF(C4:BF4,Q154,C35:BF35))</f>
        <v>0</v>
      </c>
      <c r="R184" s="2">
        <f>IF(R154="","",SUMIF(C4:BF4,R154,C35:BF35))</f>
        <v>0</v>
      </c>
      <c r="S184" s="2">
        <f>IF(S154="","",SUMIF(C4:BF4,S154,C35:BF35))</f>
        <v>0</v>
      </c>
      <c r="T184" s="2">
        <f>IF(T154="","",SUMIF(C4:BF4,T154,C35:BF35))</f>
        <v>0</v>
      </c>
      <c r="U184" s="2">
        <f>IF(U154="","",SUMIF(C4:BF4,U154,C35:BF35))</f>
        <v>0</v>
      </c>
      <c r="V184" s="2">
        <f>IF(V154="","",SUMIF(C4:BF4,V154,C35:BF35))</f>
        <v>0</v>
      </c>
      <c r="W184" s="2" t="str">
        <f>IF(W154="","",SUMIF(C4:BF4,W154,C35:BF35))</f>
        <v/>
      </c>
      <c r="X184" s="2" t="str">
        <f>IF(X154="","",SUMIF(C4:BF4,X154,C35:BF35))</f>
        <v/>
      </c>
      <c r="Y184" s="2" t="str">
        <f>IF(Y154="","",SUMIF(C4:BF4,Y154,C35:BF35))</f>
        <v/>
      </c>
      <c r="Z184" s="2" t="str">
        <f>IF(Z154="","",SUMIF(C4:BF4,Z154,C35:BF35))</f>
        <v/>
      </c>
      <c r="AA184" s="2" t="str">
        <f>IF(AA154="","",SUMIF(C4:BF4,AA154,C35:BF35))</f>
        <v/>
      </c>
      <c r="AB184" s="2" t="str">
        <f>IF(AB154="","",SUMIF(C4:BF4,AB154,C35:BF35))</f>
        <v/>
      </c>
      <c r="AC184" s="2" t="str">
        <f>IF(AC154="","",SUMIF(C4:BF4,AC154,C35:BF35))</f>
        <v/>
      </c>
      <c r="AD184" s="2" t="str">
        <f>IF(AD154="","",SUMIF(C4:BF4,AD154,C35:BF35))</f>
        <v/>
      </c>
      <c r="AE184" s="2" t="str">
        <f>IF(AE154="","",SUMIF(C4:BF4,AE154,C35:BF35))</f>
        <v/>
      </c>
      <c r="AF184" s="2" t="str">
        <f>IF(AF154="","",SUMIF(C4:BF4,AF154,C35:BF35))</f>
        <v/>
      </c>
      <c r="AG184" s="2" t="str">
        <f>IF(AG154="","",SUMIF(C4:BF4,AG154,C35:BF35))</f>
        <v/>
      </c>
      <c r="AH184" s="2" t="str">
        <f>IF(AH154="","",SUMIF(C4:BF4,AH154,C35:BF35))</f>
        <v/>
      </c>
      <c r="AI184" s="2" t="str">
        <f>IF(AI154="","",SUMIF(C4:BF4,AI154,C35:BF35))</f>
        <v/>
      </c>
      <c r="AJ184" s="2" t="str">
        <f>IF(AJ154="","",SUMIF(C4:BF4,AJ154,C35:BF35))</f>
        <v/>
      </c>
      <c r="AK184" s="2" t="str">
        <f>IF(AK154="","",SUMIF(C4:BF4,AK154,C35:BF35))</f>
        <v/>
      </c>
      <c r="AL184" s="2" t="str">
        <f>IF(AL154="","",SUMIF(C4:BF4,AL154,C35:BF35))</f>
        <v/>
      </c>
      <c r="AM184" s="2" t="str">
        <f>IF(AM154="","",SUMIF(C4:BF4,AM154,C35:BF35))</f>
        <v/>
      </c>
      <c r="AN184" s="2" t="str">
        <f>IF(AN154="","",SUMIF(C4:BF4,AN154,C35:BF35))</f>
        <v/>
      </c>
      <c r="AO184" s="2" t="str">
        <f>IF(AO154="","",SUMIF(C4:BF4,AO154,C35:BF35))</f>
        <v/>
      </c>
      <c r="AP184" s="2" t="str">
        <f>IF(AP154="","",SUMIF(C4:BF4,AP154,C35:BF35))</f>
        <v/>
      </c>
      <c r="AQ184" s="2" t="str">
        <f>IF(AQ154="","",SUMIF(C4:BF4,AQ154,C35:BF35))</f>
        <v/>
      </c>
      <c r="AR184" s="2" t="str">
        <f>IF(AR154="","",SUMIF(C4:BF4,AR154,C35:BF35))</f>
        <v/>
      </c>
      <c r="AS184" s="2" t="str">
        <f>IF(AS154="","",SUMIF(C4:BF4,AS154,C35:BF35))</f>
        <v/>
      </c>
      <c r="AT184" s="2" t="str">
        <f>IF(AT154="","",SUMIF(C4:BF4,AT154,C35:BF35))</f>
        <v/>
      </c>
      <c r="AU184" s="2" t="str">
        <f>IF(AU154="","",SUMIF(C4:BF4,AU154,C35:BF35))</f>
        <v/>
      </c>
      <c r="AV184" s="2" t="str">
        <f>IF(AV154="","",SUMIF(C4:BF4,AV154,C35:BF35))</f>
        <v/>
      </c>
      <c r="AW184" s="2" t="str">
        <f>IF(AW154="","",SUMIF(C4:BF4,AW154,C35:BF35))</f>
        <v/>
      </c>
      <c r="AX184" s="2" t="str">
        <f>IF(AX154="","",SUMIF(C4:BF4,AX154,C35:BF35))</f>
        <v/>
      </c>
      <c r="AY184" s="2" t="str">
        <f>IF(AY154="","",SUMIF(C4:BF4,AY154,C35:BF35))</f>
        <v/>
      </c>
      <c r="AZ184" s="2" t="str">
        <f>IF(AZ154="","",SUMIF(C4:BF4,AZ154,C35:BF35))</f>
        <v/>
      </c>
      <c r="BA184" s="2" t="str">
        <f>IF(BA154="","",SUMIF(C4:BF4,BA154,C35:BF35))</f>
        <v/>
      </c>
      <c r="BB184" s="2" t="str">
        <f>IF(BB154="","",SUMIF(C4:BF4,BB154,C35:BF35))</f>
        <v/>
      </c>
      <c r="BC184" s="2" t="str">
        <f>IF(BC154="","",SUMIF(C4:BF4,BC154,C35:BF35))</f>
        <v/>
      </c>
      <c r="BD184" s="2" t="str">
        <f>IF(BD154="","",SUMIF(C4:BF4,BD154,C35:BF35))</f>
        <v/>
      </c>
      <c r="BE184" s="2" t="str">
        <f>IF(BE154="","",SUMIF(C4:BF4,BE154,C35:BF35))</f>
        <v/>
      </c>
      <c r="BF184" s="4" t="str">
        <f>IF(BF154="","",SUMIF(C4:BF4,BF154,C35:BF35))</f>
        <v/>
      </c>
    </row>
    <row r="185" spans="1:58">
      <c r="A185" s="18">
        <f t="shared" si="13"/>
        <v>46293</v>
      </c>
      <c r="B185" s="2" t="str">
        <f t="shared" si="13"/>
        <v>Sep 28</v>
      </c>
      <c r="C185" s="2">
        <f>IF(C154="","",SUMIF(C4:BF4,C154,C36:BF36))</f>
        <v>0</v>
      </c>
      <c r="D185" s="2">
        <f>IF(D154="","",SUMIF(C4:BF4,D154,C36:BF36))</f>
        <v>0</v>
      </c>
      <c r="E185" s="2">
        <f>IF(E154="","",SUMIF(C4:BF4,E154,C36:BF36))</f>
        <v>0</v>
      </c>
      <c r="F185" s="2">
        <f>IF(F154="","",SUMIF(C4:BF4,F154,C36:BF36))</f>
        <v>0</v>
      </c>
      <c r="G185" s="2">
        <f>IF(G154="","",SUMIF(C4:BF4,G154,C36:BF36))</f>
        <v>0</v>
      </c>
      <c r="H185" s="2">
        <f>IF(H154="","",SUMIF(C4:BF4,H154,C36:BF36))</f>
        <v>0</v>
      </c>
      <c r="I185" s="2">
        <f>IF(I154="","",SUMIF(C4:BF4,I154,C36:BF36))</f>
        <v>0</v>
      </c>
      <c r="J185" s="2">
        <f>IF(J154="","",SUMIF(C4:BF4,J154,C36:BF36))</f>
        <v>0</v>
      </c>
      <c r="K185" s="2">
        <f>IF(K154="","",SUMIF(C4:BF4,K154,C36:BF36))</f>
        <v>0</v>
      </c>
      <c r="L185" s="2">
        <f>IF(L154="","",SUMIF(C4:BF4,L154,C36:BF36))</f>
        <v>0</v>
      </c>
      <c r="M185" s="2">
        <f>IF(M154="","",SUMIF(C4:BF4,M154,C36:BF36))</f>
        <v>0</v>
      </c>
      <c r="N185" s="2">
        <f>IF(N154="","",SUMIF(C4:BF4,N154,C36:BF36))</f>
        <v>0</v>
      </c>
      <c r="O185" s="2">
        <f>IF(O154="","",SUMIF(C4:BF4,O154,C36:BF36))</f>
        <v>0</v>
      </c>
      <c r="P185" s="2">
        <f>IF(P154="","",SUMIF(C4:BF4,P154,C36:BF36))</f>
        <v>0</v>
      </c>
      <c r="Q185" s="2">
        <f>IF(Q154="","",SUMIF(C4:BF4,Q154,C36:BF36))</f>
        <v>0</v>
      </c>
      <c r="R185" s="2">
        <f>IF(R154="","",SUMIF(C4:BF4,R154,C36:BF36))</f>
        <v>0</v>
      </c>
      <c r="S185" s="2">
        <f>IF(S154="","",SUMIF(C4:BF4,S154,C36:BF36))</f>
        <v>0</v>
      </c>
      <c r="T185" s="2">
        <f>IF(T154="","",SUMIF(C4:BF4,T154,C36:BF36))</f>
        <v>0</v>
      </c>
      <c r="U185" s="2">
        <f>IF(U154="","",SUMIF(C4:BF4,U154,C36:BF36))</f>
        <v>0</v>
      </c>
      <c r="V185" s="2">
        <f>IF(V154="","",SUMIF(C4:BF4,V154,C36:BF36))</f>
        <v>0</v>
      </c>
      <c r="W185" s="2" t="str">
        <f>IF(W154="","",SUMIF(C4:BF4,W154,C36:BF36))</f>
        <v/>
      </c>
      <c r="X185" s="2" t="str">
        <f>IF(X154="","",SUMIF(C4:BF4,X154,C36:BF36))</f>
        <v/>
      </c>
      <c r="Y185" s="2" t="str">
        <f>IF(Y154="","",SUMIF(C4:BF4,Y154,C36:BF36))</f>
        <v/>
      </c>
      <c r="Z185" s="2" t="str">
        <f>IF(Z154="","",SUMIF(C4:BF4,Z154,C36:BF36))</f>
        <v/>
      </c>
      <c r="AA185" s="2" t="str">
        <f>IF(AA154="","",SUMIF(C4:BF4,AA154,C36:BF36))</f>
        <v/>
      </c>
      <c r="AB185" s="2" t="str">
        <f>IF(AB154="","",SUMIF(C4:BF4,AB154,C36:BF36))</f>
        <v/>
      </c>
      <c r="AC185" s="2" t="str">
        <f>IF(AC154="","",SUMIF(C4:BF4,AC154,C36:BF36))</f>
        <v/>
      </c>
      <c r="AD185" s="2" t="str">
        <f>IF(AD154="","",SUMIF(C4:BF4,AD154,C36:BF36))</f>
        <v/>
      </c>
      <c r="AE185" s="2" t="str">
        <f>IF(AE154="","",SUMIF(C4:BF4,AE154,C36:BF36))</f>
        <v/>
      </c>
      <c r="AF185" s="2" t="str">
        <f>IF(AF154="","",SUMIF(C4:BF4,AF154,C36:BF36))</f>
        <v/>
      </c>
      <c r="AG185" s="2" t="str">
        <f>IF(AG154="","",SUMIF(C4:BF4,AG154,C36:BF36))</f>
        <v/>
      </c>
      <c r="AH185" s="2" t="str">
        <f>IF(AH154="","",SUMIF(C4:BF4,AH154,C36:BF36))</f>
        <v/>
      </c>
      <c r="AI185" s="2" t="str">
        <f>IF(AI154="","",SUMIF(C4:BF4,AI154,C36:BF36))</f>
        <v/>
      </c>
      <c r="AJ185" s="2" t="str">
        <f>IF(AJ154="","",SUMIF(C4:BF4,AJ154,C36:BF36))</f>
        <v/>
      </c>
      <c r="AK185" s="2" t="str">
        <f>IF(AK154="","",SUMIF(C4:BF4,AK154,C36:BF36))</f>
        <v/>
      </c>
      <c r="AL185" s="2" t="str">
        <f>IF(AL154="","",SUMIF(C4:BF4,AL154,C36:BF36))</f>
        <v/>
      </c>
      <c r="AM185" s="2" t="str">
        <f>IF(AM154="","",SUMIF(C4:BF4,AM154,C36:BF36))</f>
        <v/>
      </c>
      <c r="AN185" s="2" t="str">
        <f>IF(AN154="","",SUMIF(C4:BF4,AN154,C36:BF36))</f>
        <v/>
      </c>
      <c r="AO185" s="2" t="str">
        <f>IF(AO154="","",SUMIF(C4:BF4,AO154,C36:BF36))</f>
        <v/>
      </c>
      <c r="AP185" s="2" t="str">
        <f>IF(AP154="","",SUMIF(C4:BF4,AP154,C36:BF36))</f>
        <v/>
      </c>
      <c r="AQ185" s="2" t="str">
        <f>IF(AQ154="","",SUMIF(C4:BF4,AQ154,C36:BF36))</f>
        <v/>
      </c>
      <c r="AR185" s="2" t="str">
        <f>IF(AR154="","",SUMIF(C4:BF4,AR154,C36:BF36))</f>
        <v/>
      </c>
      <c r="AS185" s="2" t="str">
        <f>IF(AS154="","",SUMIF(C4:BF4,AS154,C36:BF36))</f>
        <v/>
      </c>
      <c r="AT185" s="2" t="str">
        <f>IF(AT154="","",SUMIF(C4:BF4,AT154,C36:BF36))</f>
        <v/>
      </c>
      <c r="AU185" s="2" t="str">
        <f>IF(AU154="","",SUMIF(C4:BF4,AU154,C36:BF36))</f>
        <v/>
      </c>
      <c r="AV185" s="2" t="str">
        <f>IF(AV154="","",SUMIF(C4:BF4,AV154,C36:BF36))</f>
        <v/>
      </c>
      <c r="AW185" s="2" t="str">
        <f>IF(AW154="","",SUMIF(C4:BF4,AW154,C36:BF36))</f>
        <v/>
      </c>
      <c r="AX185" s="2" t="str">
        <f>IF(AX154="","",SUMIF(C4:BF4,AX154,C36:BF36))</f>
        <v/>
      </c>
      <c r="AY185" s="2" t="str">
        <f>IF(AY154="","",SUMIF(C4:BF4,AY154,C36:BF36))</f>
        <v/>
      </c>
      <c r="AZ185" s="2" t="str">
        <f>IF(AZ154="","",SUMIF(C4:BF4,AZ154,C36:BF36))</f>
        <v/>
      </c>
      <c r="BA185" s="2" t="str">
        <f>IF(BA154="","",SUMIF(C4:BF4,BA154,C36:BF36))</f>
        <v/>
      </c>
      <c r="BB185" s="2" t="str">
        <f>IF(BB154="","",SUMIF(C4:BF4,BB154,C36:BF36))</f>
        <v/>
      </c>
      <c r="BC185" s="2" t="str">
        <f>IF(BC154="","",SUMIF(C4:BF4,BC154,C36:BF36))</f>
        <v/>
      </c>
      <c r="BD185" s="2" t="str">
        <f>IF(BD154="","",SUMIF(C4:BF4,BD154,C36:BF36))</f>
        <v/>
      </c>
      <c r="BE185" s="2" t="str">
        <f>IF(BE154="","",SUMIF(C4:BF4,BE154,C36:BF36))</f>
        <v/>
      </c>
      <c r="BF185" s="4" t="str">
        <f>IF(BF154="","",SUMIF(C4:BF4,BF154,C36:BF36))</f>
        <v/>
      </c>
    </row>
    <row r="186" spans="1:58">
      <c r="A186" s="18">
        <f t="shared" si="13"/>
        <v>46300</v>
      </c>
      <c r="B186" s="2" t="str">
        <f t="shared" si="13"/>
        <v>Oct 5</v>
      </c>
      <c r="C186" s="2">
        <f>IF(C154="","",SUMIF(C4:BF4,C154,C37:BF37))</f>
        <v>0</v>
      </c>
      <c r="D186" s="2">
        <f>IF(D154="","",SUMIF(C4:BF4,D154,C37:BF37))</f>
        <v>0</v>
      </c>
      <c r="E186" s="2">
        <f>IF(E154="","",SUMIF(C4:BF4,E154,C37:BF37))</f>
        <v>0</v>
      </c>
      <c r="F186" s="2">
        <f>IF(F154="","",SUMIF(C4:BF4,F154,C37:BF37))</f>
        <v>0</v>
      </c>
      <c r="G186" s="2">
        <f>IF(G154="","",SUMIF(C4:BF4,G154,C37:BF37))</f>
        <v>0</v>
      </c>
      <c r="H186" s="2">
        <f>IF(H154="","",SUMIF(C4:BF4,H154,C37:BF37))</f>
        <v>0</v>
      </c>
      <c r="I186" s="2">
        <f>IF(I154="","",SUMIF(C4:BF4,I154,C37:BF37))</f>
        <v>0</v>
      </c>
      <c r="J186" s="2">
        <f>IF(J154="","",SUMIF(C4:BF4,J154,C37:BF37))</f>
        <v>0</v>
      </c>
      <c r="K186" s="2">
        <f>IF(K154="","",SUMIF(C4:BF4,K154,C37:BF37))</f>
        <v>0</v>
      </c>
      <c r="L186" s="2">
        <f>IF(L154="","",SUMIF(C4:BF4,L154,C37:BF37))</f>
        <v>0</v>
      </c>
      <c r="M186" s="2">
        <f>IF(M154="","",SUMIF(C4:BF4,M154,C37:BF37))</f>
        <v>0</v>
      </c>
      <c r="N186" s="2">
        <f>IF(N154="","",SUMIF(C4:BF4,N154,C37:BF37))</f>
        <v>0</v>
      </c>
      <c r="O186" s="2">
        <f>IF(O154="","",SUMIF(C4:BF4,O154,C37:BF37))</f>
        <v>0</v>
      </c>
      <c r="P186" s="2">
        <f>IF(P154="","",SUMIF(C4:BF4,P154,C37:BF37))</f>
        <v>0</v>
      </c>
      <c r="Q186" s="2">
        <f>IF(Q154="","",SUMIF(C4:BF4,Q154,C37:BF37))</f>
        <v>0</v>
      </c>
      <c r="R186" s="2">
        <f>IF(R154="","",SUMIF(C4:BF4,R154,C37:BF37))</f>
        <v>0</v>
      </c>
      <c r="S186" s="2">
        <f>IF(S154="","",SUMIF(C4:BF4,S154,C37:BF37))</f>
        <v>0</v>
      </c>
      <c r="T186" s="2">
        <f>IF(T154="","",SUMIF(C4:BF4,T154,C37:BF37))</f>
        <v>0</v>
      </c>
      <c r="U186" s="2">
        <f>IF(U154="","",SUMIF(C4:BF4,U154,C37:BF37))</f>
        <v>0</v>
      </c>
      <c r="V186" s="2">
        <f>IF(V154="","",SUMIF(C4:BF4,V154,C37:BF37))</f>
        <v>0</v>
      </c>
      <c r="W186" s="2" t="str">
        <f>IF(W154="","",SUMIF(C4:BF4,W154,C37:BF37))</f>
        <v/>
      </c>
      <c r="X186" s="2" t="str">
        <f>IF(X154="","",SUMIF(C4:BF4,X154,C37:BF37))</f>
        <v/>
      </c>
      <c r="Y186" s="2" t="str">
        <f>IF(Y154="","",SUMIF(C4:BF4,Y154,C37:BF37))</f>
        <v/>
      </c>
      <c r="Z186" s="2" t="str">
        <f>IF(Z154="","",SUMIF(C4:BF4,Z154,C37:BF37))</f>
        <v/>
      </c>
      <c r="AA186" s="2" t="str">
        <f>IF(AA154="","",SUMIF(C4:BF4,AA154,C37:BF37))</f>
        <v/>
      </c>
      <c r="AB186" s="2" t="str">
        <f>IF(AB154="","",SUMIF(C4:BF4,AB154,C37:BF37))</f>
        <v/>
      </c>
      <c r="AC186" s="2" t="str">
        <f>IF(AC154="","",SUMIF(C4:BF4,AC154,C37:BF37))</f>
        <v/>
      </c>
      <c r="AD186" s="2" t="str">
        <f>IF(AD154="","",SUMIF(C4:BF4,AD154,C37:BF37))</f>
        <v/>
      </c>
      <c r="AE186" s="2" t="str">
        <f>IF(AE154="","",SUMIF(C4:BF4,AE154,C37:BF37))</f>
        <v/>
      </c>
      <c r="AF186" s="2" t="str">
        <f>IF(AF154="","",SUMIF(C4:BF4,AF154,C37:BF37))</f>
        <v/>
      </c>
      <c r="AG186" s="2" t="str">
        <f>IF(AG154="","",SUMIF(C4:BF4,AG154,C37:BF37))</f>
        <v/>
      </c>
      <c r="AH186" s="2" t="str">
        <f>IF(AH154="","",SUMIF(C4:BF4,AH154,C37:BF37))</f>
        <v/>
      </c>
      <c r="AI186" s="2" t="str">
        <f>IF(AI154="","",SUMIF(C4:BF4,AI154,C37:BF37))</f>
        <v/>
      </c>
      <c r="AJ186" s="2" t="str">
        <f>IF(AJ154="","",SUMIF(C4:BF4,AJ154,C37:BF37))</f>
        <v/>
      </c>
      <c r="AK186" s="2" t="str">
        <f>IF(AK154="","",SUMIF(C4:BF4,AK154,C37:BF37))</f>
        <v/>
      </c>
      <c r="AL186" s="2" t="str">
        <f>IF(AL154="","",SUMIF(C4:BF4,AL154,C37:BF37))</f>
        <v/>
      </c>
      <c r="AM186" s="2" t="str">
        <f>IF(AM154="","",SUMIF(C4:BF4,AM154,C37:BF37))</f>
        <v/>
      </c>
      <c r="AN186" s="2" t="str">
        <f>IF(AN154="","",SUMIF(C4:BF4,AN154,C37:BF37))</f>
        <v/>
      </c>
      <c r="AO186" s="2" t="str">
        <f>IF(AO154="","",SUMIF(C4:BF4,AO154,C37:BF37))</f>
        <v/>
      </c>
      <c r="AP186" s="2" t="str">
        <f>IF(AP154="","",SUMIF(C4:BF4,AP154,C37:BF37))</f>
        <v/>
      </c>
      <c r="AQ186" s="2" t="str">
        <f>IF(AQ154="","",SUMIF(C4:BF4,AQ154,C37:BF37))</f>
        <v/>
      </c>
      <c r="AR186" s="2" t="str">
        <f>IF(AR154="","",SUMIF(C4:BF4,AR154,C37:BF37))</f>
        <v/>
      </c>
      <c r="AS186" s="2" t="str">
        <f>IF(AS154="","",SUMIF(C4:BF4,AS154,C37:BF37))</f>
        <v/>
      </c>
      <c r="AT186" s="2" t="str">
        <f>IF(AT154="","",SUMIF(C4:BF4,AT154,C37:BF37))</f>
        <v/>
      </c>
      <c r="AU186" s="2" t="str">
        <f>IF(AU154="","",SUMIF(C4:BF4,AU154,C37:BF37))</f>
        <v/>
      </c>
      <c r="AV186" s="2" t="str">
        <f>IF(AV154="","",SUMIF(C4:BF4,AV154,C37:BF37))</f>
        <v/>
      </c>
      <c r="AW186" s="2" t="str">
        <f>IF(AW154="","",SUMIF(C4:BF4,AW154,C37:BF37))</f>
        <v/>
      </c>
      <c r="AX186" s="2" t="str">
        <f>IF(AX154="","",SUMIF(C4:BF4,AX154,C37:BF37))</f>
        <v/>
      </c>
      <c r="AY186" s="2" t="str">
        <f>IF(AY154="","",SUMIF(C4:BF4,AY154,C37:BF37))</f>
        <v/>
      </c>
      <c r="AZ186" s="2" t="str">
        <f>IF(AZ154="","",SUMIF(C4:BF4,AZ154,C37:BF37))</f>
        <v/>
      </c>
      <c r="BA186" s="2" t="str">
        <f>IF(BA154="","",SUMIF(C4:BF4,BA154,C37:BF37))</f>
        <v/>
      </c>
      <c r="BB186" s="2" t="str">
        <f>IF(BB154="","",SUMIF(C4:BF4,BB154,C37:BF37))</f>
        <v/>
      </c>
      <c r="BC186" s="2" t="str">
        <f>IF(BC154="","",SUMIF(C4:BF4,BC154,C37:BF37))</f>
        <v/>
      </c>
      <c r="BD186" s="2" t="str">
        <f>IF(BD154="","",SUMIF(C4:BF4,BD154,C37:BF37))</f>
        <v/>
      </c>
      <c r="BE186" s="2" t="str">
        <f>IF(BE154="","",SUMIF(C4:BF4,BE154,C37:BF37))</f>
        <v/>
      </c>
      <c r="BF186" s="4" t="str">
        <f>IF(BF154="","",SUMIF(C4:BF4,BF154,C37:BF37))</f>
        <v/>
      </c>
    </row>
    <row r="187" spans="1:58">
      <c r="A187" s="18">
        <f t="shared" si="13"/>
        <v>46307</v>
      </c>
      <c r="B187" s="2" t="str">
        <f t="shared" si="13"/>
        <v>Oct 12</v>
      </c>
      <c r="C187" s="2">
        <f>IF(C154="","",SUMIF(C4:BF4,C154,C38:BF38))</f>
        <v>0</v>
      </c>
      <c r="D187" s="2">
        <f>IF(D154="","",SUMIF(C4:BF4,D154,C38:BF38))</f>
        <v>0</v>
      </c>
      <c r="E187" s="2">
        <f>IF(E154="","",SUMIF(C4:BF4,E154,C38:BF38))</f>
        <v>0</v>
      </c>
      <c r="F187" s="2">
        <f>IF(F154="","",SUMIF(C4:BF4,F154,C38:BF38))</f>
        <v>0</v>
      </c>
      <c r="G187" s="2">
        <f>IF(G154="","",SUMIF(C4:BF4,G154,C38:BF38))</f>
        <v>0</v>
      </c>
      <c r="H187" s="2">
        <f>IF(H154="","",SUMIF(C4:BF4,H154,C38:BF38))</f>
        <v>0</v>
      </c>
      <c r="I187" s="2">
        <f>IF(I154="","",SUMIF(C4:BF4,I154,C38:BF38))</f>
        <v>0</v>
      </c>
      <c r="J187" s="2">
        <f>IF(J154="","",SUMIF(C4:BF4,J154,C38:BF38))</f>
        <v>0</v>
      </c>
      <c r="K187" s="2">
        <f>IF(K154="","",SUMIF(C4:BF4,K154,C38:BF38))</f>
        <v>0</v>
      </c>
      <c r="L187" s="2">
        <f>IF(L154="","",SUMIF(C4:BF4,L154,C38:BF38))</f>
        <v>0</v>
      </c>
      <c r="M187" s="2">
        <f>IF(M154="","",SUMIF(C4:BF4,M154,C38:BF38))</f>
        <v>0</v>
      </c>
      <c r="N187" s="2">
        <f>IF(N154="","",SUMIF(C4:BF4,N154,C38:BF38))</f>
        <v>0</v>
      </c>
      <c r="O187" s="2">
        <f>IF(O154="","",SUMIF(C4:BF4,O154,C38:BF38))</f>
        <v>0</v>
      </c>
      <c r="P187" s="2">
        <f>IF(P154="","",SUMIF(C4:BF4,P154,C38:BF38))</f>
        <v>0</v>
      </c>
      <c r="Q187" s="2">
        <f>IF(Q154="","",SUMIF(C4:BF4,Q154,C38:BF38))</f>
        <v>0</v>
      </c>
      <c r="R187" s="2">
        <f>IF(R154="","",SUMIF(C4:BF4,R154,C38:BF38))</f>
        <v>0</v>
      </c>
      <c r="S187" s="2">
        <f>IF(S154="","",SUMIF(C4:BF4,S154,C38:BF38))</f>
        <v>0</v>
      </c>
      <c r="T187" s="2">
        <f>IF(T154="","",SUMIF(C4:BF4,T154,C38:BF38))</f>
        <v>0</v>
      </c>
      <c r="U187" s="2">
        <f>IF(U154="","",SUMIF(C4:BF4,U154,C38:BF38))</f>
        <v>0</v>
      </c>
      <c r="V187" s="2">
        <f>IF(V154="","",SUMIF(C4:BF4,V154,C38:BF38))</f>
        <v>0</v>
      </c>
      <c r="W187" s="2" t="str">
        <f>IF(W154="","",SUMIF(C4:BF4,W154,C38:BF38))</f>
        <v/>
      </c>
      <c r="X187" s="2" t="str">
        <f>IF(X154="","",SUMIF(C4:BF4,X154,C38:BF38))</f>
        <v/>
      </c>
      <c r="Y187" s="2" t="str">
        <f>IF(Y154="","",SUMIF(C4:BF4,Y154,C38:BF38))</f>
        <v/>
      </c>
      <c r="Z187" s="2" t="str">
        <f>IF(Z154="","",SUMIF(C4:BF4,Z154,C38:BF38))</f>
        <v/>
      </c>
      <c r="AA187" s="2" t="str">
        <f>IF(AA154="","",SUMIF(C4:BF4,AA154,C38:BF38))</f>
        <v/>
      </c>
      <c r="AB187" s="2" t="str">
        <f>IF(AB154="","",SUMIF(C4:BF4,AB154,C38:BF38))</f>
        <v/>
      </c>
      <c r="AC187" s="2" t="str">
        <f>IF(AC154="","",SUMIF(C4:BF4,AC154,C38:BF38))</f>
        <v/>
      </c>
      <c r="AD187" s="2" t="str">
        <f>IF(AD154="","",SUMIF(C4:BF4,AD154,C38:BF38))</f>
        <v/>
      </c>
      <c r="AE187" s="2" t="str">
        <f>IF(AE154="","",SUMIF(C4:BF4,AE154,C38:BF38))</f>
        <v/>
      </c>
      <c r="AF187" s="2" t="str">
        <f>IF(AF154="","",SUMIF(C4:BF4,AF154,C38:BF38))</f>
        <v/>
      </c>
      <c r="AG187" s="2" t="str">
        <f>IF(AG154="","",SUMIF(C4:BF4,AG154,C38:BF38))</f>
        <v/>
      </c>
      <c r="AH187" s="2" t="str">
        <f>IF(AH154="","",SUMIF(C4:BF4,AH154,C38:BF38))</f>
        <v/>
      </c>
      <c r="AI187" s="2" t="str">
        <f>IF(AI154="","",SUMIF(C4:BF4,AI154,C38:BF38))</f>
        <v/>
      </c>
      <c r="AJ187" s="2" t="str">
        <f>IF(AJ154="","",SUMIF(C4:BF4,AJ154,C38:BF38))</f>
        <v/>
      </c>
      <c r="AK187" s="2" t="str">
        <f>IF(AK154="","",SUMIF(C4:BF4,AK154,C38:BF38))</f>
        <v/>
      </c>
      <c r="AL187" s="2" t="str">
        <f>IF(AL154="","",SUMIF(C4:BF4,AL154,C38:BF38))</f>
        <v/>
      </c>
      <c r="AM187" s="2" t="str">
        <f>IF(AM154="","",SUMIF(C4:BF4,AM154,C38:BF38))</f>
        <v/>
      </c>
      <c r="AN187" s="2" t="str">
        <f>IF(AN154="","",SUMIF(C4:BF4,AN154,C38:BF38))</f>
        <v/>
      </c>
      <c r="AO187" s="2" t="str">
        <f>IF(AO154="","",SUMIF(C4:BF4,AO154,C38:BF38))</f>
        <v/>
      </c>
      <c r="AP187" s="2" t="str">
        <f>IF(AP154="","",SUMIF(C4:BF4,AP154,C38:BF38))</f>
        <v/>
      </c>
      <c r="AQ187" s="2" t="str">
        <f>IF(AQ154="","",SUMIF(C4:BF4,AQ154,C38:BF38))</f>
        <v/>
      </c>
      <c r="AR187" s="2" t="str">
        <f>IF(AR154="","",SUMIF(C4:BF4,AR154,C38:BF38))</f>
        <v/>
      </c>
      <c r="AS187" s="2" t="str">
        <f>IF(AS154="","",SUMIF(C4:BF4,AS154,C38:BF38))</f>
        <v/>
      </c>
      <c r="AT187" s="2" t="str">
        <f>IF(AT154="","",SUMIF(C4:BF4,AT154,C38:BF38))</f>
        <v/>
      </c>
      <c r="AU187" s="2" t="str">
        <f>IF(AU154="","",SUMIF(C4:BF4,AU154,C38:BF38))</f>
        <v/>
      </c>
      <c r="AV187" s="2" t="str">
        <f>IF(AV154="","",SUMIF(C4:BF4,AV154,C38:BF38))</f>
        <v/>
      </c>
      <c r="AW187" s="2" t="str">
        <f>IF(AW154="","",SUMIF(C4:BF4,AW154,C38:BF38))</f>
        <v/>
      </c>
      <c r="AX187" s="2" t="str">
        <f>IF(AX154="","",SUMIF(C4:BF4,AX154,C38:BF38))</f>
        <v/>
      </c>
      <c r="AY187" s="2" t="str">
        <f>IF(AY154="","",SUMIF(C4:BF4,AY154,C38:BF38))</f>
        <v/>
      </c>
      <c r="AZ187" s="2" t="str">
        <f>IF(AZ154="","",SUMIF(C4:BF4,AZ154,C38:BF38))</f>
        <v/>
      </c>
      <c r="BA187" s="2" t="str">
        <f>IF(BA154="","",SUMIF(C4:BF4,BA154,C38:BF38))</f>
        <v/>
      </c>
      <c r="BB187" s="2" t="str">
        <f>IF(BB154="","",SUMIF(C4:BF4,BB154,C38:BF38))</f>
        <v/>
      </c>
      <c r="BC187" s="2" t="str">
        <f>IF(BC154="","",SUMIF(C4:BF4,BC154,C38:BF38))</f>
        <v/>
      </c>
      <c r="BD187" s="2" t="str">
        <f>IF(BD154="","",SUMIF(C4:BF4,BD154,C38:BF38))</f>
        <v/>
      </c>
      <c r="BE187" s="2" t="str">
        <f>IF(BE154="","",SUMIF(C4:BF4,BE154,C38:BF38))</f>
        <v/>
      </c>
      <c r="BF187" s="4" t="str">
        <f>IF(BF154="","",SUMIF(C4:BF4,BF154,C38:BF38))</f>
        <v/>
      </c>
    </row>
    <row r="188" spans="1:58">
      <c r="A188" s="18">
        <f t="shared" si="13"/>
        <v>46314</v>
      </c>
      <c r="B188" s="2" t="str">
        <f t="shared" si="13"/>
        <v>Oct 19</v>
      </c>
      <c r="C188" s="2">
        <f>IF(C154="","",SUMIF(C4:BF4,C154,C39:BF39))</f>
        <v>0</v>
      </c>
      <c r="D188" s="2">
        <f>IF(D154="","",SUMIF(C4:BF4,D154,C39:BF39))</f>
        <v>0</v>
      </c>
      <c r="E188" s="2">
        <f>IF(E154="","",SUMIF(C4:BF4,E154,C39:BF39))</f>
        <v>0</v>
      </c>
      <c r="F188" s="2">
        <f>IF(F154="","",SUMIF(C4:BF4,F154,C39:BF39))</f>
        <v>0</v>
      </c>
      <c r="G188" s="2">
        <f>IF(G154="","",SUMIF(C4:BF4,G154,C39:BF39))</f>
        <v>0</v>
      </c>
      <c r="H188" s="2">
        <f>IF(H154="","",SUMIF(C4:BF4,H154,C39:BF39))</f>
        <v>0</v>
      </c>
      <c r="I188" s="2">
        <f>IF(I154="","",SUMIF(C4:BF4,I154,C39:BF39))</f>
        <v>0</v>
      </c>
      <c r="J188" s="2">
        <f>IF(J154="","",SUMIF(C4:BF4,J154,C39:BF39))</f>
        <v>0</v>
      </c>
      <c r="K188" s="2">
        <f>IF(K154="","",SUMIF(C4:BF4,K154,C39:BF39))</f>
        <v>0</v>
      </c>
      <c r="L188" s="2">
        <f>IF(L154="","",SUMIF(C4:BF4,L154,C39:BF39))</f>
        <v>0</v>
      </c>
      <c r="M188" s="2">
        <f>IF(M154="","",SUMIF(C4:BF4,M154,C39:BF39))</f>
        <v>0</v>
      </c>
      <c r="N188" s="2">
        <f>IF(N154="","",SUMIF(C4:BF4,N154,C39:BF39))</f>
        <v>0</v>
      </c>
      <c r="O188" s="2">
        <f>IF(O154="","",SUMIF(C4:BF4,O154,C39:BF39))</f>
        <v>0</v>
      </c>
      <c r="P188" s="2">
        <f>IF(P154="","",SUMIF(C4:BF4,P154,C39:BF39))</f>
        <v>0</v>
      </c>
      <c r="Q188" s="2">
        <f>IF(Q154="","",SUMIF(C4:BF4,Q154,C39:BF39))</f>
        <v>0</v>
      </c>
      <c r="R188" s="2">
        <f>IF(R154="","",SUMIF(C4:BF4,R154,C39:BF39))</f>
        <v>0</v>
      </c>
      <c r="S188" s="2">
        <f>IF(S154="","",SUMIF(C4:BF4,S154,C39:BF39))</f>
        <v>0</v>
      </c>
      <c r="T188" s="2">
        <f>IF(T154="","",SUMIF(C4:BF4,T154,C39:BF39))</f>
        <v>0</v>
      </c>
      <c r="U188" s="2">
        <f>IF(U154="","",SUMIF(C4:BF4,U154,C39:BF39))</f>
        <v>0</v>
      </c>
      <c r="V188" s="2">
        <f>IF(V154="","",SUMIF(C4:BF4,V154,C39:BF39))</f>
        <v>0</v>
      </c>
      <c r="W188" s="2" t="str">
        <f>IF(W154="","",SUMIF(C4:BF4,W154,C39:BF39))</f>
        <v/>
      </c>
      <c r="X188" s="2" t="str">
        <f>IF(X154="","",SUMIF(C4:BF4,X154,C39:BF39))</f>
        <v/>
      </c>
      <c r="Y188" s="2" t="str">
        <f>IF(Y154="","",SUMIF(C4:BF4,Y154,C39:BF39))</f>
        <v/>
      </c>
      <c r="Z188" s="2" t="str">
        <f>IF(Z154="","",SUMIF(C4:BF4,Z154,C39:BF39))</f>
        <v/>
      </c>
      <c r="AA188" s="2" t="str">
        <f>IF(AA154="","",SUMIF(C4:BF4,AA154,C39:BF39))</f>
        <v/>
      </c>
      <c r="AB188" s="2" t="str">
        <f>IF(AB154="","",SUMIF(C4:BF4,AB154,C39:BF39))</f>
        <v/>
      </c>
      <c r="AC188" s="2" t="str">
        <f>IF(AC154="","",SUMIF(C4:BF4,AC154,C39:BF39))</f>
        <v/>
      </c>
      <c r="AD188" s="2" t="str">
        <f>IF(AD154="","",SUMIF(C4:BF4,AD154,C39:BF39))</f>
        <v/>
      </c>
      <c r="AE188" s="2" t="str">
        <f>IF(AE154="","",SUMIF(C4:BF4,AE154,C39:BF39))</f>
        <v/>
      </c>
      <c r="AF188" s="2" t="str">
        <f>IF(AF154="","",SUMIF(C4:BF4,AF154,C39:BF39))</f>
        <v/>
      </c>
      <c r="AG188" s="2" t="str">
        <f>IF(AG154="","",SUMIF(C4:BF4,AG154,C39:BF39))</f>
        <v/>
      </c>
      <c r="AH188" s="2" t="str">
        <f>IF(AH154="","",SUMIF(C4:BF4,AH154,C39:BF39))</f>
        <v/>
      </c>
      <c r="AI188" s="2" t="str">
        <f>IF(AI154="","",SUMIF(C4:BF4,AI154,C39:BF39))</f>
        <v/>
      </c>
      <c r="AJ188" s="2" t="str">
        <f>IF(AJ154="","",SUMIF(C4:BF4,AJ154,C39:BF39))</f>
        <v/>
      </c>
      <c r="AK188" s="2" t="str">
        <f>IF(AK154="","",SUMIF(C4:BF4,AK154,C39:BF39))</f>
        <v/>
      </c>
      <c r="AL188" s="2" t="str">
        <f>IF(AL154="","",SUMIF(C4:BF4,AL154,C39:BF39))</f>
        <v/>
      </c>
      <c r="AM188" s="2" t="str">
        <f>IF(AM154="","",SUMIF(C4:BF4,AM154,C39:BF39))</f>
        <v/>
      </c>
      <c r="AN188" s="2" t="str">
        <f>IF(AN154="","",SUMIF(C4:BF4,AN154,C39:BF39))</f>
        <v/>
      </c>
      <c r="AO188" s="2" t="str">
        <f>IF(AO154="","",SUMIF(C4:BF4,AO154,C39:BF39))</f>
        <v/>
      </c>
      <c r="AP188" s="2" t="str">
        <f>IF(AP154="","",SUMIF(C4:BF4,AP154,C39:BF39))</f>
        <v/>
      </c>
      <c r="AQ188" s="2" t="str">
        <f>IF(AQ154="","",SUMIF(C4:BF4,AQ154,C39:BF39))</f>
        <v/>
      </c>
      <c r="AR188" s="2" t="str">
        <f>IF(AR154="","",SUMIF(C4:BF4,AR154,C39:BF39))</f>
        <v/>
      </c>
      <c r="AS188" s="2" t="str">
        <f>IF(AS154="","",SUMIF(C4:BF4,AS154,C39:BF39))</f>
        <v/>
      </c>
      <c r="AT188" s="2" t="str">
        <f>IF(AT154="","",SUMIF(C4:BF4,AT154,C39:BF39))</f>
        <v/>
      </c>
      <c r="AU188" s="2" t="str">
        <f>IF(AU154="","",SUMIF(C4:BF4,AU154,C39:BF39))</f>
        <v/>
      </c>
      <c r="AV188" s="2" t="str">
        <f>IF(AV154="","",SUMIF(C4:BF4,AV154,C39:BF39))</f>
        <v/>
      </c>
      <c r="AW188" s="2" t="str">
        <f>IF(AW154="","",SUMIF(C4:BF4,AW154,C39:BF39))</f>
        <v/>
      </c>
      <c r="AX188" s="2" t="str">
        <f>IF(AX154="","",SUMIF(C4:BF4,AX154,C39:BF39))</f>
        <v/>
      </c>
      <c r="AY188" s="2" t="str">
        <f>IF(AY154="","",SUMIF(C4:BF4,AY154,C39:BF39))</f>
        <v/>
      </c>
      <c r="AZ188" s="2" t="str">
        <f>IF(AZ154="","",SUMIF(C4:BF4,AZ154,C39:BF39))</f>
        <v/>
      </c>
      <c r="BA188" s="2" t="str">
        <f>IF(BA154="","",SUMIF(C4:BF4,BA154,C39:BF39))</f>
        <v/>
      </c>
      <c r="BB188" s="2" t="str">
        <f>IF(BB154="","",SUMIF(C4:BF4,BB154,C39:BF39))</f>
        <v/>
      </c>
      <c r="BC188" s="2" t="str">
        <f>IF(BC154="","",SUMIF(C4:BF4,BC154,C39:BF39))</f>
        <v/>
      </c>
      <c r="BD188" s="2" t="str">
        <f>IF(BD154="","",SUMIF(C4:BF4,BD154,C39:BF39))</f>
        <v/>
      </c>
      <c r="BE188" s="2" t="str">
        <f>IF(BE154="","",SUMIF(C4:BF4,BE154,C39:BF39))</f>
        <v/>
      </c>
      <c r="BF188" s="4" t="str">
        <f>IF(BF154="","",SUMIF(C4:BF4,BF154,C39:BF39))</f>
        <v/>
      </c>
    </row>
    <row r="189" spans="1:58">
      <c r="A189" s="18">
        <f t="shared" si="13"/>
        <v>46321</v>
      </c>
      <c r="B189" s="2" t="str">
        <f t="shared" si="13"/>
        <v>Oct 26</v>
      </c>
      <c r="C189" s="2">
        <f>IF(C154="","",SUMIF(C4:BF4,C154,C40:BF40))</f>
        <v>0</v>
      </c>
      <c r="D189" s="2">
        <f>IF(D154="","",SUMIF(C4:BF4,D154,C40:BF40))</f>
        <v>0</v>
      </c>
      <c r="E189" s="2">
        <f>IF(E154="","",SUMIF(C4:BF4,E154,C40:BF40))</f>
        <v>0</v>
      </c>
      <c r="F189" s="2">
        <f>IF(F154="","",SUMIF(C4:BF4,F154,C40:BF40))</f>
        <v>0</v>
      </c>
      <c r="G189" s="2">
        <f>IF(G154="","",SUMIF(C4:BF4,G154,C40:BF40))</f>
        <v>0</v>
      </c>
      <c r="H189" s="2">
        <f>IF(H154="","",SUMIF(C4:BF4,H154,C40:BF40))</f>
        <v>0</v>
      </c>
      <c r="I189" s="2">
        <f>IF(I154="","",SUMIF(C4:BF4,I154,C40:BF40))</f>
        <v>0</v>
      </c>
      <c r="J189" s="2">
        <f>IF(J154="","",SUMIF(C4:BF4,J154,C40:BF40))</f>
        <v>0</v>
      </c>
      <c r="K189" s="2">
        <f>IF(K154="","",SUMIF(C4:BF4,K154,C40:BF40))</f>
        <v>0</v>
      </c>
      <c r="L189" s="2">
        <f>IF(L154="","",SUMIF(C4:BF4,L154,C40:BF40))</f>
        <v>0</v>
      </c>
      <c r="M189" s="2">
        <f>IF(M154="","",SUMIF(C4:BF4,M154,C40:BF40))</f>
        <v>0</v>
      </c>
      <c r="N189" s="2">
        <f>IF(N154="","",SUMIF(C4:BF4,N154,C40:BF40))</f>
        <v>0</v>
      </c>
      <c r="O189" s="2">
        <f>IF(O154="","",SUMIF(C4:BF4,O154,C40:BF40))</f>
        <v>0</v>
      </c>
      <c r="P189" s="2">
        <f>IF(P154="","",SUMIF(C4:BF4,P154,C40:BF40))</f>
        <v>0</v>
      </c>
      <c r="Q189" s="2">
        <f>IF(Q154="","",SUMIF(C4:BF4,Q154,C40:BF40))</f>
        <v>0</v>
      </c>
      <c r="R189" s="2">
        <f>IF(R154="","",SUMIF(C4:BF4,R154,C40:BF40))</f>
        <v>0</v>
      </c>
      <c r="S189" s="2">
        <f>IF(S154="","",SUMIF(C4:BF4,S154,C40:BF40))</f>
        <v>0</v>
      </c>
      <c r="T189" s="2">
        <f>IF(T154="","",SUMIF(C4:BF4,T154,C40:BF40))</f>
        <v>0</v>
      </c>
      <c r="U189" s="2">
        <f>IF(U154="","",SUMIF(C4:BF4,U154,C40:BF40))</f>
        <v>0</v>
      </c>
      <c r="V189" s="2">
        <f>IF(V154="","",SUMIF(C4:BF4,V154,C40:BF40))</f>
        <v>0</v>
      </c>
      <c r="W189" s="2" t="str">
        <f>IF(W154="","",SUMIF(C4:BF4,W154,C40:BF40))</f>
        <v/>
      </c>
      <c r="X189" s="2" t="str">
        <f>IF(X154="","",SUMIF(C4:BF4,X154,C40:BF40))</f>
        <v/>
      </c>
      <c r="Y189" s="2" t="str">
        <f>IF(Y154="","",SUMIF(C4:BF4,Y154,C40:BF40))</f>
        <v/>
      </c>
      <c r="Z189" s="2" t="str">
        <f>IF(Z154="","",SUMIF(C4:BF4,Z154,C40:BF40))</f>
        <v/>
      </c>
      <c r="AA189" s="2" t="str">
        <f>IF(AA154="","",SUMIF(C4:BF4,AA154,C40:BF40))</f>
        <v/>
      </c>
      <c r="AB189" s="2" t="str">
        <f>IF(AB154="","",SUMIF(C4:BF4,AB154,C40:BF40))</f>
        <v/>
      </c>
      <c r="AC189" s="2" t="str">
        <f>IF(AC154="","",SUMIF(C4:BF4,AC154,C40:BF40))</f>
        <v/>
      </c>
      <c r="AD189" s="2" t="str">
        <f>IF(AD154="","",SUMIF(C4:BF4,AD154,C40:BF40))</f>
        <v/>
      </c>
      <c r="AE189" s="2" t="str">
        <f>IF(AE154="","",SUMIF(C4:BF4,AE154,C40:BF40))</f>
        <v/>
      </c>
      <c r="AF189" s="2" t="str">
        <f>IF(AF154="","",SUMIF(C4:BF4,AF154,C40:BF40))</f>
        <v/>
      </c>
      <c r="AG189" s="2" t="str">
        <f>IF(AG154="","",SUMIF(C4:BF4,AG154,C40:BF40))</f>
        <v/>
      </c>
      <c r="AH189" s="2" t="str">
        <f>IF(AH154="","",SUMIF(C4:BF4,AH154,C40:BF40))</f>
        <v/>
      </c>
      <c r="AI189" s="2" t="str">
        <f>IF(AI154="","",SUMIF(C4:BF4,AI154,C40:BF40))</f>
        <v/>
      </c>
      <c r="AJ189" s="2" t="str">
        <f>IF(AJ154="","",SUMIF(C4:BF4,AJ154,C40:BF40))</f>
        <v/>
      </c>
      <c r="AK189" s="2" t="str">
        <f>IF(AK154="","",SUMIF(C4:BF4,AK154,C40:BF40))</f>
        <v/>
      </c>
      <c r="AL189" s="2" t="str">
        <f>IF(AL154="","",SUMIF(C4:BF4,AL154,C40:BF40))</f>
        <v/>
      </c>
      <c r="AM189" s="2" t="str">
        <f>IF(AM154="","",SUMIF(C4:BF4,AM154,C40:BF40))</f>
        <v/>
      </c>
      <c r="AN189" s="2" t="str">
        <f>IF(AN154="","",SUMIF(C4:BF4,AN154,C40:BF40))</f>
        <v/>
      </c>
      <c r="AO189" s="2" t="str">
        <f>IF(AO154="","",SUMIF(C4:BF4,AO154,C40:BF40))</f>
        <v/>
      </c>
      <c r="AP189" s="2" t="str">
        <f>IF(AP154="","",SUMIF(C4:BF4,AP154,C40:BF40))</f>
        <v/>
      </c>
      <c r="AQ189" s="2" t="str">
        <f>IF(AQ154="","",SUMIF(C4:BF4,AQ154,C40:BF40))</f>
        <v/>
      </c>
      <c r="AR189" s="2" t="str">
        <f>IF(AR154="","",SUMIF(C4:BF4,AR154,C40:BF40))</f>
        <v/>
      </c>
      <c r="AS189" s="2" t="str">
        <f>IF(AS154="","",SUMIF(C4:BF4,AS154,C40:BF40))</f>
        <v/>
      </c>
      <c r="AT189" s="2" t="str">
        <f>IF(AT154="","",SUMIF(C4:BF4,AT154,C40:BF40))</f>
        <v/>
      </c>
      <c r="AU189" s="2" t="str">
        <f>IF(AU154="","",SUMIF(C4:BF4,AU154,C40:BF40))</f>
        <v/>
      </c>
      <c r="AV189" s="2" t="str">
        <f>IF(AV154="","",SUMIF(C4:BF4,AV154,C40:BF40))</f>
        <v/>
      </c>
      <c r="AW189" s="2" t="str">
        <f>IF(AW154="","",SUMIF(C4:BF4,AW154,C40:BF40))</f>
        <v/>
      </c>
      <c r="AX189" s="2" t="str">
        <f>IF(AX154="","",SUMIF(C4:BF4,AX154,C40:BF40))</f>
        <v/>
      </c>
      <c r="AY189" s="2" t="str">
        <f>IF(AY154="","",SUMIF(C4:BF4,AY154,C40:BF40))</f>
        <v/>
      </c>
      <c r="AZ189" s="2" t="str">
        <f>IF(AZ154="","",SUMIF(C4:BF4,AZ154,C40:BF40))</f>
        <v/>
      </c>
      <c r="BA189" s="2" t="str">
        <f>IF(BA154="","",SUMIF(C4:BF4,BA154,C40:BF40))</f>
        <v/>
      </c>
      <c r="BB189" s="2" t="str">
        <f>IF(BB154="","",SUMIF(C4:BF4,BB154,C40:BF40))</f>
        <v/>
      </c>
      <c r="BC189" s="2" t="str">
        <f>IF(BC154="","",SUMIF(C4:BF4,BC154,C40:BF40))</f>
        <v/>
      </c>
      <c r="BD189" s="2" t="str">
        <f>IF(BD154="","",SUMIF(C4:BF4,BD154,C40:BF40))</f>
        <v/>
      </c>
      <c r="BE189" s="2" t="str">
        <f>IF(BE154="","",SUMIF(C4:BF4,BE154,C40:BF40))</f>
        <v/>
      </c>
      <c r="BF189" s="4" t="str">
        <f>IF(BF154="","",SUMIF(C4:BF4,BF154,C40:BF40))</f>
        <v/>
      </c>
    </row>
    <row r="190" spans="1:58">
      <c r="A190" s="18">
        <f t="shared" si="13"/>
        <v>46328</v>
      </c>
      <c r="B190" s="2" t="str">
        <f t="shared" si="13"/>
        <v>Nov 2</v>
      </c>
      <c r="C190" s="2">
        <f>IF(C154="","",SUMIF(C4:BF4,C154,C41:BF41))</f>
        <v>0</v>
      </c>
      <c r="D190" s="2">
        <f>IF(D154="","",SUMIF(C4:BF4,D154,C41:BF41))</f>
        <v>0</v>
      </c>
      <c r="E190" s="2">
        <f>IF(E154="","",SUMIF(C4:BF4,E154,C41:BF41))</f>
        <v>0</v>
      </c>
      <c r="F190" s="2">
        <f>IF(F154="","",SUMIF(C4:BF4,F154,C41:BF41))</f>
        <v>0</v>
      </c>
      <c r="G190" s="2">
        <f>IF(G154="","",SUMIF(C4:BF4,G154,C41:BF41))</f>
        <v>0</v>
      </c>
      <c r="H190" s="2">
        <f>IF(H154="","",SUMIF(C4:BF4,H154,C41:BF41))</f>
        <v>0</v>
      </c>
      <c r="I190" s="2">
        <f>IF(I154="","",SUMIF(C4:BF4,I154,C41:BF41))</f>
        <v>0</v>
      </c>
      <c r="J190" s="2">
        <f>IF(J154="","",SUMIF(C4:BF4,J154,C41:BF41))</f>
        <v>0</v>
      </c>
      <c r="K190" s="2">
        <f>IF(K154="","",SUMIF(C4:BF4,K154,C41:BF41))</f>
        <v>0</v>
      </c>
      <c r="L190" s="2">
        <f>IF(L154="","",SUMIF(C4:BF4,L154,C41:BF41))</f>
        <v>0</v>
      </c>
      <c r="M190" s="2">
        <f>IF(M154="","",SUMIF(C4:BF4,M154,C41:BF41))</f>
        <v>0</v>
      </c>
      <c r="N190" s="2">
        <f>IF(N154="","",SUMIF(C4:BF4,N154,C41:BF41))</f>
        <v>0</v>
      </c>
      <c r="O190" s="2">
        <f>IF(O154="","",SUMIF(C4:BF4,O154,C41:BF41))</f>
        <v>0</v>
      </c>
      <c r="P190" s="2">
        <f>IF(P154="","",SUMIF(C4:BF4,P154,C41:BF41))</f>
        <v>0</v>
      </c>
      <c r="Q190" s="2">
        <f>IF(Q154="","",SUMIF(C4:BF4,Q154,C41:BF41))</f>
        <v>0</v>
      </c>
      <c r="R190" s="2">
        <f>IF(R154="","",SUMIF(C4:BF4,R154,C41:BF41))</f>
        <v>0</v>
      </c>
      <c r="S190" s="2">
        <f>IF(S154="","",SUMIF(C4:BF4,S154,C41:BF41))</f>
        <v>0</v>
      </c>
      <c r="T190" s="2">
        <f>IF(T154="","",SUMIF(C4:BF4,T154,C41:BF41))</f>
        <v>0</v>
      </c>
      <c r="U190" s="2">
        <f>IF(U154="","",SUMIF(C4:BF4,U154,C41:BF41))</f>
        <v>0</v>
      </c>
      <c r="V190" s="2">
        <f>IF(V154="","",SUMIF(C4:BF4,V154,C41:BF41))</f>
        <v>0</v>
      </c>
      <c r="W190" s="2" t="str">
        <f>IF(W154="","",SUMIF(C4:BF4,W154,C41:BF41))</f>
        <v/>
      </c>
      <c r="X190" s="2" t="str">
        <f>IF(X154="","",SUMIF(C4:BF4,X154,C41:BF41))</f>
        <v/>
      </c>
      <c r="Y190" s="2" t="str">
        <f>IF(Y154="","",SUMIF(C4:BF4,Y154,C41:BF41))</f>
        <v/>
      </c>
      <c r="Z190" s="2" t="str">
        <f>IF(Z154="","",SUMIF(C4:BF4,Z154,C41:BF41))</f>
        <v/>
      </c>
      <c r="AA190" s="2" t="str">
        <f>IF(AA154="","",SUMIF(C4:BF4,AA154,C41:BF41))</f>
        <v/>
      </c>
      <c r="AB190" s="2" t="str">
        <f>IF(AB154="","",SUMIF(C4:BF4,AB154,C41:BF41))</f>
        <v/>
      </c>
      <c r="AC190" s="2" t="str">
        <f>IF(AC154="","",SUMIF(C4:BF4,AC154,C41:BF41))</f>
        <v/>
      </c>
      <c r="AD190" s="2" t="str">
        <f>IF(AD154="","",SUMIF(C4:BF4,AD154,C41:BF41))</f>
        <v/>
      </c>
      <c r="AE190" s="2" t="str">
        <f>IF(AE154="","",SUMIF(C4:BF4,AE154,C41:BF41))</f>
        <v/>
      </c>
      <c r="AF190" s="2" t="str">
        <f>IF(AF154="","",SUMIF(C4:BF4,AF154,C41:BF41))</f>
        <v/>
      </c>
      <c r="AG190" s="2" t="str">
        <f>IF(AG154="","",SUMIF(C4:BF4,AG154,C41:BF41))</f>
        <v/>
      </c>
      <c r="AH190" s="2" t="str">
        <f>IF(AH154="","",SUMIF(C4:BF4,AH154,C41:BF41))</f>
        <v/>
      </c>
      <c r="AI190" s="2" t="str">
        <f>IF(AI154="","",SUMIF(C4:BF4,AI154,C41:BF41))</f>
        <v/>
      </c>
      <c r="AJ190" s="2" t="str">
        <f>IF(AJ154="","",SUMIF(C4:BF4,AJ154,C41:BF41))</f>
        <v/>
      </c>
      <c r="AK190" s="2" t="str">
        <f>IF(AK154="","",SUMIF(C4:BF4,AK154,C41:BF41))</f>
        <v/>
      </c>
      <c r="AL190" s="2" t="str">
        <f>IF(AL154="","",SUMIF(C4:BF4,AL154,C41:BF41))</f>
        <v/>
      </c>
      <c r="AM190" s="2" t="str">
        <f>IF(AM154="","",SUMIF(C4:BF4,AM154,C41:BF41))</f>
        <v/>
      </c>
      <c r="AN190" s="2" t="str">
        <f>IF(AN154="","",SUMIF(C4:BF4,AN154,C41:BF41))</f>
        <v/>
      </c>
      <c r="AO190" s="2" t="str">
        <f>IF(AO154="","",SUMIF(C4:BF4,AO154,C41:BF41))</f>
        <v/>
      </c>
      <c r="AP190" s="2" t="str">
        <f>IF(AP154="","",SUMIF(C4:BF4,AP154,C41:BF41))</f>
        <v/>
      </c>
      <c r="AQ190" s="2" t="str">
        <f>IF(AQ154="","",SUMIF(C4:BF4,AQ154,C41:BF41))</f>
        <v/>
      </c>
      <c r="AR190" s="2" t="str">
        <f>IF(AR154="","",SUMIF(C4:BF4,AR154,C41:BF41))</f>
        <v/>
      </c>
      <c r="AS190" s="2" t="str">
        <f>IF(AS154="","",SUMIF(C4:BF4,AS154,C41:BF41))</f>
        <v/>
      </c>
      <c r="AT190" s="2" t="str">
        <f>IF(AT154="","",SUMIF(C4:BF4,AT154,C41:BF41))</f>
        <v/>
      </c>
      <c r="AU190" s="2" t="str">
        <f>IF(AU154="","",SUMIF(C4:BF4,AU154,C41:BF41))</f>
        <v/>
      </c>
      <c r="AV190" s="2" t="str">
        <f>IF(AV154="","",SUMIF(C4:BF4,AV154,C41:BF41))</f>
        <v/>
      </c>
      <c r="AW190" s="2" t="str">
        <f>IF(AW154="","",SUMIF(C4:BF4,AW154,C41:BF41))</f>
        <v/>
      </c>
      <c r="AX190" s="2" t="str">
        <f>IF(AX154="","",SUMIF(C4:BF4,AX154,C41:BF41))</f>
        <v/>
      </c>
      <c r="AY190" s="2" t="str">
        <f>IF(AY154="","",SUMIF(C4:BF4,AY154,C41:BF41))</f>
        <v/>
      </c>
      <c r="AZ190" s="2" t="str">
        <f>IF(AZ154="","",SUMIF(C4:BF4,AZ154,C41:BF41))</f>
        <v/>
      </c>
      <c r="BA190" s="2" t="str">
        <f>IF(BA154="","",SUMIF(C4:BF4,BA154,C41:BF41))</f>
        <v/>
      </c>
      <c r="BB190" s="2" t="str">
        <f>IF(BB154="","",SUMIF(C4:BF4,BB154,C41:BF41))</f>
        <v/>
      </c>
      <c r="BC190" s="2" t="str">
        <f>IF(BC154="","",SUMIF(C4:BF4,BC154,C41:BF41))</f>
        <v/>
      </c>
      <c r="BD190" s="2" t="str">
        <f>IF(BD154="","",SUMIF(C4:BF4,BD154,C41:BF41))</f>
        <v/>
      </c>
      <c r="BE190" s="2" t="str">
        <f>IF(BE154="","",SUMIF(C4:BF4,BE154,C41:BF41))</f>
        <v/>
      </c>
      <c r="BF190" s="4" t="str">
        <f>IF(BF154="","",SUMIF(C4:BF4,BF154,C41:BF41))</f>
        <v/>
      </c>
    </row>
    <row r="191" spans="1:58">
      <c r="A191" s="18">
        <f t="shared" si="13"/>
        <v>46335</v>
      </c>
      <c r="B191" s="2" t="str">
        <f t="shared" si="13"/>
        <v>Nov 9</v>
      </c>
      <c r="C191" s="2">
        <f>IF(C154="","",SUMIF(C4:BF4,C154,C42:BF42))</f>
        <v>0</v>
      </c>
      <c r="D191" s="2">
        <f>IF(D154="","",SUMIF(C4:BF4,D154,C42:BF42))</f>
        <v>0</v>
      </c>
      <c r="E191" s="2">
        <f>IF(E154="","",SUMIF(C4:BF4,E154,C42:BF42))</f>
        <v>0</v>
      </c>
      <c r="F191" s="2">
        <f>IF(F154="","",SUMIF(C4:BF4,F154,C42:BF42))</f>
        <v>0</v>
      </c>
      <c r="G191" s="2">
        <f>IF(G154="","",SUMIF(C4:BF4,G154,C42:BF42))</f>
        <v>0</v>
      </c>
      <c r="H191" s="2">
        <f>IF(H154="","",SUMIF(C4:BF4,H154,C42:BF42))</f>
        <v>0</v>
      </c>
      <c r="I191" s="2">
        <f>IF(I154="","",SUMIF(C4:BF4,I154,C42:BF42))</f>
        <v>0</v>
      </c>
      <c r="J191" s="2">
        <f>IF(J154="","",SUMIF(C4:BF4,J154,C42:BF42))</f>
        <v>0</v>
      </c>
      <c r="K191" s="2">
        <f>IF(K154="","",SUMIF(C4:BF4,K154,C42:BF42))</f>
        <v>0</v>
      </c>
      <c r="L191" s="2">
        <f>IF(L154="","",SUMIF(C4:BF4,L154,C42:BF42))</f>
        <v>0</v>
      </c>
      <c r="M191" s="2">
        <f>IF(M154="","",SUMIF(C4:BF4,M154,C42:BF42))</f>
        <v>0</v>
      </c>
      <c r="N191" s="2">
        <f>IF(N154="","",SUMIF(C4:BF4,N154,C42:BF42))</f>
        <v>0</v>
      </c>
      <c r="O191" s="2">
        <f>IF(O154="","",SUMIF(C4:BF4,O154,C42:BF42))</f>
        <v>0</v>
      </c>
      <c r="P191" s="2">
        <f>IF(P154="","",SUMIF(C4:BF4,P154,C42:BF42))</f>
        <v>0</v>
      </c>
      <c r="Q191" s="2">
        <f>IF(Q154="","",SUMIF(C4:BF4,Q154,C42:BF42))</f>
        <v>0</v>
      </c>
      <c r="R191" s="2">
        <f>IF(R154="","",SUMIF(C4:BF4,R154,C42:BF42))</f>
        <v>0</v>
      </c>
      <c r="S191" s="2">
        <f>IF(S154="","",SUMIF(C4:BF4,S154,C42:BF42))</f>
        <v>0</v>
      </c>
      <c r="T191" s="2">
        <f>IF(T154="","",SUMIF(C4:BF4,T154,C42:BF42))</f>
        <v>0</v>
      </c>
      <c r="U191" s="2">
        <f>IF(U154="","",SUMIF(C4:BF4,U154,C42:BF42))</f>
        <v>0</v>
      </c>
      <c r="V191" s="2">
        <f>IF(V154="","",SUMIF(C4:BF4,V154,C42:BF42))</f>
        <v>0</v>
      </c>
      <c r="W191" s="2" t="str">
        <f>IF(W154="","",SUMIF(C4:BF4,W154,C42:BF42))</f>
        <v/>
      </c>
      <c r="X191" s="2" t="str">
        <f>IF(X154="","",SUMIF(C4:BF4,X154,C42:BF42))</f>
        <v/>
      </c>
      <c r="Y191" s="2" t="str">
        <f>IF(Y154="","",SUMIF(C4:BF4,Y154,C42:BF42))</f>
        <v/>
      </c>
      <c r="Z191" s="2" t="str">
        <f>IF(Z154="","",SUMIF(C4:BF4,Z154,C42:BF42))</f>
        <v/>
      </c>
      <c r="AA191" s="2" t="str">
        <f>IF(AA154="","",SUMIF(C4:BF4,AA154,C42:BF42))</f>
        <v/>
      </c>
      <c r="AB191" s="2" t="str">
        <f>IF(AB154="","",SUMIF(C4:BF4,AB154,C42:BF42))</f>
        <v/>
      </c>
      <c r="AC191" s="2" t="str">
        <f>IF(AC154="","",SUMIF(C4:BF4,AC154,C42:BF42))</f>
        <v/>
      </c>
      <c r="AD191" s="2" t="str">
        <f>IF(AD154="","",SUMIF(C4:BF4,AD154,C42:BF42))</f>
        <v/>
      </c>
      <c r="AE191" s="2" t="str">
        <f>IF(AE154="","",SUMIF(C4:BF4,AE154,C42:BF42))</f>
        <v/>
      </c>
      <c r="AF191" s="2" t="str">
        <f>IF(AF154="","",SUMIF(C4:BF4,AF154,C42:BF42))</f>
        <v/>
      </c>
      <c r="AG191" s="2" t="str">
        <f>IF(AG154="","",SUMIF(C4:BF4,AG154,C42:BF42))</f>
        <v/>
      </c>
      <c r="AH191" s="2" t="str">
        <f>IF(AH154="","",SUMIF(C4:BF4,AH154,C42:BF42))</f>
        <v/>
      </c>
      <c r="AI191" s="2" t="str">
        <f>IF(AI154="","",SUMIF(C4:BF4,AI154,C42:BF42))</f>
        <v/>
      </c>
      <c r="AJ191" s="2" t="str">
        <f>IF(AJ154="","",SUMIF(C4:BF4,AJ154,C42:BF42))</f>
        <v/>
      </c>
      <c r="AK191" s="2" t="str">
        <f>IF(AK154="","",SUMIF(C4:BF4,AK154,C42:BF42))</f>
        <v/>
      </c>
      <c r="AL191" s="2" t="str">
        <f>IF(AL154="","",SUMIF(C4:BF4,AL154,C42:BF42))</f>
        <v/>
      </c>
      <c r="AM191" s="2" t="str">
        <f>IF(AM154="","",SUMIF(C4:BF4,AM154,C42:BF42))</f>
        <v/>
      </c>
      <c r="AN191" s="2" t="str">
        <f>IF(AN154="","",SUMIF(C4:BF4,AN154,C42:BF42))</f>
        <v/>
      </c>
      <c r="AO191" s="2" t="str">
        <f>IF(AO154="","",SUMIF(C4:BF4,AO154,C42:BF42))</f>
        <v/>
      </c>
      <c r="AP191" s="2" t="str">
        <f>IF(AP154="","",SUMIF(C4:BF4,AP154,C42:BF42))</f>
        <v/>
      </c>
      <c r="AQ191" s="2" t="str">
        <f>IF(AQ154="","",SUMIF(C4:BF4,AQ154,C42:BF42))</f>
        <v/>
      </c>
      <c r="AR191" s="2" t="str">
        <f>IF(AR154="","",SUMIF(C4:BF4,AR154,C42:BF42))</f>
        <v/>
      </c>
      <c r="AS191" s="2" t="str">
        <f>IF(AS154="","",SUMIF(C4:BF4,AS154,C42:BF42))</f>
        <v/>
      </c>
      <c r="AT191" s="2" t="str">
        <f>IF(AT154="","",SUMIF(C4:BF4,AT154,C42:BF42))</f>
        <v/>
      </c>
      <c r="AU191" s="2" t="str">
        <f>IF(AU154="","",SUMIF(C4:BF4,AU154,C42:BF42))</f>
        <v/>
      </c>
      <c r="AV191" s="2" t="str">
        <f>IF(AV154="","",SUMIF(C4:BF4,AV154,C42:BF42))</f>
        <v/>
      </c>
      <c r="AW191" s="2" t="str">
        <f>IF(AW154="","",SUMIF(C4:BF4,AW154,C42:BF42))</f>
        <v/>
      </c>
      <c r="AX191" s="2" t="str">
        <f>IF(AX154="","",SUMIF(C4:BF4,AX154,C42:BF42))</f>
        <v/>
      </c>
      <c r="AY191" s="2" t="str">
        <f>IF(AY154="","",SUMIF(C4:BF4,AY154,C42:BF42))</f>
        <v/>
      </c>
      <c r="AZ191" s="2" t="str">
        <f>IF(AZ154="","",SUMIF(C4:BF4,AZ154,C42:BF42))</f>
        <v/>
      </c>
      <c r="BA191" s="2" t="str">
        <f>IF(BA154="","",SUMIF(C4:BF4,BA154,C42:BF42))</f>
        <v/>
      </c>
      <c r="BB191" s="2" t="str">
        <f>IF(BB154="","",SUMIF(C4:BF4,BB154,C42:BF42))</f>
        <v/>
      </c>
      <c r="BC191" s="2" t="str">
        <f>IF(BC154="","",SUMIF(C4:BF4,BC154,C42:BF42))</f>
        <v/>
      </c>
      <c r="BD191" s="2" t="str">
        <f>IF(BD154="","",SUMIF(C4:BF4,BD154,C42:BF42))</f>
        <v/>
      </c>
      <c r="BE191" s="2" t="str">
        <f>IF(BE154="","",SUMIF(C4:BF4,BE154,C42:BF42))</f>
        <v/>
      </c>
      <c r="BF191" s="4" t="str">
        <f>IF(BF154="","",SUMIF(C4:BF4,BF154,C42:BF42))</f>
        <v/>
      </c>
    </row>
    <row r="192" spans="1:58">
      <c r="A192" s="18">
        <f t="shared" si="13"/>
        <v>46342</v>
      </c>
      <c r="B192" s="2" t="str">
        <f t="shared" si="13"/>
        <v>Nov 16</v>
      </c>
      <c r="C192" s="2">
        <f>IF(C154="","",SUMIF(C4:BF4,C154,C43:BF43))</f>
        <v>0</v>
      </c>
      <c r="D192" s="2">
        <f>IF(D154="","",SUMIF(C4:BF4,D154,C43:BF43))</f>
        <v>0</v>
      </c>
      <c r="E192" s="2">
        <f>IF(E154="","",SUMIF(C4:BF4,E154,C43:BF43))</f>
        <v>0</v>
      </c>
      <c r="F192" s="2">
        <f>IF(F154="","",SUMIF(C4:BF4,F154,C43:BF43))</f>
        <v>0</v>
      </c>
      <c r="G192" s="2">
        <f>IF(G154="","",SUMIF(C4:BF4,G154,C43:BF43))</f>
        <v>0</v>
      </c>
      <c r="H192" s="2">
        <f>IF(H154="","",SUMIF(C4:BF4,H154,C43:BF43))</f>
        <v>0</v>
      </c>
      <c r="I192" s="2">
        <f>IF(I154="","",SUMIF(C4:BF4,I154,C43:BF43))</f>
        <v>0</v>
      </c>
      <c r="J192" s="2">
        <f>IF(J154="","",SUMIF(C4:BF4,J154,C43:BF43))</f>
        <v>0</v>
      </c>
      <c r="K192" s="2">
        <f>IF(K154="","",SUMIF(C4:BF4,K154,C43:BF43))</f>
        <v>0</v>
      </c>
      <c r="L192" s="2">
        <f>IF(L154="","",SUMIF(C4:BF4,L154,C43:BF43))</f>
        <v>0</v>
      </c>
      <c r="M192" s="2">
        <f>IF(M154="","",SUMIF(C4:BF4,M154,C43:BF43))</f>
        <v>0</v>
      </c>
      <c r="N192" s="2">
        <f>IF(N154="","",SUMIF(C4:BF4,N154,C43:BF43))</f>
        <v>0</v>
      </c>
      <c r="O192" s="2">
        <f>IF(O154="","",SUMIF(C4:BF4,O154,C43:BF43))</f>
        <v>0</v>
      </c>
      <c r="P192" s="2">
        <f>IF(P154="","",SUMIF(C4:BF4,P154,C43:BF43))</f>
        <v>0</v>
      </c>
      <c r="Q192" s="2">
        <f>IF(Q154="","",SUMIF(C4:BF4,Q154,C43:BF43))</f>
        <v>0</v>
      </c>
      <c r="R192" s="2">
        <f>IF(R154="","",SUMIF(C4:BF4,R154,C43:BF43))</f>
        <v>0</v>
      </c>
      <c r="S192" s="2">
        <f>IF(S154="","",SUMIF(C4:BF4,S154,C43:BF43))</f>
        <v>0</v>
      </c>
      <c r="T192" s="2">
        <f>IF(T154="","",SUMIF(C4:BF4,T154,C43:BF43))</f>
        <v>0</v>
      </c>
      <c r="U192" s="2">
        <f>IF(U154="","",SUMIF(C4:BF4,U154,C43:BF43))</f>
        <v>0</v>
      </c>
      <c r="V192" s="2">
        <f>IF(V154="","",SUMIF(C4:BF4,V154,C43:BF43))</f>
        <v>0</v>
      </c>
      <c r="W192" s="2" t="str">
        <f>IF(W154="","",SUMIF(C4:BF4,W154,C43:BF43))</f>
        <v/>
      </c>
      <c r="X192" s="2" t="str">
        <f>IF(X154="","",SUMIF(C4:BF4,X154,C43:BF43))</f>
        <v/>
      </c>
      <c r="Y192" s="2" t="str">
        <f>IF(Y154="","",SUMIF(C4:BF4,Y154,C43:BF43))</f>
        <v/>
      </c>
      <c r="Z192" s="2" t="str">
        <f>IF(Z154="","",SUMIF(C4:BF4,Z154,C43:BF43))</f>
        <v/>
      </c>
      <c r="AA192" s="2" t="str">
        <f>IF(AA154="","",SUMIF(C4:BF4,AA154,C43:BF43))</f>
        <v/>
      </c>
      <c r="AB192" s="2" t="str">
        <f>IF(AB154="","",SUMIF(C4:BF4,AB154,C43:BF43))</f>
        <v/>
      </c>
      <c r="AC192" s="2" t="str">
        <f>IF(AC154="","",SUMIF(C4:BF4,AC154,C43:BF43))</f>
        <v/>
      </c>
      <c r="AD192" s="2" t="str">
        <f>IF(AD154="","",SUMIF(C4:BF4,AD154,C43:BF43))</f>
        <v/>
      </c>
      <c r="AE192" s="2" t="str">
        <f>IF(AE154="","",SUMIF(C4:BF4,AE154,C43:BF43))</f>
        <v/>
      </c>
      <c r="AF192" s="2" t="str">
        <f>IF(AF154="","",SUMIF(C4:BF4,AF154,C43:BF43))</f>
        <v/>
      </c>
      <c r="AG192" s="2" t="str">
        <f>IF(AG154="","",SUMIF(C4:BF4,AG154,C43:BF43))</f>
        <v/>
      </c>
      <c r="AH192" s="2" t="str">
        <f>IF(AH154="","",SUMIF(C4:BF4,AH154,C43:BF43))</f>
        <v/>
      </c>
      <c r="AI192" s="2" t="str">
        <f>IF(AI154="","",SUMIF(C4:BF4,AI154,C43:BF43))</f>
        <v/>
      </c>
      <c r="AJ192" s="2" t="str">
        <f>IF(AJ154="","",SUMIF(C4:BF4,AJ154,C43:BF43))</f>
        <v/>
      </c>
      <c r="AK192" s="2" t="str">
        <f>IF(AK154="","",SUMIF(C4:BF4,AK154,C43:BF43))</f>
        <v/>
      </c>
      <c r="AL192" s="2" t="str">
        <f>IF(AL154="","",SUMIF(C4:BF4,AL154,C43:BF43))</f>
        <v/>
      </c>
      <c r="AM192" s="2" t="str">
        <f>IF(AM154="","",SUMIF(C4:BF4,AM154,C43:BF43))</f>
        <v/>
      </c>
      <c r="AN192" s="2" t="str">
        <f>IF(AN154="","",SUMIF(C4:BF4,AN154,C43:BF43))</f>
        <v/>
      </c>
      <c r="AO192" s="2" t="str">
        <f>IF(AO154="","",SUMIF(C4:BF4,AO154,C43:BF43))</f>
        <v/>
      </c>
      <c r="AP192" s="2" t="str">
        <f>IF(AP154="","",SUMIF(C4:BF4,AP154,C43:BF43))</f>
        <v/>
      </c>
      <c r="AQ192" s="2" t="str">
        <f>IF(AQ154="","",SUMIF(C4:BF4,AQ154,C43:BF43))</f>
        <v/>
      </c>
      <c r="AR192" s="2" t="str">
        <f>IF(AR154="","",SUMIF(C4:BF4,AR154,C43:BF43))</f>
        <v/>
      </c>
      <c r="AS192" s="2" t="str">
        <f>IF(AS154="","",SUMIF(C4:BF4,AS154,C43:BF43))</f>
        <v/>
      </c>
      <c r="AT192" s="2" t="str">
        <f>IF(AT154="","",SUMIF(C4:BF4,AT154,C43:BF43))</f>
        <v/>
      </c>
      <c r="AU192" s="2" t="str">
        <f>IF(AU154="","",SUMIF(C4:BF4,AU154,C43:BF43))</f>
        <v/>
      </c>
      <c r="AV192" s="2" t="str">
        <f>IF(AV154="","",SUMIF(C4:BF4,AV154,C43:BF43))</f>
        <v/>
      </c>
      <c r="AW192" s="2" t="str">
        <f>IF(AW154="","",SUMIF(C4:BF4,AW154,C43:BF43))</f>
        <v/>
      </c>
      <c r="AX192" s="2" t="str">
        <f>IF(AX154="","",SUMIF(C4:BF4,AX154,C43:BF43))</f>
        <v/>
      </c>
      <c r="AY192" s="2" t="str">
        <f>IF(AY154="","",SUMIF(C4:BF4,AY154,C43:BF43))</f>
        <v/>
      </c>
      <c r="AZ192" s="2" t="str">
        <f>IF(AZ154="","",SUMIF(C4:BF4,AZ154,C43:BF43))</f>
        <v/>
      </c>
      <c r="BA192" s="2" t="str">
        <f>IF(BA154="","",SUMIF(C4:BF4,BA154,C43:BF43))</f>
        <v/>
      </c>
      <c r="BB192" s="2" t="str">
        <f>IF(BB154="","",SUMIF(C4:BF4,BB154,C43:BF43))</f>
        <v/>
      </c>
      <c r="BC192" s="2" t="str">
        <f>IF(BC154="","",SUMIF(C4:BF4,BC154,C43:BF43))</f>
        <v/>
      </c>
      <c r="BD192" s="2" t="str">
        <f>IF(BD154="","",SUMIF(C4:BF4,BD154,C43:BF43))</f>
        <v/>
      </c>
      <c r="BE192" s="2" t="str">
        <f>IF(BE154="","",SUMIF(C4:BF4,BE154,C43:BF43))</f>
        <v/>
      </c>
      <c r="BF192" s="4" t="str">
        <f>IF(BF154="","",SUMIF(C4:BF4,BF154,C43:BF43))</f>
        <v/>
      </c>
    </row>
    <row r="193" spans="1:58">
      <c r="A193" s="18">
        <f t="shared" si="13"/>
        <v>46349</v>
      </c>
      <c r="B193" s="2" t="str">
        <f t="shared" si="13"/>
        <v>Nov 23</v>
      </c>
      <c r="C193" s="2">
        <f>IF(C154="","",SUMIF(C4:BF4,C154,C44:BF44))</f>
        <v>0</v>
      </c>
      <c r="D193" s="2">
        <f>IF(D154="","",SUMIF(C4:BF4,D154,C44:BF44))</f>
        <v>0</v>
      </c>
      <c r="E193" s="2">
        <f>IF(E154="","",SUMIF(C4:BF4,E154,C44:BF44))</f>
        <v>0</v>
      </c>
      <c r="F193" s="2">
        <f>IF(F154="","",SUMIF(C4:BF4,F154,C44:BF44))</f>
        <v>0</v>
      </c>
      <c r="G193" s="2">
        <f>IF(G154="","",SUMIF(C4:BF4,G154,C44:BF44))</f>
        <v>0</v>
      </c>
      <c r="H193" s="2">
        <f>IF(H154="","",SUMIF(C4:BF4,H154,C44:BF44))</f>
        <v>0</v>
      </c>
      <c r="I193" s="2">
        <f>IF(I154="","",SUMIF(C4:BF4,I154,C44:BF44))</f>
        <v>0</v>
      </c>
      <c r="J193" s="2">
        <f>IF(J154="","",SUMIF(C4:BF4,J154,C44:BF44))</f>
        <v>0</v>
      </c>
      <c r="K193" s="2">
        <f>IF(K154="","",SUMIF(C4:BF4,K154,C44:BF44))</f>
        <v>0</v>
      </c>
      <c r="L193" s="2">
        <f>IF(L154="","",SUMIF(C4:BF4,L154,C44:BF44))</f>
        <v>0</v>
      </c>
      <c r="M193" s="2">
        <f>IF(M154="","",SUMIF(C4:BF4,M154,C44:BF44))</f>
        <v>0</v>
      </c>
      <c r="N193" s="2">
        <f>IF(N154="","",SUMIF(C4:BF4,N154,C44:BF44))</f>
        <v>0</v>
      </c>
      <c r="O193" s="2">
        <f>IF(O154="","",SUMIF(C4:BF4,O154,C44:BF44))</f>
        <v>0</v>
      </c>
      <c r="P193" s="2">
        <f>IF(P154="","",SUMIF(C4:BF4,P154,C44:BF44))</f>
        <v>0</v>
      </c>
      <c r="Q193" s="2">
        <f>IF(Q154="","",SUMIF(C4:BF4,Q154,C44:BF44))</f>
        <v>0</v>
      </c>
      <c r="R193" s="2">
        <f>IF(R154="","",SUMIF(C4:BF4,R154,C44:BF44))</f>
        <v>0</v>
      </c>
      <c r="S193" s="2">
        <f>IF(S154="","",SUMIF(C4:BF4,S154,C44:BF44))</f>
        <v>0</v>
      </c>
      <c r="T193" s="2">
        <f>IF(T154="","",SUMIF(C4:BF4,T154,C44:BF44))</f>
        <v>0</v>
      </c>
      <c r="U193" s="2">
        <f>IF(U154="","",SUMIF(C4:BF4,U154,C44:BF44))</f>
        <v>0</v>
      </c>
      <c r="V193" s="2">
        <f>IF(V154="","",SUMIF(C4:BF4,V154,C44:BF44))</f>
        <v>0</v>
      </c>
      <c r="W193" s="2" t="str">
        <f>IF(W154="","",SUMIF(C4:BF4,W154,C44:BF44))</f>
        <v/>
      </c>
      <c r="X193" s="2" t="str">
        <f>IF(X154="","",SUMIF(C4:BF4,X154,C44:BF44))</f>
        <v/>
      </c>
      <c r="Y193" s="2" t="str">
        <f>IF(Y154="","",SUMIF(C4:BF4,Y154,C44:BF44))</f>
        <v/>
      </c>
      <c r="Z193" s="2" t="str">
        <f>IF(Z154="","",SUMIF(C4:BF4,Z154,C44:BF44))</f>
        <v/>
      </c>
      <c r="AA193" s="2" t="str">
        <f>IF(AA154="","",SUMIF(C4:BF4,AA154,C44:BF44))</f>
        <v/>
      </c>
      <c r="AB193" s="2" t="str">
        <f>IF(AB154="","",SUMIF(C4:BF4,AB154,C44:BF44))</f>
        <v/>
      </c>
      <c r="AC193" s="2" t="str">
        <f>IF(AC154="","",SUMIF(C4:BF4,AC154,C44:BF44))</f>
        <v/>
      </c>
      <c r="AD193" s="2" t="str">
        <f>IF(AD154="","",SUMIF(C4:BF4,AD154,C44:BF44))</f>
        <v/>
      </c>
      <c r="AE193" s="2" t="str">
        <f>IF(AE154="","",SUMIF(C4:BF4,AE154,C44:BF44))</f>
        <v/>
      </c>
      <c r="AF193" s="2" t="str">
        <f>IF(AF154="","",SUMIF(C4:BF4,AF154,C44:BF44))</f>
        <v/>
      </c>
      <c r="AG193" s="2" t="str">
        <f>IF(AG154="","",SUMIF(C4:BF4,AG154,C44:BF44))</f>
        <v/>
      </c>
      <c r="AH193" s="2" t="str">
        <f>IF(AH154="","",SUMIF(C4:BF4,AH154,C44:BF44))</f>
        <v/>
      </c>
      <c r="AI193" s="2" t="str">
        <f>IF(AI154="","",SUMIF(C4:BF4,AI154,C44:BF44))</f>
        <v/>
      </c>
      <c r="AJ193" s="2" t="str">
        <f>IF(AJ154="","",SUMIF(C4:BF4,AJ154,C44:BF44))</f>
        <v/>
      </c>
      <c r="AK193" s="2" t="str">
        <f>IF(AK154="","",SUMIF(C4:BF4,AK154,C44:BF44))</f>
        <v/>
      </c>
      <c r="AL193" s="2" t="str">
        <f>IF(AL154="","",SUMIF(C4:BF4,AL154,C44:BF44))</f>
        <v/>
      </c>
      <c r="AM193" s="2" t="str">
        <f>IF(AM154="","",SUMIF(C4:BF4,AM154,C44:BF44))</f>
        <v/>
      </c>
      <c r="AN193" s="2" t="str">
        <f>IF(AN154="","",SUMIF(C4:BF4,AN154,C44:BF44))</f>
        <v/>
      </c>
      <c r="AO193" s="2" t="str">
        <f>IF(AO154="","",SUMIF(C4:BF4,AO154,C44:BF44))</f>
        <v/>
      </c>
      <c r="AP193" s="2" t="str">
        <f>IF(AP154="","",SUMIF(C4:BF4,AP154,C44:BF44))</f>
        <v/>
      </c>
      <c r="AQ193" s="2" t="str">
        <f>IF(AQ154="","",SUMIF(C4:BF4,AQ154,C44:BF44))</f>
        <v/>
      </c>
      <c r="AR193" s="2" t="str">
        <f>IF(AR154="","",SUMIF(C4:BF4,AR154,C44:BF44))</f>
        <v/>
      </c>
      <c r="AS193" s="2" t="str">
        <f>IF(AS154="","",SUMIF(C4:BF4,AS154,C44:BF44))</f>
        <v/>
      </c>
      <c r="AT193" s="2" t="str">
        <f>IF(AT154="","",SUMIF(C4:BF4,AT154,C44:BF44))</f>
        <v/>
      </c>
      <c r="AU193" s="2" t="str">
        <f>IF(AU154="","",SUMIF(C4:BF4,AU154,C44:BF44))</f>
        <v/>
      </c>
      <c r="AV193" s="2" t="str">
        <f>IF(AV154="","",SUMIF(C4:BF4,AV154,C44:BF44))</f>
        <v/>
      </c>
      <c r="AW193" s="2" t="str">
        <f>IF(AW154="","",SUMIF(C4:BF4,AW154,C44:BF44))</f>
        <v/>
      </c>
      <c r="AX193" s="2" t="str">
        <f>IF(AX154="","",SUMIF(C4:BF4,AX154,C44:BF44))</f>
        <v/>
      </c>
      <c r="AY193" s="2" t="str">
        <f>IF(AY154="","",SUMIF(C4:BF4,AY154,C44:BF44))</f>
        <v/>
      </c>
      <c r="AZ193" s="2" t="str">
        <f>IF(AZ154="","",SUMIF(C4:BF4,AZ154,C44:BF44))</f>
        <v/>
      </c>
      <c r="BA193" s="2" t="str">
        <f>IF(BA154="","",SUMIF(C4:BF4,BA154,C44:BF44))</f>
        <v/>
      </c>
      <c r="BB193" s="2" t="str">
        <f>IF(BB154="","",SUMIF(C4:BF4,BB154,C44:BF44))</f>
        <v/>
      </c>
      <c r="BC193" s="2" t="str">
        <f>IF(BC154="","",SUMIF(C4:BF4,BC154,C44:BF44))</f>
        <v/>
      </c>
      <c r="BD193" s="2" t="str">
        <f>IF(BD154="","",SUMIF(C4:BF4,BD154,C44:BF44))</f>
        <v/>
      </c>
      <c r="BE193" s="2" t="str">
        <f>IF(BE154="","",SUMIF(C4:BF4,BE154,C44:BF44))</f>
        <v/>
      </c>
      <c r="BF193" s="4" t="str">
        <f>IF(BF154="","",SUMIF(C4:BF4,BF154,C44:BF44))</f>
        <v/>
      </c>
    </row>
    <row r="194" spans="1:58">
      <c r="A194" s="18">
        <f t="shared" si="13"/>
        <v>46356</v>
      </c>
      <c r="B194" s="2" t="str">
        <f t="shared" si="13"/>
        <v>Nov 30</v>
      </c>
      <c r="C194" s="2">
        <f>IF(C154="","",SUMIF(C4:BF4,C154,C45:BF45))</f>
        <v>0</v>
      </c>
      <c r="D194" s="2">
        <f>IF(D154="","",SUMIF(C4:BF4,D154,C45:BF45))</f>
        <v>0</v>
      </c>
      <c r="E194" s="2">
        <f>IF(E154="","",SUMIF(C4:BF4,E154,C45:BF45))</f>
        <v>0</v>
      </c>
      <c r="F194" s="2">
        <f>IF(F154="","",SUMIF(C4:BF4,F154,C45:BF45))</f>
        <v>0</v>
      </c>
      <c r="G194" s="2">
        <f>IF(G154="","",SUMIF(C4:BF4,G154,C45:BF45))</f>
        <v>0</v>
      </c>
      <c r="H194" s="2">
        <f>IF(H154="","",SUMIF(C4:BF4,H154,C45:BF45))</f>
        <v>0</v>
      </c>
      <c r="I194" s="2">
        <f>IF(I154="","",SUMIF(C4:BF4,I154,C45:BF45))</f>
        <v>0</v>
      </c>
      <c r="J194" s="2">
        <f>IF(J154="","",SUMIF(C4:BF4,J154,C45:BF45))</f>
        <v>0</v>
      </c>
      <c r="K194" s="2">
        <f>IF(K154="","",SUMIF(C4:BF4,K154,C45:BF45))</f>
        <v>0</v>
      </c>
      <c r="L194" s="2">
        <f>IF(L154="","",SUMIF(C4:BF4,L154,C45:BF45))</f>
        <v>0</v>
      </c>
      <c r="M194" s="2">
        <f>IF(M154="","",SUMIF(C4:BF4,M154,C45:BF45))</f>
        <v>0</v>
      </c>
      <c r="N194" s="2">
        <f>IF(N154="","",SUMIF(C4:BF4,N154,C45:BF45))</f>
        <v>0</v>
      </c>
      <c r="O194" s="2">
        <f>IF(O154="","",SUMIF(C4:BF4,O154,C45:BF45))</f>
        <v>0</v>
      </c>
      <c r="P194" s="2">
        <f>IF(P154="","",SUMIF(C4:BF4,P154,C45:BF45))</f>
        <v>0</v>
      </c>
      <c r="Q194" s="2">
        <f>IF(Q154="","",SUMIF(C4:BF4,Q154,C45:BF45))</f>
        <v>0</v>
      </c>
      <c r="R194" s="2">
        <f>IF(R154="","",SUMIF(C4:BF4,R154,C45:BF45))</f>
        <v>0</v>
      </c>
      <c r="S194" s="2">
        <f>IF(S154="","",SUMIF(C4:BF4,S154,C45:BF45))</f>
        <v>0</v>
      </c>
      <c r="T194" s="2">
        <f>IF(T154="","",SUMIF(C4:BF4,T154,C45:BF45))</f>
        <v>0</v>
      </c>
      <c r="U194" s="2">
        <f>IF(U154="","",SUMIF(C4:BF4,U154,C45:BF45))</f>
        <v>0</v>
      </c>
      <c r="V194" s="2">
        <f>IF(V154="","",SUMIF(C4:BF4,V154,C45:BF45))</f>
        <v>0</v>
      </c>
      <c r="W194" s="2" t="str">
        <f>IF(W154="","",SUMIF(C4:BF4,W154,C45:BF45))</f>
        <v/>
      </c>
      <c r="X194" s="2" t="str">
        <f>IF(X154="","",SUMIF(C4:BF4,X154,C45:BF45))</f>
        <v/>
      </c>
      <c r="Y194" s="2" t="str">
        <f>IF(Y154="","",SUMIF(C4:BF4,Y154,C45:BF45))</f>
        <v/>
      </c>
      <c r="Z194" s="2" t="str">
        <f>IF(Z154="","",SUMIF(C4:BF4,Z154,C45:BF45))</f>
        <v/>
      </c>
      <c r="AA194" s="2" t="str">
        <f>IF(AA154="","",SUMIF(C4:BF4,AA154,C45:BF45))</f>
        <v/>
      </c>
      <c r="AB194" s="2" t="str">
        <f>IF(AB154="","",SUMIF(C4:BF4,AB154,C45:BF45))</f>
        <v/>
      </c>
      <c r="AC194" s="2" t="str">
        <f>IF(AC154="","",SUMIF(C4:BF4,AC154,C45:BF45))</f>
        <v/>
      </c>
      <c r="AD194" s="2" t="str">
        <f>IF(AD154="","",SUMIF(C4:BF4,AD154,C45:BF45))</f>
        <v/>
      </c>
      <c r="AE194" s="2" t="str">
        <f>IF(AE154="","",SUMIF(C4:BF4,AE154,C45:BF45))</f>
        <v/>
      </c>
      <c r="AF194" s="2" t="str">
        <f>IF(AF154="","",SUMIF(C4:BF4,AF154,C45:BF45))</f>
        <v/>
      </c>
      <c r="AG194" s="2" t="str">
        <f>IF(AG154="","",SUMIF(C4:BF4,AG154,C45:BF45))</f>
        <v/>
      </c>
      <c r="AH194" s="2" t="str">
        <f>IF(AH154="","",SUMIF(C4:BF4,AH154,C45:BF45))</f>
        <v/>
      </c>
      <c r="AI194" s="2" t="str">
        <f>IF(AI154="","",SUMIF(C4:BF4,AI154,C45:BF45))</f>
        <v/>
      </c>
      <c r="AJ194" s="2" t="str">
        <f>IF(AJ154="","",SUMIF(C4:BF4,AJ154,C45:BF45))</f>
        <v/>
      </c>
      <c r="AK194" s="2" t="str">
        <f>IF(AK154="","",SUMIF(C4:BF4,AK154,C45:BF45))</f>
        <v/>
      </c>
      <c r="AL194" s="2" t="str">
        <f>IF(AL154="","",SUMIF(C4:BF4,AL154,C45:BF45))</f>
        <v/>
      </c>
      <c r="AM194" s="2" t="str">
        <f>IF(AM154="","",SUMIF(C4:BF4,AM154,C45:BF45))</f>
        <v/>
      </c>
      <c r="AN194" s="2" t="str">
        <f>IF(AN154="","",SUMIF(C4:BF4,AN154,C45:BF45))</f>
        <v/>
      </c>
      <c r="AO194" s="2" t="str">
        <f>IF(AO154="","",SUMIF(C4:BF4,AO154,C45:BF45))</f>
        <v/>
      </c>
      <c r="AP194" s="2" t="str">
        <f>IF(AP154="","",SUMIF(C4:BF4,AP154,C45:BF45))</f>
        <v/>
      </c>
      <c r="AQ194" s="2" t="str">
        <f>IF(AQ154="","",SUMIF(C4:BF4,AQ154,C45:BF45))</f>
        <v/>
      </c>
      <c r="AR194" s="2" t="str">
        <f>IF(AR154="","",SUMIF(C4:BF4,AR154,C45:BF45))</f>
        <v/>
      </c>
      <c r="AS194" s="2" t="str">
        <f>IF(AS154="","",SUMIF(C4:BF4,AS154,C45:BF45))</f>
        <v/>
      </c>
      <c r="AT194" s="2" t="str">
        <f>IF(AT154="","",SUMIF(C4:BF4,AT154,C45:BF45))</f>
        <v/>
      </c>
      <c r="AU194" s="2" t="str">
        <f>IF(AU154="","",SUMIF(C4:BF4,AU154,C45:BF45))</f>
        <v/>
      </c>
      <c r="AV194" s="2" t="str">
        <f>IF(AV154="","",SUMIF(C4:BF4,AV154,C45:BF45))</f>
        <v/>
      </c>
      <c r="AW194" s="2" t="str">
        <f>IF(AW154="","",SUMIF(C4:BF4,AW154,C45:BF45))</f>
        <v/>
      </c>
      <c r="AX194" s="2" t="str">
        <f>IF(AX154="","",SUMIF(C4:BF4,AX154,C45:BF45))</f>
        <v/>
      </c>
      <c r="AY194" s="2" t="str">
        <f>IF(AY154="","",SUMIF(C4:BF4,AY154,C45:BF45))</f>
        <v/>
      </c>
      <c r="AZ194" s="2" t="str">
        <f>IF(AZ154="","",SUMIF(C4:BF4,AZ154,C45:BF45))</f>
        <v/>
      </c>
      <c r="BA194" s="2" t="str">
        <f>IF(BA154="","",SUMIF(C4:BF4,BA154,C45:BF45))</f>
        <v/>
      </c>
      <c r="BB194" s="2" t="str">
        <f>IF(BB154="","",SUMIF(C4:BF4,BB154,C45:BF45))</f>
        <v/>
      </c>
      <c r="BC194" s="2" t="str">
        <f>IF(BC154="","",SUMIF(C4:BF4,BC154,C45:BF45))</f>
        <v/>
      </c>
      <c r="BD194" s="2" t="str">
        <f>IF(BD154="","",SUMIF(C4:BF4,BD154,C45:BF45))</f>
        <v/>
      </c>
      <c r="BE194" s="2" t="str">
        <f>IF(BE154="","",SUMIF(C4:BF4,BE154,C45:BF45))</f>
        <v/>
      </c>
      <c r="BF194" s="4" t="str">
        <f>IF(BF154="","",SUMIF(C4:BF4,BF154,C45:BF45))</f>
        <v/>
      </c>
    </row>
    <row r="195" spans="1:58">
      <c r="A195" s="18">
        <f t="shared" ref="A195:B199" si="14">A46</f>
        <v>46363</v>
      </c>
      <c r="B195" s="2" t="str">
        <f t="shared" si="14"/>
        <v>Dec 7</v>
      </c>
      <c r="C195" s="2">
        <f>IF(C154="","",SUMIF(C4:BF4,C154,C46:BF46))</f>
        <v>0</v>
      </c>
      <c r="D195" s="2">
        <f>IF(D154="","",SUMIF(C4:BF4,D154,C46:BF46))</f>
        <v>0</v>
      </c>
      <c r="E195" s="2">
        <f>IF(E154="","",SUMIF(C4:BF4,E154,C46:BF46))</f>
        <v>0</v>
      </c>
      <c r="F195" s="2">
        <f>IF(F154="","",SUMIF(C4:BF4,F154,C46:BF46))</f>
        <v>0</v>
      </c>
      <c r="G195" s="2">
        <f>IF(G154="","",SUMIF(C4:BF4,G154,C46:BF46))</f>
        <v>0</v>
      </c>
      <c r="H195" s="2">
        <f>IF(H154="","",SUMIF(C4:BF4,H154,C46:BF46))</f>
        <v>0</v>
      </c>
      <c r="I195" s="2">
        <f>IF(I154="","",SUMIF(C4:BF4,I154,C46:BF46))</f>
        <v>0</v>
      </c>
      <c r="J195" s="2">
        <f>IF(J154="","",SUMIF(C4:BF4,J154,C46:BF46))</f>
        <v>0</v>
      </c>
      <c r="K195" s="2">
        <f>IF(K154="","",SUMIF(C4:BF4,K154,C46:BF46))</f>
        <v>0</v>
      </c>
      <c r="L195" s="2">
        <f>IF(L154="","",SUMIF(C4:BF4,L154,C46:BF46))</f>
        <v>0</v>
      </c>
      <c r="M195" s="2">
        <f>IF(M154="","",SUMIF(C4:BF4,M154,C46:BF46))</f>
        <v>0</v>
      </c>
      <c r="N195" s="2">
        <f>IF(N154="","",SUMIF(C4:BF4,N154,C46:BF46))</f>
        <v>0</v>
      </c>
      <c r="O195" s="2">
        <f>IF(O154="","",SUMIF(C4:BF4,O154,C46:BF46))</f>
        <v>0</v>
      </c>
      <c r="P195" s="2">
        <f>IF(P154="","",SUMIF(C4:BF4,P154,C46:BF46))</f>
        <v>0</v>
      </c>
      <c r="Q195" s="2">
        <f>IF(Q154="","",SUMIF(C4:BF4,Q154,C46:BF46))</f>
        <v>0</v>
      </c>
      <c r="R195" s="2">
        <f>IF(R154="","",SUMIF(C4:BF4,R154,C46:BF46))</f>
        <v>0</v>
      </c>
      <c r="S195" s="2">
        <f>IF(S154="","",SUMIF(C4:BF4,S154,C46:BF46))</f>
        <v>0</v>
      </c>
      <c r="T195" s="2">
        <f>IF(T154="","",SUMIF(C4:BF4,T154,C46:BF46))</f>
        <v>0</v>
      </c>
      <c r="U195" s="2">
        <f>IF(U154="","",SUMIF(C4:BF4,U154,C46:BF46))</f>
        <v>0</v>
      </c>
      <c r="V195" s="2">
        <f>IF(V154="","",SUMIF(C4:BF4,V154,C46:BF46))</f>
        <v>0</v>
      </c>
      <c r="W195" s="2" t="str">
        <f>IF(W154="","",SUMIF(C4:BF4,W154,C46:BF46))</f>
        <v/>
      </c>
      <c r="X195" s="2" t="str">
        <f>IF(X154="","",SUMIF(C4:BF4,X154,C46:BF46))</f>
        <v/>
      </c>
      <c r="Y195" s="2" t="str">
        <f>IF(Y154="","",SUMIF(C4:BF4,Y154,C46:BF46))</f>
        <v/>
      </c>
      <c r="Z195" s="2" t="str">
        <f>IF(Z154="","",SUMIF(C4:BF4,Z154,C46:BF46))</f>
        <v/>
      </c>
      <c r="AA195" s="2" t="str">
        <f>IF(AA154="","",SUMIF(C4:BF4,AA154,C46:BF46))</f>
        <v/>
      </c>
      <c r="AB195" s="2" t="str">
        <f>IF(AB154="","",SUMIF(C4:BF4,AB154,C46:BF46))</f>
        <v/>
      </c>
      <c r="AC195" s="2" t="str">
        <f>IF(AC154="","",SUMIF(C4:BF4,AC154,C46:BF46))</f>
        <v/>
      </c>
      <c r="AD195" s="2" t="str">
        <f>IF(AD154="","",SUMIF(C4:BF4,AD154,C46:BF46))</f>
        <v/>
      </c>
      <c r="AE195" s="2" t="str">
        <f>IF(AE154="","",SUMIF(C4:BF4,AE154,C46:BF46))</f>
        <v/>
      </c>
      <c r="AF195" s="2" t="str">
        <f>IF(AF154="","",SUMIF(C4:BF4,AF154,C46:BF46))</f>
        <v/>
      </c>
      <c r="AG195" s="2" t="str">
        <f>IF(AG154="","",SUMIF(C4:BF4,AG154,C46:BF46))</f>
        <v/>
      </c>
      <c r="AH195" s="2" t="str">
        <f>IF(AH154="","",SUMIF(C4:BF4,AH154,C46:BF46))</f>
        <v/>
      </c>
      <c r="AI195" s="2" t="str">
        <f>IF(AI154="","",SUMIF(C4:BF4,AI154,C46:BF46))</f>
        <v/>
      </c>
      <c r="AJ195" s="2" t="str">
        <f>IF(AJ154="","",SUMIF(C4:BF4,AJ154,C46:BF46))</f>
        <v/>
      </c>
      <c r="AK195" s="2" t="str">
        <f>IF(AK154="","",SUMIF(C4:BF4,AK154,C46:BF46))</f>
        <v/>
      </c>
      <c r="AL195" s="2" t="str">
        <f>IF(AL154="","",SUMIF(C4:BF4,AL154,C46:BF46))</f>
        <v/>
      </c>
      <c r="AM195" s="2" t="str">
        <f>IF(AM154="","",SUMIF(C4:BF4,AM154,C46:BF46))</f>
        <v/>
      </c>
      <c r="AN195" s="2" t="str">
        <f>IF(AN154="","",SUMIF(C4:BF4,AN154,C46:BF46))</f>
        <v/>
      </c>
      <c r="AO195" s="2" t="str">
        <f>IF(AO154="","",SUMIF(C4:BF4,AO154,C46:BF46))</f>
        <v/>
      </c>
      <c r="AP195" s="2" t="str">
        <f>IF(AP154="","",SUMIF(C4:BF4,AP154,C46:BF46))</f>
        <v/>
      </c>
      <c r="AQ195" s="2" t="str">
        <f>IF(AQ154="","",SUMIF(C4:BF4,AQ154,C46:BF46))</f>
        <v/>
      </c>
      <c r="AR195" s="2" t="str">
        <f>IF(AR154="","",SUMIF(C4:BF4,AR154,C46:BF46))</f>
        <v/>
      </c>
      <c r="AS195" s="2" t="str">
        <f>IF(AS154="","",SUMIF(C4:BF4,AS154,C46:BF46))</f>
        <v/>
      </c>
      <c r="AT195" s="2" t="str">
        <f>IF(AT154="","",SUMIF(C4:BF4,AT154,C46:BF46))</f>
        <v/>
      </c>
      <c r="AU195" s="2" t="str">
        <f>IF(AU154="","",SUMIF(C4:BF4,AU154,C46:BF46))</f>
        <v/>
      </c>
      <c r="AV195" s="2" t="str">
        <f>IF(AV154="","",SUMIF(C4:BF4,AV154,C46:BF46))</f>
        <v/>
      </c>
      <c r="AW195" s="2" t="str">
        <f>IF(AW154="","",SUMIF(C4:BF4,AW154,C46:BF46))</f>
        <v/>
      </c>
      <c r="AX195" s="2" t="str">
        <f>IF(AX154="","",SUMIF(C4:BF4,AX154,C46:BF46))</f>
        <v/>
      </c>
      <c r="AY195" s="2" t="str">
        <f>IF(AY154="","",SUMIF(C4:BF4,AY154,C46:BF46))</f>
        <v/>
      </c>
      <c r="AZ195" s="2" t="str">
        <f>IF(AZ154="","",SUMIF(C4:BF4,AZ154,C46:BF46))</f>
        <v/>
      </c>
      <c r="BA195" s="2" t="str">
        <f>IF(BA154="","",SUMIF(C4:BF4,BA154,C46:BF46))</f>
        <v/>
      </c>
      <c r="BB195" s="2" t="str">
        <f>IF(BB154="","",SUMIF(C4:BF4,BB154,C46:BF46))</f>
        <v/>
      </c>
      <c r="BC195" s="2" t="str">
        <f>IF(BC154="","",SUMIF(C4:BF4,BC154,C46:BF46))</f>
        <v/>
      </c>
      <c r="BD195" s="2" t="str">
        <f>IF(BD154="","",SUMIF(C4:BF4,BD154,C46:BF46))</f>
        <v/>
      </c>
      <c r="BE195" s="2" t="str">
        <f>IF(BE154="","",SUMIF(C4:BF4,BE154,C46:BF46))</f>
        <v/>
      </c>
      <c r="BF195" s="4" t="str">
        <f>IF(BF154="","",SUMIF(C4:BF4,BF154,C46:BF46))</f>
        <v/>
      </c>
    </row>
    <row r="196" spans="1:58">
      <c r="A196" s="18">
        <f t="shared" si="14"/>
        <v>46370</v>
      </c>
      <c r="B196" s="2" t="str">
        <f t="shared" si="14"/>
        <v>Dec 14</v>
      </c>
      <c r="C196" s="2">
        <f>IF(C154="","",SUMIF(C4:BF4,C154,C47:BF47))</f>
        <v>0</v>
      </c>
      <c r="D196" s="2">
        <f>IF(D154="","",SUMIF(C4:BF4,D154,C47:BF47))</f>
        <v>0</v>
      </c>
      <c r="E196" s="2">
        <f>IF(E154="","",SUMIF(C4:BF4,E154,C47:BF47))</f>
        <v>0</v>
      </c>
      <c r="F196" s="2">
        <f>IF(F154="","",SUMIF(C4:BF4,F154,C47:BF47))</f>
        <v>0</v>
      </c>
      <c r="G196" s="2">
        <f>IF(G154="","",SUMIF(C4:BF4,G154,C47:BF47))</f>
        <v>0</v>
      </c>
      <c r="H196" s="2">
        <f>IF(H154="","",SUMIF(C4:BF4,H154,C47:BF47))</f>
        <v>0</v>
      </c>
      <c r="I196" s="2">
        <f>IF(I154="","",SUMIF(C4:BF4,I154,C47:BF47))</f>
        <v>0</v>
      </c>
      <c r="J196" s="2">
        <f>IF(J154="","",SUMIF(C4:BF4,J154,C47:BF47))</f>
        <v>0</v>
      </c>
      <c r="K196" s="2">
        <f>IF(K154="","",SUMIF(C4:BF4,K154,C47:BF47))</f>
        <v>0</v>
      </c>
      <c r="L196" s="2">
        <f>IF(L154="","",SUMIF(C4:BF4,L154,C47:BF47))</f>
        <v>0</v>
      </c>
      <c r="M196" s="2">
        <f>IF(M154="","",SUMIF(C4:BF4,M154,C47:BF47))</f>
        <v>0</v>
      </c>
      <c r="N196" s="2">
        <f>IF(N154="","",SUMIF(C4:BF4,N154,C47:BF47))</f>
        <v>0</v>
      </c>
      <c r="O196" s="2">
        <f>IF(O154="","",SUMIF(C4:BF4,O154,C47:BF47))</f>
        <v>0</v>
      </c>
      <c r="P196" s="2">
        <f>IF(P154="","",SUMIF(C4:BF4,P154,C47:BF47))</f>
        <v>0</v>
      </c>
      <c r="Q196" s="2">
        <f>IF(Q154="","",SUMIF(C4:BF4,Q154,C47:BF47))</f>
        <v>0</v>
      </c>
      <c r="R196" s="2">
        <f>IF(R154="","",SUMIF(C4:BF4,R154,C47:BF47))</f>
        <v>0</v>
      </c>
      <c r="S196" s="2">
        <f>IF(S154="","",SUMIF(C4:BF4,S154,C47:BF47))</f>
        <v>0</v>
      </c>
      <c r="T196" s="2">
        <f>IF(T154="","",SUMIF(C4:BF4,T154,C47:BF47))</f>
        <v>0</v>
      </c>
      <c r="U196" s="2">
        <f>IF(U154="","",SUMIF(C4:BF4,U154,C47:BF47))</f>
        <v>0</v>
      </c>
      <c r="V196" s="2">
        <f>IF(V154="","",SUMIF(C4:BF4,V154,C47:BF47))</f>
        <v>0</v>
      </c>
      <c r="W196" s="2" t="str">
        <f>IF(W154="","",SUMIF(C4:BF4,W154,C47:BF47))</f>
        <v/>
      </c>
      <c r="X196" s="2" t="str">
        <f>IF(X154="","",SUMIF(C4:BF4,X154,C47:BF47))</f>
        <v/>
      </c>
      <c r="Y196" s="2" t="str">
        <f>IF(Y154="","",SUMIF(C4:BF4,Y154,C47:BF47))</f>
        <v/>
      </c>
      <c r="Z196" s="2" t="str">
        <f>IF(Z154="","",SUMIF(C4:BF4,Z154,C47:BF47))</f>
        <v/>
      </c>
      <c r="AA196" s="2" t="str">
        <f>IF(AA154="","",SUMIF(C4:BF4,AA154,C47:BF47))</f>
        <v/>
      </c>
      <c r="AB196" s="2" t="str">
        <f>IF(AB154="","",SUMIF(C4:BF4,AB154,C47:BF47))</f>
        <v/>
      </c>
      <c r="AC196" s="2" t="str">
        <f>IF(AC154="","",SUMIF(C4:BF4,AC154,C47:BF47))</f>
        <v/>
      </c>
      <c r="AD196" s="2" t="str">
        <f>IF(AD154="","",SUMIF(C4:BF4,AD154,C47:BF47))</f>
        <v/>
      </c>
      <c r="AE196" s="2" t="str">
        <f>IF(AE154="","",SUMIF(C4:BF4,AE154,C47:BF47))</f>
        <v/>
      </c>
      <c r="AF196" s="2" t="str">
        <f>IF(AF154="","",SUMIF(C4:BF4,AF154,C47:BF47))</f>
        <v/>
      </c>
      <c r="AG196" s="2" t="str">
        <f>IF(AG154="","",SUMIF(C4:BF4,AG154,C47:BF47))</f>
        <v/>
      </c>
      <c r="AH196" s="2" t="str">
        <f>IF(AH154="","",SUMIF(C4:BF4,AH154,C47:BF47))</f>
        <v/>
      </c>
      <c r="AI196" s="2" t="str">
        <f>IF(AI154="","",SUMIF(C4:BF4,AI154,C47:BF47))</f>
        <v/>
      </c>
      <c r="AJ196" s="2" t="str">
        <f>IF(AJ154="","",SUMIF(C4:BF4,AJ154,C47:BF47))</f>
        <v/>
      </c>
      <c r="AK196" s="2" t="str">
        <f>IF(AK154="","",SUMIF(C4:BF4,AK154,C47:BF47))</f>
        <v/>
      </c>
      <c r="AL196" s="2" t="str">
        <f>IF(AL154="","",SUMIF(C4:BF4,AL154,C47:BF47))</f>
        <v/>
      </c>
      <c r="AM196" s="2" t="str">
        <f>IF(AM154="","",SUMIF(C4:BF4,AM154,C47:BF47))</f>
        <v/>
      </c>
      <c r="AN196" s="2" t="str">
        <f>IF(AN154="","",SUMIF(C4:BF4,AN154,C47:BF47))</f>
        <v/>
      </c>
      <c r="AO196" s="2" t="str">
        <f>IF(AO154="","",SUMIF(C4:BF4,AO154,C47:BF47))</f>
        <v/>
      </c>
      <c r="AP196" s="2" t="str">
        <f>IF(AP154="","",SUMIF(C4:BF4,AP154,C47:BF47))</f>
        <v/>
      </c>
      <c r="AQ196" s="2" t="str">
        <f>IF(AQ154="","",SUMIF(C4:BF4,AQ154,C47:BF47))</f>
        <v/>
      </c>
      <c r="AR196" s="2" t="str">
        <f>IF(AR154="","",SUMIF(C4:BF4,AR154,C47:BF47))</f>
        <v/>
      </c>
      <c r="AS196" s="2" t="str">
        <f>IF(AS154="","",SUMIF(C4:BF4,AS154,C47:BF47))</f>
        <v/>
      </c>
      <c r="AT196" s="2" t="str">
        <f>IF(AT154="","",SUMIF(C4:BF4,AT154,C47:BF47))</f>
        <v/>
      </c>
      <c r="AU196" s="2" t="str">
        <f>IF(AU154="","",SUMIF(C4:BF4,AU154,C47:BF47))</f>
        <v/>
      </c>
      <c r="AV196" s="2" t="str">
        <f>IF(AV154="","",SUMIF(C4:BF4,AV154,C47:BF47))</f>
        <v/>
      </c>
      <c r="AW196" s="2" t="str">
        <f>IF(AW154="","",SUMIF(C4:BF4,AW154,C47:BF47))</f>
        <v/>
      </c>
      <c r="AX196" s="2" t="str">
        <f>IF(AX154="","",SUMIF(C4:BF4,AX154,C47:BF47))</f>
        <v/>
      </c>
      <c r="AY196" s="2" t="str">
        <f>IF(AY154="","",SUMIF(C4:BF4,AY154,C47:BF47))</f>
        <v/>
      </c>
      <c r="AZ196" s="2" t="str">
        <f>IF(AZ154="","",SUMIF(C4:BF4,AZ154,C47:BF47))</f>
        <v/>
      </c>
      <c r="BA196" s="2" t="str">
        <f>IF(BA154="","",SUMIF(C4:BF4,BA154,C47:BF47))</f>
        <v/>
      </c>
      <c r="BB196" s="2" t="str">
        <f>IF(BB154="","",SUMIF(C4:BF4,BB154,C47:BF47))</f>
        <v/>
      </c>
      <c r="BC196" s="2" t="str">
        <f>IF(BC154="","",SUMIF(C4:BF4,BC154,C47:BF47))</f>
        <v/>
      </c>
      <c r="BD196" s="2" t="str">
        <f>IF(BD154="","",SUMIF(C4:BF4,BD154,C47:BF47))</f>
        <v/>
      </c>
      <c r="BE196" s="2" t="str">
        <f>IF(BE154="","",SUMIF(C4:BF4,BE154,C47:BF47))</f>
        <v/>
      </c>
      <c r="BF196" s="4" t="str">
        <f>IF(BF154="","",SUMIF(C4:BF4,BF154,C47:BF47))</f>
        <v/>
      </c>
    </row>
    <row r="197" spans="1:58">
      <c r="A197" s="18">
        <f t="shared" si="14"/>
        <v>46377</v>
      </c>
      <c r="B197" s="2" t="str">
        <f t="shared" si="14"/>
        <v>Dec 21</v>
      </c>
      <c r="C197" s="2">
        <f>IF(C154="","",SUMIF(C4:BF4,C154,C48:BF48))</f>
        <v>0</v>
      </c>
      <c r="D197" s="2">
        <f>IF(D154="","",SUMIF(C4:BF4,D154,C48:BF48))</f>
        <v>0</v>
      </c>
      <c r="E197" s="2">
        <f>IF(E154="","",SUMIF(C4:BF4,E154,C48:BF48))</f>
        <v>0</v>
      </c>
      <c r="F197" s="2">
        <f>IF(F154="","",SUMIF(C4:BF4,F154,C48:BF48))</f>
        <v>0</v>
      </c>
      <c r="G197" s="2">
        <f>IF(G154="","",SUMIF(C4:BF4,G154,C48:BF48))</f>
        <v>0</v>
      </c>
      <c r="H197" s="2">
        <f>IF(H154="","",SUMIF(C4:BF4,H154,C48:BF48))</f>
        <v>0</v>
      </c>
      <c r="I197" s="2">
        <f>IF(I154="","",SUMIF(C4:BF4,I154,C48:BF48))</f>
        <v>0</v>
      </c>
      <c r="J197" s="2">
        <f>IF(J154="","",SUMIF(C4:BF4,J154,C48:BF48))</f>
        <v>0</v>
      </c>
      <c r="K197" s="2">
        <f>IF(K154="","",SUMIF(C4:BF4,K154,C48:BF48))</f>
        <v>0</v>
      </c>
      <c r="L197" s="2">
        <f>IF(L154="","",SUMIF(C4:BF4,L154,C48:BF48))</f>
        <v>0</v>
      </c>
      <c r="M197" s="2">
        <f>IF(M154="","",SUMIF(C4:BF4,M154,C48:BF48))</f>
        <v>0</v>
      </c>
      <c r="N197" s="2">
        <f>IF(N154="","",SUMIF(C4:BF4,N154,C48:BF48))</f>
        <v>0</v>
      </c>
      <c r="O197" s="2">
        <f>IF(O154="","",SUMIF(C4:BF4,O154,C48:BF48))</f>
        <v>0</v>
      </c>
      <c r="P197" s="2">
        <f>IF(P154="","",SUMIF(C4:BF4,P154,C48:BF48))</f>
        <v>0</v>
      </c>
      <c r="Q197" s="2">
        <f>IF(Q154="","",SUMIF(C4:BF4,Q154,C48:BF48))</f>
        <v>0</v>
      </c>
      <c r="R197" s="2">
        <f>IF(R154="","",SUMIF(C4:BF4,R154,C48:BF48))</f>
        <v>0</v>
      </c>
      <c r="S197" s="2">
        <f>IF(S154="","",SUMIF(C4:BF4,S154,C48:BF48))</f>
        <v>0</v>
      </c>
      <c r="T197" s="2">
        <f>IF(T154="","",SUMIF(C4:BF4,T154,C48:BF48))</f>
        <v>0</v>
      </c>
      <c r="U197" s="2">
        <f>IF(U154="","",SUMIF(C4:BF4,U154,C48:BF48))</f>
        <v>0</v>
      </c>
      <c r="V197" s="2">
        <f>IF(V154="","",SUMIF(C4:BF4,V154,C48:BF48))</f>
        <v>0</v>
      </c>
      <c r="W197" s="2" t="str">
        <f>IF(W154="","",SUMIF(C4:BF4,W154,C48:BF48))</f>
        <v/>
      </c>
      <c r="X197" s="2" t="str">
        <f>IF(X154="","",SUMIF(C4:BF4,X154,C48:BF48))</f>
        <v/>
      </c>
      <c r="Y197" s="2" t="str">
        <f>IF(Y154="","",SUMIF(C4:BF4,Y154,C48:BF48))</f>
        <v/>
      </c>
      <c r="Z197" s="2" t="str">
        <f>IF(Z154="","",SUMIF(C4:BF4,Z154,C48:BF48))</f>
        <v/>
      </c>
      <c r="AA197" s="2" t="str">
        <f>IF(AA154="","",SUMIF(C4:BF4,AA154,C48:BF48))</f>
        <v/>
      </c>
      <c r="AB197" s="2" t="str">
        <f>IF(AB154="","",SUMIF(C4:BF4,AB154,C48:BF48))</f>
        <v/>
      </c>
      <c r="AC197" s="2" t="str">
        <f>IF(AC154="","",SUMIF(C4:BF4,AC154,C48:BF48))</f>
        <v/>
      </c>
      <c r="AD197" s="2" t="str">
        <f>IF(AD154="","",SUMIF(C4:BF4,AD154,C48:BF48))</f>
        <v/>
      </c>
      <c r="AE197" s="2" t="str">
        <f>IF(AE154="","",SUMIF(C4:BF4,AE154,C48:BF48))</f>
        <v/>
      </c>
      <c r="AF197" s="2" t="str">
        <f>IF(AF154="","",SUMIF(C4:BF4,AF154,C48:BF48))</f>
        <v/>
      </c>
      <c r="AG197" s="2" t="str">
        <f>IF(AG154="","",SUMIF(C4:BF4,AG154,C48:BF48))</f>
        <v/>
      </c>
      <c r="AH197" s="2" t="str">
        <f>IF(AH154="","",SUMIF(C4:BF4,AH154,C48:BF48))</f>
        <v/>
      </c>
      <c r="AI197" s="2" t="str">
        <f>IF(AI154="","",SUMIF(C4:BF4,AI154,C48:BF48))</f>
        <v/>
      </c>
      <c r="AJ197" s="2" t="str">
        <f>IF(AJ154="","",SUMIF(C4:BF4,AJ154,C48:BF48))</f>
        <v/>
      </c>
      <c r="AK197" s="2" t="str">
        <f>IF(AK154="","",SUMIF(C4:BF4,AK154,C48:BF48))</f>
        <v/>
      </c>
      <c r="AL197" s="2" t="str">
        <f>IF(AL154="","",SUMIF(C4:BF4,AL154,C48:BF48))</f>
        <v/>
      </c>
      <c r="AM197" s="2" t="str">
        <f>IF(AM154="","",SUMIF(C4:BF4,AM154,C48:BF48))</f>
        <v/>
      </c>
      <c r="AN197" s="2" t="str">
        <f>IF(AN154="","",SUMIF(C4:BF4,AN154,C48:BF48))</f>
        <v/>
      </c>
      <c r="AO197" s="2" t="str">
        <f>IF(AO154="","",SUMIF(C4:BF4,AO154,C48:BF48))</f>
        <v/>
      </c>
      <c r="AP197" s="2" t="str">
        <f>IF(AP154="","",SUMIF(C4:BF4,AP154,C48:BF48))</f>
        <v/>
      </c>
      <c r="AQ197" s="2" t="str">
        <f>IF(AQ154="","",SUMIF(C4:BF4,AQ154,C48:BF48))</f>
        <v/>
      </c>
      <c r="AR197" s="2" t="str">
        <f>IF(AR154="","",SUMIF(C4:BF4,AR154,C48:BF48))</f>
        <v/>
      </c>
      <c r="AS197" s="2" t="str">
        <f>IF(AS154="","",SUMIF(C4:BF4,AS154,C48:BF48))</f>
        <v/>
      </c>
      <c r="AT197" s="2" t="str">
        <f>IF(AT154="","",SUMIF(C4:BF4,AT154,C48:BF48))</f>
        <v/>
      </c>
      <c r="AU197" s="2" t="str">
        <f>IF(AU154="","",SUMIF(C4:BF4,AU154,C48:BF48))</f>
        <v/>
      </c>
      <c r="AV197" s="2" t="str">
        <f>IF(AV154="","",SUMIF(C4:BF4,AV154,C48:BF48))</f>
        <v/>
      </c>
      <c r="AW197" s="2" t="str">
        <f>IF(AW154="","",SUMIF(C4:BF4,AW154,C48:BF48))</f>
        <v/>
      </c>
      <c r="AX197" s="2" t="str">
        <f>IF(AX154="","",SUMIF(C4:BF4,AX154,C48:BF48))</f>
        <v/>
      </c>
      <c r="AY197" s="2" t="str">
        <f>IF(AY154="","",SUMIF(C4:BF4,AY154,C48:BF48))</f>
        <v/>
      </c>
      <c r="AZ197" s="2" t="str">
        <f>IF(AZ154="","",SUMIF(C4:BF4,AZ154,C48:BF48))</f>
        <v/>
      </c>
      <c r="BA197" s="2" t="str">
        <f>IF(BA154="","",SUMIF(C4:BF4,BA154,C48:BF48))</f>
        <v/>
      </c>
      <c r="BB197" s="2" t="str">
        <f>IF(BB154="","",SUMIF(C4:BF4,BB154,C48:BF48))</f>
        <v/>
      </c>
      <c r="BC197" s="2" t="str">
        <f>IF(BC154="","",SUMIF(C4:BF4,BC154,C48:BF48))</f>
        <v/>
      </c>
      <c r="BD197" s="2" t="str">
        <f>IF(BD154="","",SUMIF(C4:BF4,BD154,C48:BF48))</f>
        <v/>
      </c>
      <c r="BE197" s="2" t="str">
        <f>IF(BE154="","",SUMIF(C4:BF4,BE154,C48:BF48))</f>
        <v/>
      </c>
      <c r="BF197" s="4" t="str">
        <f>IF(BF154="","",SUMIF(C4:BF4,BF154,C48:BF48))</f>
        <v/>
      </c>
    </row>
    <row r="198" spans="1:58">
      <c r="A198" s="18">
        <f t="shared" si="14"/>
        <v>46384</v>
      </c>
      <c r="B198" s="2" t="str">
        <f t="shared" si="14"/>
        <v>Dec 28</v>
      </c>
      <c r="C198" s="2">
        <f>IF(C154="","",SUMIF(C4:BF4,C154,C49:BF49))</f>
        <v>0</v>
      </c>
      <c r="D198" s="2">
        <f>IF(D154="","",SUMIF(C4:BF4,D154,C49:BF49))</f>
        <v>0</v>
      </c>
      <c r="E198" s="2">
        <f>IF(E154="","",SUMIF(C4:BF4,E154,C49:BF49))</f>
        <v>0</v>
      </c>
      <c r="F198" s="2">
        <f>IF(F154="","",SUMIF(C4:BF4,F154,C49:BF49))</f>
        <v>0</v>
      </c>
      <c r="G198" s="2">
        <f>IF(G154="","",SUMIF(C4:BF4,G154,C49:BF49))</f>
        <v>0</v>
      </c>
      <c r="H198" s="2">
        <f>IF(H154="","",SUMIF(C4:BF4,H154,C49:BF49))</f>
        <v>0</v>
      </c>
      <c r="I198" s="2">
        <f>IF(I154="","",SUMIF(C4:BF4,I154,C49:BF49))</f>
        <v>0</v>
      </c>
      <c r="J198" s="2">
        <f>IF(J154="","",SUMIF(C4:BF4,J154,C49:BF49))</f>
        <v>0</v>
      </c>
      <c r="K198" s="2">
        <f>IF(K154="","",SUMIF(C4:BF4,K154,C49:BF49))</f>
        <v>0</v>
      </c>
      <c r="L198" s="2">
        <f>IF(L154="","",SUMIF(C4:BF4,L154,C49:BF49))</f>
        <v>0</v>
      </c>
      <c r="M198" s="2">
        <f>IF(M154="","",SUMIF(C4:BF4,M154,C49:BF49))</f>
        <v>0</v>
      </c>
      <c r="N198" s="2">
        <f>IF(N154="","",SUMIF(C4:BF4,N154,C49:BF49))</f>
        <v>0</v>
      </c>
      <c r="O198" s="2">
        <f>IF(O154="","",SUMIF(C4:BF4,O154,C49:BF49))</f>
        <v>0</v>
      </c>
      <c r="P198" s="2">
        <f>IF(P154="","",SUMIF(C4:BF4,P154,C49:BF49))</f>
        <v>0</v>
      </c>
      <c r="Q198" s="2">
        <f>IF(Q154="","",SUMIF(C4:BF4,Q154,C49:BF49))</f>
        <v>0</v>
      </c>
      <c r="R198" s="2">
        <f>IF(R154="","",SUMIF(C4:BF4,R154,C49:BF49))</f>
        <v>0</v>
      </c>
      <c r="S198" s="2">
        <f>IF(S154="","",SUMIF(C4:BF4,S154,C49:BF49))</f>
        <v>0</v>
      </c>
      <c r="T198" s="2">
        <f>IF(T154="","",SUMIF(C4:BF4,T154,C49:BF49))</f>
        <v>0</v>
      </c>
      <c r="U198" s="2">
        <f>IF(U154="","",SUMIF(C4:BF4,U154,C49:BF49))</f>
        <v>0</v>
      </c>
      <c r="V198" s="2">
        <f>IF(V154="","",SUMIF(C4:BF4,V154,C49:BF49))</f>
        <v>0</v>
      </c>
      <c r="W198" s="2" t="str">
        <f>IF(W154="","",SUMIF(C4:BF4,W154,C49:BF49))</f>
        <v/>
      </c>
      <c r="X198" s="2" t="str">
        <f>IF(X154="","",SUMIF(C4:BF4,X154,C49:BF49))</f>
        <v/>
      </c>
      <c r="Y198" s="2" t="str">
        <f>IF(Y154="","",SUMIF(C4:BF4,Y154,C49:BF49))</f>
        <v/>
      </c>
      <c r="Z198" s="2" t="str">
        <f>IF(Z154="","",SUMIF(C4:BF4,Z154,C49:BF49))</f>
        <v/>
      </c>
      <c r="AA198" s="2" t="str">
        <f>IF(AA154="","",SUMIF(C4:BF4,AA154,C49:BF49))</f>
        <v/>
      </c>
      <c r="AB198" s="2" t="str">
        <f>IF(AB154="","",SUMIF(C4:BF4,AB154,C49:BF49))</f>
        <v/>
      </c>
      <c r="AC198" s="2" t="str">
        <f>IF(AC154="","",SUMIF(C4:BF4,AC154,C49:BF49))</f>
        <v/>
      </c>
      <c r="AD198" s="2" t="str">
        <f>IF(AD154="","",SUMIF(C4:BF4,AD154,C49:BF49))</f>
        <v/>
      </c>
      <c r="AE198" s="2" t="str">
        <f>IF(AE154="","",SUMIF(C4:BF4,AE154,C49:BF49))</f>
        <v/>
      </c>
      <c r="AF198" s="2" t="str">
        <f>IF(AF154="","",SUMIF(C4:BF4,AF154,C49:BF49))</f>
        <v/>
      </c>
      <c r="AG198" s="2" t="str">
        <f>IF(AG154="","",SUMIF(C4:BF4,AG154,C49:BF49))</f>
        <v/>
      </c>
      <c r="AH198" s="2" t="str">
        <f>IF(AH154="","",SUMIF(C4:BF4,AH154,C49:BF49))</f>
        <v/>
      </c>
      <c r="AI198" s="2" t="str">
        <f>IF(AI154="","",SUMIF(C4:BF4,AI154,C49:BF49))</f>
        <v/>
      </c>
      <c r="AJ198" s="2" t="str">
        <f>IF(AJ154="","",SUMIF(C4:BF4,AJ154,C49:BF49))</f>
        <v/>
      </c>
      <c r="AK198" s="2" t="str">
        <f>IF(AK154="","",SUMIF(C4:BF4,AK154,C49:BF49))</f>
        <v/>
      </c>
      <c r="AL198" s="2" t="str">
        <f>IF(AL154="","",SUMIF(C4:BF4,AL154,C49:BF49))</f>
        <v/>
      </c>
      <c r="AM198" s="2" t="str">
        <f>IF(AM154="","",SUMIF(C4:BF4,AM154,C49:BF49))</f>
        <v/>
      </c>
      <c r="AN198" s="2" t="str">
        <f>IF(AN154="","",SUMIF(C4:BF4,AN154,C49:BF49))</f>
        <v/>
      </c>
      <c r="AO198" s="2" t="str">
        <f>IF(AO154="","",SUMIF(C4:BF4,AO154,C49:BF49))</f>
        <v/>
      </c>
      <c r="AP198" s="2" t="str">
        <f>IF(AP154="","",SUMIF(C4:BF4,AP154,C49:BF49))</f>
        <v/>
      </c>
      <c r="AQ198" s="2" t="str">
        <f>IF(AQ154="","",SUMIF(C4:BF4,AQ154,C49:BF49))</f>
        <v/>
      </c>
      <c r="AR198" s="2" t="str">
        <f>IF(AR154="","",SUMIF(C4:BF4,AR154,C49:BF49))</f>
        <v/>
      </c>
      <c r="AS198" s="2" t="str">
        <f>IF(AS154="","",SUMIF(C4:BF4,AS154,C49:BF49))</f>
        <v/>
      </c>
      <c r="AT198" s="2" t="str">
        <f>IF(AT154="","",SUMIF(C4:BF4,AT154,C49:BF49))</f>
        <v/>
      </c>
      <c r="AU198" s="2" t="str">
        <f>IF(AU154="","",SUMIF(C4:BF4,AU154,C49:BF49))</f>
        <v/>
      </c>
      <c r="AV198" s="2" t="str">
        <f>IF(AV154="","",SUMIF(C4:BF4,AV154,C49:BF49))</f>
        <v/>
      </c>
      <c r="AW198" s="2" t="str">
        <f>IF(AW154="","",SUMIF(C4:BF4,AW154,C49:BF49))</f>
        <v/>
      </c>
      <c r="AX198" s="2" t="str">
        <f>IF(AX154="","",SUMIF(C4:BF4,AX154,C49:BF49))</f>
        <v/>
      </c>
      <c r="AY198" s="2" t="str">
        <f>IF(AY154="","",SUMIF(C4:BF4,AY154,C49:BF49))</f>
        <v/>
      </c>
      <c r="AZ198" s="2" t="str">
        <f>IF(AZ154="","",SUMIF(C4:BF4,AZ154,C49:BF49))</f>
        <v/>
      </c>
      <c r="BA198" s="2" t="str">
        <f>IF(BA154="","",SUMIF(C4:BF4,BA154,C49:BF49))</f>
        <v/>
      </c>
      <c r="BB198" s="2" t="str">
        <f>IF(BB154="","",SUMIF(C4:BF4,BB154,C49:BF49))</f>
        <v/>
      </c>
      <c r="BC198" s="2" t="str">
        <f>IF(BC154="","",SUMIF(C4:BF4,BC154,C49:BF49))</f>
        <v/>
      </c>
      <c r="BD198" s="2" t="str">
        <f>IF(BD154="","",SUMIF(C4:BF4,BD154,C49:BF49))</f>
        <v/>
      </c>
      <c r="BE198" s="2" t="str">
        <f>IF(BE154="","",SUMIF(C4:BF4,BE154,C49:BF49))</f>
        <v/>
      </c>
      <c r="BF198" s="4" t="str">
        <f>IF(BF154="","",SUMIF(C4:BF4,BF154,C49:BF49))</f>
        <v/>
      </c>
    </row>
    <row r="199" spans="1:58">
      <c r="A199" s="18">
        <f t="shared" si="14"/>
        <v>46391</v>
      </c>
      <c r="B199" s="2" t="str">
        <f t="shared" si="14"/>
        <v>Jan 4</v>
      </c>
      <c r="C199" s="2">
        <f>IF(C154="","",SUMIF(C4:BF4,C154,C50:BF50))</f>
        <v>0</v>
      </c>
      <c r="D199" s="2">
        <f>IF(D154="","",SUMIF(C4:BF4,D154,C50:BF50))</f>
        <v>0</v>
      </c>
      <c r="E199" s="2">
        <f>IF(E154="","",SUMIF(C4:BF4,E154,C50:BF50))</f>
        <v>0</v>
      </c>
      <c r="F199" s="2">
        <f>IF(F154="","",SUMIF(C4:BF4,F154,C50:BF50))</f>
        <v>0</v>
      </c>
      <c r="G199" s="2">
        <f>IF(G154="","",SUMIF(C4:BF4,G154,C50:BF50))</f>
        <v>0</v>
      </c>
      <c r="H199" s="2">
        <f>IF(H154="","",SUMIF(C4:BF4,H154,C50:BF50))</f>
        <v>0</v>
      </c>
      <c r="I199" s="2">
        <f>IF(I154="","",SUMIF(C4:BF4,I154,C50:BF50))</f>
        <v>0</v>
      </c>
      <c r="J199" s="2">
        <f>IF(J154="","",SUMIF(C4:BF4,J154,C50:BF50))</f>
        <v>0</v>
      </c>
      <c r="K199" s="2">
        <f>IF(K154="","",SUMIF(C4:BF4,K154,C50:BF50))</f>
        <v>0</v>
      </c>
      <c r="L199" s="2">
        <f>IF(L154="","",SUMIF(C4:BF4,L154,C50:BF50))</f>
        <v>0</v>
      </c>
      <c r="M199" s="2">
        <f>IF(M154="","",SUMIF(C4:BF4,M154,C50:BF50))</f>
        <v>0</v>
      </c>
      <c r="N199" s="2">
        <f>IF(N154="","",SUMIF(C4:BF4,N154,C50:BF50))</f>
        <v>0</v>
      </c>
      <c r="O199" s="2">
        <f>IF(O154="","",SUMIF(C4:BF4,O154,C50:BF50))</f>
        <v>0</v>
      </c>
      <c r="P199" s="2">
        <f>IF(P154="","",SUMIF(C4:BF4,P154,C50:BF50))</f>
        <v>0</v>
      </c>
      <c r="Q199" s="2">
        <f>IF(Q154="","",SUMIF(C4:BF4,Q154,C50:BF50))</f>
        <v>0</v>
      </c>
      <c r="R199" s="2">
        <f>IF(R154="","",SUMIF(C4:BF4,R154,C50:BF50))</f>
        <v>0</v>
      </c>
      <c r="S199" s="2">
        <f>IF(S154="","",SUMIF(C4:BF4,S154,C50:BF50))</f>
        <v>0</v>
      </c>
      <c r="T199" s="2">
        <f>IF(T154="","",SUMIF(C4:BF4,T154,C50:BF50))</f>
        <v>0</v>
      </c>
      <c r="U199" s="2">
        <f>IF(U154="","",SUMIF(C4:BF4,U154,C50:BF50))</f>
        <v>0</v>
      </c>
      <c r="V199" s="2">
        <f>IF(V154="","",SUMIF(C4:BF4,V154,C50:BF50))</f>
        <v>0</v>
      </c>
      <c r="W199" s="2" t="str">
        <f>IF(W154="","",SUMIF(C4:BF4,W154,C50:BF50))</f>
        <v/>
      </c>
      <c r="X199" s="2" t="str">
        <f>IF(X154="","",SUMIF(C4:BF4,X154,C50:BF50))</f>
        <v/>
      </c>
      <c r="Y199" s="2" t="str">
        <f>IF(Y154="","",SUMIF(C4:BF4,Y154,C50:BF50))</f>
        <v/>
      </c>
      <c r="Z199" s="2" t="str">
        <f>IF(Z154="","",SUMIF(C4:BF4,Z154,C50:BF50))</f>
        <v/>
      </c>
      <c r="AA199" s="2" t="str">
        <f>IF(AA154="","",SUMIF(C4:BF4,AA154,C50:BF50))</f>
        <v/>
      </c>
      <c r="AB199" s="2" t="str">
        <f>IF(AB154="","",SUMIF(C4:BF4,AB154,C50:BF50))</f>
        <v/>
      </c>
      <c r="AC199" s="2" t="str">
        <f>IF(AC154="","",SUMIF(C4:BF4,AC154,C50:BF50))</f>
        <v/>
      </c>
      <c r="AD199" s="2" t="str">
        <f>IF(AD154="","",SUMIF(C4:BF4,AD154,C50:BF50))</f>
        <v/>
      </c>
      <c r="AE199" s="2" t="str">
        <f>IF(AE154="","",SUMIF(C4:BF4,AE154,C50:BF50))</f>
        <v/>
      </c>
      <c r="AF199" s="2" t="str">
        <f>IF(AF154="","",SUMIF(C4:BF4,AF154,C50:BF50))</f>
        <v/>
      </c>
      <c r="AG199" s="2" t="str">
        <f>IF(AG154="","",SUMIF(C4:BF4,AG154,C50:BF50))</f>
        <v/>
      </c>
      <c r="AH199" s="2" t="str">
        <f>IF(AH154="","",SUMIF(C4:BF4,AH154,C50:BF50))</f>
        <v/>
      </c>
      <c r="AI199" s="2" t="str">
        <f>IF(AI154="","",SUMIF(C4:BF4,AI154,C50:BF50))</f>
        <v/>
      </c>
      <c r="AJ199" s="2" t="str">
        <f>IF(AJ154="","",SUMIF(C4:BF4,AJ154,C50:BF50))</f>
        <v/>
      </c>
      <c r="AK199" s="2" t="str">
        <f>IF(AK154="","",SUMIF(C4:BF4,AK154,C50:BF50))</f>
        <v/>
      </c>
      <c r="AL199" s="2" t="str">
        <f>IF(AL154="","",SUMIF(C4:BF4,AL154,C50:BF50))</f>
        <v/>
      </c>
      <c r="AM199" s="2" t="str">
        <f>IF(AM154="","",SUMIF(C4:BF4,AM154,C50:BF50))</f>
        <v/>
      </c>
      <c r="AN199" s="2" t="str">
        <f>IF(AN154="","",SUMIF(C4:BF4,AN154,C50:BF50))</f>
        <v/>
      </c>
      <c r="AO199" s="2" t="str">
        <f>IF(AO154="","",SUMIF(C4:BF4,AO154,C50:BF50))</f>
        <v/>
      </c>
      <c r="AP199" s="2" t="str">
        <f>IF(AP154="","",SUMIF(C4:BF4,AP154,C50:BF50))</f>
        <v/>
      </c>
      <c r="AQ199" s="2" t="str">
        <f>IF(AQ154="","",SUMIF(C4:BF4,AQ154,C50:BF50))</f>
        <v/>
      </c>
      <c r="AR199" s="2" t="str">
        <f>IF(AR154="","",SUMIF(C4:BF4,AR154,C50:BF50))</f>
        <v/>
      </c>
      <c r="AS199" s="2" t="str">
        <f>IF(AS154="","",SUMIF(C4:BF4,AS154,C50:BF50))</f>
        <v/>
      </c>
      <c r="AT199" s="2" t="str">
        <f>IF(AT154="","",SUMIF(C4:BF4,AT154,C50:BF50))</f>
        <v/>
      </c>
      <c r="AU199" s="2" t="str">
        <f>IF(AU154="","",SUMIF(C4:BF4,AU154,C50:BF50))</f>
        <v/>
      </c>
      <c r="AV199" s="2" t="str">
        <f>IF(AV154="","",SUMIF(C4:BF4,AV154,C50:BF50))</f>
        <v/>
      </c>
      <c r="AW199" s="2" t="str">
        <f>IF(AW154="","",SUMIF(C4:BF4,AW154,C50:BF50))</f>
        <v/>
      </c>
      <c r="AX199" s="2" t="str">
        <f>IF(AX154="","",SUMIF(C4:BF4,AX154,C50:BF50))</f>
        <v/>
      </c>
      <c r="AY199" s="2" t="str">
        <f>IF(AY154="","",SUMIF(C4:BF4,AY154,C50:BF50))</f>
        <v/>
      </c>
      <c r="AZ199" s="2" t="str">
        <f>IF(AZ154="","",SUMIF(C4:BF4,AZ154,C50:BF50))</f>
        <v/>
      </c>
      <c r="BA199" s="2" t="str">
        <f>IF(BA154="","",SUMIF(C4:BF4,BA154,C50:BF50))</f>
        <v/>
      </c>
      <c r="BB199" s="2" t="str">
        <f>IF(BB154="","",SUMIF(C4:BF4,BB154,C50:BF50))</f>
        <v/>
      </c>
      <c r="BC199" s="2" t="str">
        <f>IF(BC154="","",SUMIF(C4:BF4,BC154,C50:BF50))</f>
        <v/>
      </c>
      <c r="BD199" s="2" t="str">
        <f>IF(BD154="","",SUMIF(C4:BF4,BD154,C50:BF50))</f>
        <v/>
      </c>
      <c r="BE199" s="2" t="str">
        <f>IF(BE154="","",SUMIF(C4:BF4,BE154,C50:BF50))</f>
        <v/>
      </c>
      <c r="BF199" s="4" t="str">
        <f>IF(BF154="","",SUMIF(C4:BF4,BF154,C50:BF50))</f>
        <v/>
      </c>
    </row>
    <row r="200" spans="1:58">
      <c r="A200" s="12" t="s">
        <v>1281</v>
      </c>
      <c r="B200" s="13"/>
      <c r="C200" s="13">
        <f t="shared" ref="C200:AH200" si="15">SUM(C155:C199)</f>
        <v>11</v>
      </c>
      <c r="D200" s="13">
        <f t="shared" si="15"/>
        <v>41</v>
      </c>
      <c r="E200" s="13">
        <f t="shared" si="15"/>
        <v>10</v>
      </c>
      <c r="F200" s="13">
        <f t="shared" si="15"/>
        <v>7</v>
      </c>
      <c r="G200" s="13">
        <f t="shared" si="15"/>
        <v>9</v>
      </c>
      <c r="H200" s="13">
        <f t="shared" si="15"/>
        <v>12</v>
      </c>
      <c r="I200" s="13">
        <f t="shared" si="15"/>
        <v>3</v>
      </c>
      <c r="J200" s="13">
        <f t="shared" si="15"/>
        <v>6</v>
      </c>
      <c r="K200" s="13">
        <f t="shared" si="15"/>
        <v>4</v>
      </c>
      <c r="L200" s="13">
        <f t="shared" si="15"/>
        <v>14</v>
      </c>
      <c r="M200" s="13">
        <f t="shared" si="15"/>
        <v>0</v>
      </c>
      <c r="N200" s="13">
        <f t="shared" si="15"/>
        <v>4</v>
      </c>
      <c r="O200" s="13">
        <f t="shared" si="15"/>
        <v>1</v>
      </c>
      <c r="P200" s="13">
        <f t="shared" si="15"/>
        <v>1</v>
      </c>
      <c r="Q200" s="13">
        <f t="shared" si="15"/>
        <v>3</v>
      </c>
      <c r="R200" s="13">
        <f t="shared" si="15"/>
        <v>4</v>
      </c>
      <c r="S200" s="13">
        <f t="shared" si="15"/>
        <v>1</v>
      </c>
      <c r="T200" s="13">
        <f t="shared" si="15"/>
        <v>7</v>
      </c>
      <c r="U200" s="13">
        <f t="shared" si="15"/>
        <v>7</v>
      </c>
      <c r="V200" s="13">
        <f t="shared" si="15"/>
        <v>1</v>
      </c>
      <c r="W200" s="13">
        <f t="shared" si="15"/>
        <v>0</v>
      </c>
      <c r="X200" s="13">
        <f t="shared" si="15"/>
        <v>0</v>
      </c>
      <c r="Y200" s="13">
        <f t="shared" si="15"/>
        <v>0</v>
      </c>
      <c r="Z200" s="13">
        <f t="shared" si="15"/>
        <v>0</v>
      </c>
      <c r="AA200" s="13">
        <f t="shared" si="15"/>
        <v>0</v>
      </c>
      <c r="AB200" s="13">
        <f t="shared" si="15"/>
        <v>0</v>
      </c>
      <c r="AC200" s="13">
        <f t="shared" si="15"/>
        <v>0</v>
      </c>
      <c r="AD200" s="13">
        <f t="shared" si="15"/>
        <v>0</v>
      </c>
      <c r="AE200" s="13">
        <f t="shared" si="15"/>
        <v>0</v>
      </c>
      <c r="AF200" s="13">
        <f t="shared" si="15"/>
        <v>0</v>
      </c>
      <c r="AG200" s="13">
        <f t="shared" si="15"/>
        <v>0</v>
      </c>
      <c r="AH200" s="13">
        <f t="shared" si="15"/>
        <v>0</v>
      </c>
      <c r="AI200" s="13">
        <f t="shared" ref="AI200:BF200" si="16">SUM(AI155:AI199)</f>
        <v>0</v>
      </c>
      <c r="AJ200" s="13">
        <f t="shared" si="16"/>
        <v>0</v>
      </c>
      <c r="AK200" s="13">
        <f t="shared" si="16"/>
        <v>0</v>
      </c>
      <c r="AL200" s="13">
        <f t="shared" si="16"/>
        <v>0</v>
      </c>
      <c r="AM200" s="13">
        <f t="shared" si="16"/>
        <v>0</v>
      </c>
      <c r="AN200" s="13">
        <f t="shared" si="16"/>
        <v>0</v>
      </c>
      <c r="AO200" s="13">
        <f t="shared" si="16"/>
        <v>0</v>
      </c>
      <c r="AP200" s="13">
        <f t="shared" si="16"/>
        <v>0</v>
      </c>
      <c r="AQ200" s="13">
        <f t="shared" si="16"/>
        <v>0</v>
      </c>
      <c r="AR200" s="13">
        <f t="shared" si="16"/>
        <v>0</v>
      </c>
      <c r="AS200" s="13">
        <f t="shared" si="16"/>
        <v>0</v>
      </c>
      <c r="AT200" s="13">
        <f t="shared" si="16"/>
        <v>0</v>
      </c>
      <c r="AU200" s="13">
        <f t="shared" si="16"/>
        <v>0</v>
      </c>
      <c r="AV200" s="13">
        <f t="shared" si="16"/>
        <v>0</v>
      </c>
      <c r="AW200" s="13">
        <f t="shared" si="16"/>
        <v>0</v>
      </c>
      <c r="AX200" s="13">
        <f t="shared" si="16"/>
        <v>0</v>
      </c>
      <c r="AY200" s="13">
        <f t="shared" si="16"/>
        <v>0</v>
      </c>
      <c r="AZ200" s="13">
        <f t="shared" si="16"/>
        <v>0</v>
      </c>
      <c r="BA200" s="13">
        <f t="shared" si="16"/>
        <v>0</v>
      </c>
      <c r="BB200" s="13">
        <f t="shared" si="16"/>
        <v>0</v>
      </c>
      <c r="BC200" s="13">
        <f t="shared" si="16"/>
        <v>0</v>
      </c>
      <c r="BD200" s="13">
        <f t="shared" si="16"/>
        <v>0</v>
      </c>
      <c r="BE200" s="13">
        <f t="shared" si="16"/>
        <v>0</v>
      </c>
      <c r="BF200" s="14">
        <f t="shared" si="16"/>
        <v>0</v>
      </c>
    </row>
  </sheetData>
  <mergeCells count="2">
    <mergeCell ref="A1:H1"/>
    <mergeCell ref="A2:H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AE724"/>
  <sheetViews>
    <sheetView showGridLines="0" workbookViewId="0"/>
  </sheetViews>
  <sheetFormatPr defaultRowHeight="13.8"/>
  <cols>
    <col min="1" max="1" width="21.19921875" style="87" bestFit="1" customWidth="1"/>
    <col min="2" max="2" width="47" style="87" bestFit="1" customWidth="1"/>
    <col min="3" max="3" width="12.69921875" style="87" bestFit="1" customWidth="1"/>
    <col min="4" max="4" width="13" style="87" bestFit="1" customWidth="1"/>
    <col min="5" max="5" width="10.69921875" style="87" bestFit="1" customWidth="1"/>
    <col min="6" max="6" width="16.296875" style="87" bestFit="1" customWidth="1"/>
    <col min="7" max="7" width="18.59765625" style="87" bestFit="1" customWidth="1"/>
    <col min="8" max="8" width="14.3984375" style="87" bestFit="1" customWidth="1"/>
    <col min="9" max="9" width="10.19921875" style="87" bestFit="1" customWidth="1"/>
    <col min="10" max="10" width="16.09765625" style="87" bestFit="1" customWidth="1"/>
    <col min="11" max="11" width="14.5" style="87" bestFit="1" customWidth="1"/>
    <col min="12" max="12" width="12.796875" style="87" bestFit="1" customWidth="1"/>
    <col min="13" max="13" width="12.296875" style="87" bestFit="1" customWidth="1"/>
    <col min="14" max="14" width="15.296875" style="87" bestFit="1" customWidth="1"/>
    <col min="15" max="15" width="7.296875" style="87" bestFit="1" customWidth="1"/>
    <col min="16" max="16" width="12" style="87" bestFit="1" customWidth="1"/>
    <col min="17" max="17" width="11" style="87" bestFit="1" customWidth="1"/>
    <col min="18" max="18" width="9.796875" style="87" bestFit="1" customWidth="1"/>
    <col min="19" max="19" width="10.5" style="87" bestFit="1" customWidth="1"/>
    <col min="20" max="20" width="14.19921875" style="87" bestFit="1" customWidth="1"/>
    <col min="21" max="21" width="12.19921875" style="87" bestFit="1" customWidth="1"/>
    <col min="22" max="22" width="21.296875" style="87" bestFit="1" customWidth="1"/>
    <col min="23" max="26" width="1.796875" style="87" bestFit="1" customWidth="1"/>
    <col min="27" max="16384" width="8.796875" style="87"/>
  </cols>
  <sheetData>
    <row r="1" spans="1:31" ht="18">
      <c r="A1" s="118" t="s">
        <v>1556</v>
      </c>
    </row>
    <row r="3" spans="1:31">
      <c r="A3" s="126" t="s">
        <v>1557</v>
      </c>
      <c r="B3" s="126"/>
      <c r="C3" s="126"/>
      <c r="D3" s="126"/>
      <c r="E3" s="126"/>
      <c r="F3" s="126"/>
    </row>
    <row r="4" spans="1:31">
      <c r="A4" s="125" t="s">
        <v>1558</v>
      </c>
      <c r="B4" s="125"/>
      <c r="C4" s="125"/>
      <c r="D4" s="125"/>
      <c r="E4" s="125"/>
      <c r="F4" s="125"/>
      <c r="AA4" s="87" t="str">
        <f>Settings!A4</f>
        <v>Ref. leak/ Low charge</v>
      </c>
      <c r="AB4" s="87" t="str">
        <f>Settings!B4</f>
        <v>Ref. leak/ Low charge</v>
      </c>
      <c r="AC4" s="87">
        <f>IF(AA4="","",SUMPRODUCT((Summary!$E$5:$E$241=AA4)*ISNUMBER(Summary!$A$5:$A$241)*(Summary!$A$5:$A$241&gt;=IF(set_from="",0,set_from))*(Summary!$A$5:$A$241&lt;IF(set_to="",2958465,set_to+1))))</f>
        <v>4</v>
      </c>
      <c r="AD4" s="87">
        <f>IF(AA4="","",SUMPRODUCT((Summary!$E$5:$E$241=AA4)*(Summary!$G$5:$G$241="Yes")*ISNUMBER(Summary!$A$5:$A$241)*(Summary!$A$5:$A$241&gt;=IF(set_from="",0,set_from))*(Summary!$A$5:$A$241&lt;IF(set_to="",2958465,set_to+1))))</f>
        <v>2</v>
      </c>
      <c r="AE4" s="87">
        <f>IF(AB4="","",IF(COUNTIF(AB$4:AB4,AB4)=1,ROW(AB4),""))</f>
        <v>4</v>
      </c>
    </row>
    <row r="5" spans="1:31">
      <c r="A5" s="119" t="s">
        <v>1139</v>
      </c>
      <c r="B5" s="119" t="s">
        <v>1559</v>
      </c>
      <c r="C5" s="119" t="s">
        <v>1560</v>
      </c>
      <c r="D5" s="119" t="s">
        <v>1561</v>
      </c>
      <c r="AA5" s="87" t="str">
        <f>Settings!A5</f>
        <v>Door Torque</v>
      </c>
      <c r="AB5" s="87" t="str">
        <f>Settings!B5</f>
        <v>Doors</v>
      </c>
      <c r="AC5" s="87">
        <f>IF(AA5="","",SUMPRODUCT((Summary!$E$5:$E$241=AA5)*ISNUMBER(Summary!$A$5:$A$241)*(Summary!$A$5:$A$241&gt;=IF(set_from="",0,set_from))*(Summary!$A$5:$A$241&lt;IF(set_to="",2958465,set_to+1))))</f>
        <v>7</v>
      </c>
      <c r="AD5" s="87">
        <f>IF(AA5="","",SUMPRODUCT((Summary!$E$5:$E$241=AA5)*(Summary!$G$5:$G$241="Yes")*ISNUMBER(Summary!$A$5:$A$241)*(Summary!$A$5:$A$241&gt;=IF(set_from="",0,set_from))*(Summary!$A$5:$A$241&lt;IF(set_to="",2958465,set_to+1))))</f>
        <v>1</v>
      </c>
      <c r="AE5" s="87">
        <f>IF(AB5="","",IF(COUNTIF(AB$4:AB5,AB5)=1,ROW(AB5),""))</f>
        <v>5</v>
      </c>
    </row>
    <row r="6" spans="1:31">
      <c r="A6" s="87" t="str">
        <f>Graphs!K8</f>
        <v>Ref. leak/ Low charge</v>
      </c>
      <c r="B6" s="87">
        <f>Graphs!L8</f>
        <v>4</v>
      </c>
      <c r="C6" s="87">
        <f>Graphs!M8</f>
        <v>2</v>
      </c>
      <c r="D6" s="87">
        <f>Graphs!N8</f>
        <v>4.0004</v>
      </c>
      <c r="AA6" s="87" t="str">
        <f>Settings!A6</f>
        <v>Door Gasket</v>
      </c>
      <c r="AB6" s="87" t="str">
        <f>Settings!B6</f>
        <v>Doors</v>
      </c>
      <c r="AC6" s="87">
        <f>IF(AA6="","",SUMPRODUCT((Summary!$E$5:$E$241=AA6)*ISNUMBER(Summary!$A$5:$A$241)*(Summary!$A$5:$A$241&gt;=IF(set_from="",0,set_from))*(Summary!$A$5:$A$241&lt;IF(set_to="",2958465,set_to+1))))</f>
        <v>3</v>
      </c>
      <c r="AD6" s="87">
        <f>IF(AA6="","",SUMPRODUCT((Summary!$E$5:$E$241=AA6)*(Summary!$G$5:$G$241="Yes")*ISNUMBER(Summary!$A$5:$A$241)*(Summary!$A$5:$A$241&gt;=IF(set_from="",0,set_from))*(Summary!$A$5:$A$241&lt;IF(set_to="",2958465,set_to+1))))</f>
        <v>0</v>
      </c>
      <c r="AE6" s="87" t="str">
        <f>IF(AB6="","",IF(COUNTIF(AB$4:AB6,AB6)=1,ROW(AB6),""))</f>
        <v/>
      </c>
    </row>
    <row r="7" spans="1:31">
      <c r="A7" s="87" t="str">
        <f>Graphs!K9</f>
        <v>Door Torque</v>
      </c>
      <c r="B7" s="87">
        <f>Graphs!L9</f>
        <v>7</v>
      </c>
      <c r="C7" s="87">
        <f>Graphs!M9</f>
        <v>1</v>
      </c>
      <c r="D7" s="87">
        <f>Graphs!N9</f>
        <v>7.0003900000000003</v>
      </c>
      <c r="AA7" s="87" t="str">
        <f>Settings!A7</f>
        <v>Door frame heater</v>
      </c>
      <c r="AB7" s="87" t="str">
        <f>Settings!B7</f>
        <v>Doors</v>
      </c>
      <c r="AC7" s="87">
        <f>IF(AA7="","",SUMPRODUCT((Summary!$E$5:$E$241=AA7)*ISNUMBER(Summary!$A$5:$A$241)*(Summary!$A$5:$A$241&gt;=IF(set_from="",0,set_from))*(Summary!$A$5:$A$241&lt;IF(set_to="",2958465,set_to+1))))</f>
        <v>3</v>
      </c>
      <c r="AD7" s="87">
        <f>IF(AA7="","",SUMPRODUCT((Summary!$E$5:$E$241=AA7)*(Summary!$G$5:$G$241="Yes")*ISNUMBER(Summary!$A$5:$A$241)*(Summary!$A$5:$A$241&gt;=IF(set_from="",0,set_from))*(Summary!$A$5:$A$241&lt;IF(set_to="",2958465,set_to+1))))</f>
        <v>0</v>
      </c>
      <c r="AE7" s="87" t="str">
        <f>IF(AB7="","",IF(COUNTIF(AB$4:AB7,AB7)=1,ROW(AB7),""))</f>
        <v/>
      </c>
    </row>
    <row r="8" spans="1:31">
      <c r="A8" s="87" t="str">
        <f>Graphs!K10</f>
        <v>Door Gasket</v>
      </c>
      <c r="B8" s="87">
        <f>Graphs!L10</f>
        <v>3</v>
      </c>
      <c r="C8" s="87">
        <f>Graphs!M10</f>
        <v>0</v>
      </c>
      <c r="D8" s="87">
        <f>Graphs!N10</f>
        <v>3.0003799999999998</v>
      </c>
      <c r="AA8" s="87" t="str">
        <f>Settings!A8</f>
        <v>Door Torsion rod</v>
      </c>
      <c r="AB8" s="87" t="str">
        <f>Settings!B8</f>
        <v>Doors</v>
      </c>
      <c r="AC8" s="87">
        <f>IF(AA8="","",SUMPRODUCT((Summary!$E$5:$E$241=AA8)*ISNUMBER(Summary!$A$5:$A$241)*(Summary!$A$5:$A$241&gt;=IF(set_from="",0,set_from))*(Summary!$A$5:$A$241&lt;IF(set_to="",2958465,set_to+1))))</f>
        <v>1</v>
      </c>
      <c r="AD8" s="87">
        <f>IF(AA8="","",SUMPRODUCT((Summary!$E$5:$E$241=AA8)*(Summary!$G$5:$G$241="Yes")*ISNUMBER(Summary!$A$5:$A$241)*(Summary!$A$5:$A$241&gt;=IF(set_from="",0,set_from))*(Summary!$A$5:$A$241&lt;IF(set_to="",2958465,set_to+1))))</f>
        <v>1</v>
      </c>
      <c r="AE8" s="87" t="str">
        <f>IF(AB8="","",IF(COUNTIF(AB$4:AB8,AB8)=1,ROW(AB8),""))</f>
        <v/>
      </c>
    </row>
    <row r="9" spans="1:31">
      <c r="A9" s="87" t="str">
        <f>Graphs!K11</f>
        <v>Door frame heater</v>
      </c>
      <c r="B9" s="87">
        <f>Graphs!L11</f>
        <v>3</v>
      </c>
      <c r="C9" s="87">
        <f>Graphs!M11</f>
        <v>0</v>
      </c>
      <c r="D9" s="87">
        <f>Graphs!N11</f>
        <v>3.0003700000000002</v>
      </c>
      <c r="AA9" s="87" t="str">
        <f>Settings!A9</f>
        <v>Door not closed (Overnight)</v>
      </c>
      <c r="AB9" s="87" t="str">
        <f>Settings!B9</f>
        <v>Doors</v>
      </c>
      <c r="AC9" s="87">
        <f>IF(AA9="","",SUMPRODUCT((Summary!$E$5:$E$241=AA9)*ISNUMBER(Summary!$A$5:$A$241)*(Summary!$A$5:$A$241&gt;=IF(set_from="",0,set_from))*(Summary!$A$5:$A$241&lt;IF(set_to="",2958465,set_to+1))))</f>
        <v>14</v>
      </c>
      <c r="AD9" s="87">
        <f>IF(AA9="","",SUMPRODUCT((Summary!$E$5:$E$241=AA9)*(Summary!$G$5:$G$241="Yes")*ISNUMBER(Summary!$A$5:$A$241)*(Summary!$A$5:$A$241&gt;=IF(set_from="",0,set_from))*(Summary!$A$5:$A$241&lt;IF(set_to="",2958465,set_to+1))))</f>
        <v>2</v>
      </c>
      <c r="AE9" s="87" t="str">
        <f>IF(AB9="","",IF(COUNTIF(AB$4:AB9,AB9)=1,ROW(AB9),""))</f>
        <v/>
      </c>
    </row>
    <row r="10" spans="1:31">
      <c r="A10" s="87" t="str">
        <f>Graphs!K12</f>
        <v>Door Torsion rod</v>
      </c>
      <c r="B10" s="87">
        <f>Graphs!L12</f>
        <v>1</v>
      </c>
      <c r="C10" s="87">
        <f>Graphs!M12</f>
        <v>1</v>
      </c>
      <c r="D10" s="87">
        <f>Graphs!N12</f>
        <v>1.0003599999999999</v>
      </c>
      <c r="AA10" s="87" t="str">
        <f>Settings!A10</f>
        <v>Door - general</v>
      </c>
      <c r="AB10" s="87" t="str">
        <f>Settings!B10</f>
        <v>Doors</v>
      </c>
      <c r="AC10" s="87">
        <f>IF(AA10="","",SUMPRODUCT((Summary!$E$5:$E$241=AA10)*ISNUMBER(Summary!$A$5:$A$241)*(Summary!$A$5:$A$241&gt;=IF(set_from="",0,set_from))*(Summary!$A$5:$A$241&lt;IF(set_to="",2958465,set_to+1))))</f>
        <v>1</v>
      </c>
      <c r="AD10" s="87">
        <f>IF(AA10="","",SUMPRODUCT((Summary!$E$5:$E$241=AA10)*(Summary!$G$5:$G$241="Yes")*ISNUMBER(Summary!$A$5:$A$241)*(Summary!$A$5:$A$241&gt;=IF(set_from="",0,set_from))*(Summary!$A$5:$A$241&lt;IF(set_to="",2958465,set_to+1))))</f>
        <v>1</v>
      </c>
      <c r="AE10" s="87" t="str">
        <f>IF(AB10="","",IF(COUNTIF(AB$4:AB10,AB10)=1,ROW(AB10),""))</f>
        <v/>
      </c>
    </row>
    <row r="11" spans="1:31">
      <c r="A11" s="87" t="str">
        <f>Graphs!K13</f>
        <v>Door not closed (Overnight)</v>
      </c>
      <c r="B11" s="87">
        <f>Graphs!L13</f>
        <v>14</v>
      </c>
      <c r="C11" s="87">
        <f>Graphs!M13</f>
        <v>2</v>
      </c>
      <c r="D11" s="87">
        <f>Graphs!N13</f>
        <v>14.000349999999999</v>
      </c>
      <c r="AA11" s="87" t="str">
        <f>Settings!A11</f>
        <v>Drain tube blocked</v>
      </c>
      <c r="AB11" s="87" t="str">
        <f>Settings!B11</f>
        <v>Drain tube blocked</v>
      </c>
      <c r="AC11" s="87">
        <f>IF(AA11="","",SUMPRODUCT((Summary!$E$5:$E$241=AA11)*ISNUMBER(Summary!$A$5:$A$241)*(Summary!$A$5:$A$241&gt;=IF(set_from="",0,set_from))*(Summary!$A$5:$A$241&lt;IF(set_to="",2958465,set_to+1))))</f>
        <v>3</v>
      </c>
      <c r="AD11" s="87">
        <f>IF(AA11="","",SUMPRODUCT((Summary!$E$5:$E$241=AA11)*(Summary!$G$5:$G$241="Yes")*ISNUMBER(Summary!$A$5:$A$241)*(Summary!$A$5:$A$241&gt;=IF(set_from="",0,set_from))*(Summary!$A$5:$A$241&lt;IF(set_to="",2958465,set_to+1))))</f>
        <v>0</v>
      </c>
      <c r="AE11" s="87">
        <f>IF(AB11="","",IF(COUNTIF(AB$4:AB11,AB11)=1,ROW(AB11),""))</f>
        <v>11</v>
      </c>
    </row>
    <row r="12" spans="1:31">
      <c r="A12" s="87" t="str">
        <f>Graphs!K14</f>
        <v>Door - general</v>
      </c>
      <c r="B12" s="87">
        <f>Graphs!L14</f>
        <v>1</v>
      </c>
      <c r="C12" s="87">
        <f>Graphs!M14</f>
        <v>1</v>
      </c>
      <c r="D12" s="87">
        <f>Graphs!N14</f>
        <v>1.00034</v>
      </c>
      <c r="AA12" s="87" t="str">
        <f>Settings!A12</f>
        <v>Wrong / Loose wiring</v>
      </c>
      <c r="AB12" s="87" t="str">
        <f>Settings!B12</f>
        <v>Wrong / Loose wiring</v>
      </c>
      <c r="AC12" s="87">
        <f>IF(AA12="","",SUMPRODUCT((Summary!$E$5:$E$241=AA12)*ISNUMBER(Summary!$A$5:$A$241)*(Summary!$A$5:$A$241&gt;=IF(set_from="",0,set_from))*(Summary!$A$5:$A$241&lt;IF(set_to="",2958465,set_to+1))))</f>
        <v>2</v>
      </c>
      <c r="AD12" s="87">
        <f>IF(AA12="","",SUMPRODUCT((Summary!$E$5:$E$241=AA12)*(Summary!$G$5:$G$241="Yes")*ISNUMBER(Summary!$A$5:$A$241)*(Summary!$A$5:$A$241&gt;=IF(set_from="",0,set_from))*(Summary!$A$5:$A$241&lt;IF(set_to="",2958465,set_to+1))))</f>
        <v>2</v>
      </c>
      <c r="AE12" s="87">
        <f>IF(AB12="","",IF(COUNTIF(AB$4:AB12,AB12)=1,ROW(AB12),""))</f>
        <v>12</v>
      </c>
    </row>
    <row r="13" spans="1:31">
      <c r="A13" s="87" t="str">
        <f>Graphs!K15</f>
        <v>Drain tube blocked</v>
      </c>
      <c r="B13" s="87">
        <f>Graphs!L15</f>
        <v>3</v>
      </c>
      <c r="C13" s="87">
        <f>Graphs!M15</f>
        <v>0</v>
      </c>
      <c r="D13" s="87">
        <f>Graphs!N15</f>
        <v>3.0003299999999999</v>
      </c>
      <c r="AA13" s="87" t="str">
        <f>Settings!A13</f>
        <v>Communication problem</v>
      </c>
      <c r="AB13" s="87" t="str">
        <f>Settings!B13</f>
        <v>Communication problem</v>
      </c>
      <c r="AC13" s="87">
        <f>IF(AA13="","",SUMPRODUCT((Summary!$E$5:$E$241=AA13)*ISNUMBER(Summary!$A$5:$A$241)*(Summary!$A$5:$A$241&gt;=IF(set_from="",0,set_from))*(Summary!$A$5:$A$241&lt;IF(set_to="",2958465,set_to+1))))</f>
        <v>4</v>
      </c>
      <c r="AD13" s="87">
        <f>IF(AA13="","",SUMPRODUCT((Summary!$E$5:$E$241=AA13)*(Summary!$G$5:$G$241="Yes")*ISNUMBER(Summary!$A$5:$A$241)*(Summary!$A$5:$A$241&gt;=IF(set_from="",0,set_from))*(Summary!$A$5:$A$241&lt;IF(set_to="",2958465,set_to+1))))</f>
        <v>1</v>
      </c>
      <c r="AE13" s="87">
        <f>IF(AB13="","",IF(COUNTIF(AB$4:AB13,AB13)=1,ROW(AB13),""))</f>
        <v>13</v>
      </c>
    </row>
    <row r="14" spans="1:31">
      <c r="A14" s="87" t="str">
        <f>Graphs!K16</f>
        <v>Wrong / Loose wiring</v>
      </c>
      <c r="B14" s="87">
        <f>Graphs!L16</f>
        <v>2</v>
      </c>
      <c r="C14" s="87">
        <f>Graphs!M16</f>
        <v>2</v>
      </c>
      <c r="D14" s="87">
        <f>Graphs!N16</f>
        <v>2.0003199999999999</v>
      </c>
      <c r="AA14" s="87" t="str">
        <f>Settings!A14</f>
        <v>High Store RH</v>
      </c>
      <c r="AB14" s="87" t="str">
        <f>Settings!B14</f>
        <v>High Store RH</v>
      </c>
      <c r="AC14" s="87">
        <f>IF(AA14="","",SUMPRODUCT((Summary!$E$5:$E$241=AA14)*ISNUMBER(Summary!$A$5:$A$241)*(Summary!$A$5:$A$241&gt;=IF(set_from="",0,set_from))*(Summary!$A$5:$A$241&lt;IF(set_to="",2958465,set_to+1))))</f>
        <v>9</v>
      </c>
      <c r="AD14" s="87">
        <f>IF(AA14="","",SUMPRODUCT((Summary!$E$5:$E$241=AA14)*(Summary!$G$5:$G$241="Yes")*ISNUMBER(Summary!$A$5:$A$241)*(Summary!$A$5:$A$241&gt;=IF(set_from="",0,set_from))*(Summary!$A$5:$A$241&lt;IF(set_to="",2958465,set_to+1))))</f>
        <v>4</v>
      </c>
      <c r="AE14" s="87">
        <f>IF(AB14="","",IF(COUNTIF(AB$4:AB14,AB14)=1,ROW(AB14),""))</f>
        <v>14</v>
      </c>
    </row>
    <row r="15" spans="1:31">
      <c r="A15" s="87" t="str">
        <f>Graphs!K17</f>
        <v>Communication problem</v>
      </c>
      <c r="B15" s="87">
        <f>Graphs!L17</f>
        <v>4</v>
      </c>
      <c r="C15" s="87">
        <f>Graphs!M17</f>
        <v>1</v>
      </c>
      <c r="D15" s="87">
        <f>Graphs!N17</f>
        <v>4.0003099999999998</v>
      </c>
      <c r="AA15" s="87" t="str">
        <f>Settings!A15</f>
        <v>Enclosure Seal</v>
      </c>
      <c r="AB15" s="87" t="str">
        <f>Settings!B15</f>
        <v>Enclosure Seal</v>
      </c>
      <c r="AC15" s="87">
        <f>IF(AA15="","",SUMPRODUCT((Summary!$E$5:$E$241=AA15)*ISNUMBER(Summary!$A$5:$A$241)*(Summary!$A$5:$A$241&gt;=IF(set_from="",0,set_from))*(Summary!$A$5:$A$241&lt;IF(set_to="",2958465,set_to+1))))</f>
        <v>0</v>
      </c>
      <c r="AD15" s="87">
        <f>IF(AA15="","",SUMPRODUCT((Summary!$E$5:$E$241=AA15)*(Summary!$G$5:$G$241="Yes")*ISNUMBER(Summary!$A$5:$A$241)*(Summary!$A$5:$A$241&gt;=IF(set_from="",0,set_from))*(Summary!$A$5:$A$241&lt;IF(set_to="",2958465,set_to+1))))</f>
        <v>0</v>
      </c>
      <c r="AE15" s="87">
        <f>IF(AB15="","",IF(COUNTIF(AB$4:AB15,AB15)=1,ROW(AB15),""))</f>
        <v>15</v>
      </c>
    </row>
    <row r="16" spans="1:31">
      <c r="A16" s="87" t="str">
        <f>Graphs!K18</f>
        <v>High Store RH</v>
      </c>
      <c r="B16" s="87">
        <f>Graphs!L18</f>
        <v>9</v>
      </c>
      <c r="C16" s="87">
        <f>Graphs!M18</f>
        <v>4</v>
      </c>
      <c r="D16" s="87">
        <f>Graphs!N18</f>
        <v>9.0002999999999993</v>
      </c>
      <c r="AA16" s="87" t="str">
        <f>Settings!A16</f>
        <v>Component Failure</v>
      </c>
      <c r="AB16" s="87" t="str">
        <f>Settings!B16</f>
        <v>Component Failure</v>
      </c>
      <c r="AC16" s="87">
        <f>IF(AA16="","",SUMPRODUCT((Summary!$E$5:$E$241=AA16)*ISNUMBER(Summary!$A$5:$A$241)*(Summary!$A$5:$A$241&gt;=IF(set_from="",0,set_from))*(Summary!$A$5:$A$241&lt;IF(set_to="",2958465,set_to+1))))</f>
        <v>2</v>
      </c>
      <c r="AD16" s="87">
        <f>IF(AA16="","",SUMPRODUCT((Summary!$E$5:$E$241=AA16)*(Summary!$G$5:$G$241="Yes")*ISNUMBER(Summary!$A$5:$A$241)*(Summary!$A$5:$A$241&gt;=IF(set_from="",0,set_from))*(Summary!$A$5:$A$241&lt;IF(set_to="",2958465,set_to+1))))</f>
        <v>0</v>
      </c>
      <c r="AE16" s="87">
        <f>IF(AB16="","",IF(COUNTIF(AB$4:AB16,AB16)=1,ROW(AB16),""))</f>
        <v>16</v>
      </c>
    </row>
    <row r="17" spans="1:31">
      <c r="A17" s="87" t="str">
        <f>Graphs!K19</f>
        <v>Enclosure Seal</v>
      </c>
      <c r="B17" s="87">
        <f>Graphs!L19</f>
        <v>0</v>
      </c>
      <c r="C17" s="87">
        <f>Graphs!M19</f>
        <v>0</v>
      </c>
      <c r="D17" s="87">
        <f>Graphs!N19</f>
        <v>2.9E-4</v>
      </c>
      <c r="AA17" s="87" t="str">
        <f>Settings!A17</f>
        <v>Defrost Sync</v>
      </c>
      <c r="AB17" s="87" t="str">
        <f>Settings!B17</f>
        <v>Defrost Sync</v>
      </c>
      <c r="AC17" s="87">
        <f>IF(AA17="","",SUMPRODUCT((Summary!$E$5:$E$241=AA17)*ISNUMBER(Summary!$A$5:$A$241)*(Summary!$A$5:$A$241&gt;=IF(set_from="",0,set_from))*(Summary!$A$5:$A$241&lt;IF(set_to="",2958465,set_to+1))))</f>
        <v>0</v>
      </c>
      <c r="AD17" s="87">
        <f>IF(AA17="","",SUMPRODUCT((Summary!$E$5:$E$241=AA17)*(Summary!$G$5:$G$241="Yes")*ISNUMBER(Summary!$A$5:$A$241)*(Summary!$A$5:$A$241&gt;=IF(set_from="",0,set_from))*(Summary!$A$5:$A$241&lt;IF(set_to="",2958465,set_to+1))))</f>
        <v>0</v>
      </c>
      <c r="AE17" s="87">
        <f>IF(AB17="","",IF(COUNTIF(AB$4:AB17,AB17)=1,ROW(AB17),""))</f>
        <v>17</v>
      </c>
    </row>
    <row r="18" spans="1:31">
      <c r="A18" s="87" t="str">
        <f>Graphs!K20</f>
        <v>Component Failure</v>
      </c>
      <c r="B18" s="87">
        <f>Graphs!L20</f>
        <v>2</v>
      </c>
      <c r="C18" s="87">
        <f>Graphs!M20</f>
        <v>0</v>
      </c>
      <c r="D18" s="87">
        <f>Graphs!N20</f>
        <v>2.0002800000000001</v>
      </c>
      <c r="AA18" s="87" t="str">
        <f>Settings!A18</f>
        <v>False Alarm</v>
      </c>
      <c r="AB18" s="87" t="str">
        <f>Settings!B18</f>
        <v>False Alarm</v>
      </c>
      <c r="AC18" s="87">
        <f>IF(AA18="","",SUMPRODUCT((Summary!$E$5:$E$241=AA18)*ISNUMBER(Summary!$A$5:$A$241)*(Summary!$A$5:$A$241&gt;=IF(set_from="",0,set_from))*(Summary!$A$5:$A$241&lt;IF(set_to="",2958465,set_to+1))))</f>
        <v>11</v>
      </c>
      <c r="AD18" s="87">
        <f>IF(AA18="","",SUMPRODUCT((Summary!$E$5:$E$241=AA18)*(Summary!$G$5:$G$241="Yes")*ISNUMBER(Summary!$A$5:$A$241)*(Summary!$A$5:$A$241&gt;=IF(set_from="",0,set_from))*(Summary!$A$5:$A$241&lt;IF(set_to="",2958465,set_to+1))))</f>
        <v>5</v>
      </c>
      <c r="AE18" s="87">
        <f>IF(AB18="","",IF(COUNTIF(AB$4:AB18,AB18)=1,ROW(AB18),""))</f>
        <v>18</v>
      </c>
    </row>
    <row r="19" spans="1:31">
      <c r="A19" s="87" t="str">
        <f>Graphs!K21</f>
        <v>Defrost Sync</v>
      </c>
      <c r="B19" s="87">
        <f>Graphs!L21</f>
        <v>0</v>
      </c>
      <c r="C19" s="87">
        <f>Graphs!M21</f>
        <v>0</v>
      </c>
      <c r="D19" s="87">
        <f>Graphs!N21</f>
        <v>2.7E-4</v>
      </c>
      <c r="AA19" s="87" t="str">
        <f>Settings!A19</f>
        <v>Setpoint change</v>
      </c>
      <c r="AB19" s="87" t="str">
        <f>Settings!B19</f>
        <v>Setpoint change</v>
      </c>
      <c r="AC19" s="87">
        <f>IF(AA19="","",SUMPRODUCT((Summary!$E$5:$E$241=AA19)*ISNUMBER(Summary!$A$5:$A$241)*(Summary!$A$5:$A$241&gt;=IF(set_from="",0,set_from))*(Summary!$A$5:$A$241&lt;IF(set_to="",2958465,set_to+1))))</f>
        <v>1</v>
      </c>
      <c r="AD19" s="87">
        <f>IF(AA19="","",SUMPRODUCT((Summary!$E$5:$E$241=AA19)*(Summary!$G$5:$G$241="Yes")*ISNUMBER(Summary!$A$5:$A$241)*(Summary!$A$5:$A$241&gt;=IF(set_from="",0,set_from))*(Summary!$A$5:$A$241&lt;IF(set_to="",2958465,set_to+1))))</f>
        <v>1</v>
      </c>
      <c r="AE19" s="87">
        <f>IF(AB19="","",IF(COUNTIF(AB$4:AB19,AB19)=1,ROW(AB19),""))</f>
        <v>19</v>
      </c>
    </row>
    <row r="20" spans="1:31">
      <c r="A20" s="87" t="str">
        <f>Graphs!K22</f>
        <v>False Alarm</v>
      </c>
      <c r="B20" s="87">
        <f>Graphs!L22</f>
        <v>11</v>
      </c>
      <c r="C20" s="87">
        <f>Graphs!M22</f>
        <v>5</v>
      </c>
      <c r="D20" s="87">
        <f>Graphs!N22</f>
        <v>11.000260000000001</v>
      </c>
      <c r="AA20" s="87" t="str">
        <f>Settings!A20</f>
        <v>Overstocking</v>
      </c>
      <c r="AB20" s="87" t="str">
        <f>Settings!B20</f>
        <v>Overstocking</v>
      </c>
      <c r="AC20" s="87">
        <f>IF(AA20="","",SUMPRODUCT((Summary!$E$5:$E$241=AA20)*ISNUMBER(Summary!$A$5:$A$241)*(Summary!$A$5:$A$241&gt;=IF(set_from="",0,set_from))*(Summary!$A$5:$A$241&lt;IF(set_to="",2958465,set_to+1))))</f>
        <v>3</v>
      </c>
      <c r="AD20" s="87">
        <f>IF(AA20="","",SUMPRODUCT((Summary!$E$5:$E$241=AA20)*(Summary!$G$5:$G$241="Yes")*ISNUMBER(Summary!$A$5:$A$241)*(Summary!$A$5:$A$241&gt;=IF(set_from="",0,set_from))*(Summary!$A$5:$A$241&lt;IF(set_to="",2958465,set_to+1))))</f>
        <v>3</v>
      </c>
      <c r="AE20" s="87">
        <f>IF(AB20="","",IF(COUNTIF(AB$4:AB20,AB20)=1,ROW(AB20),""))</f>
        <v>20</v>
      </c>
    </row>
    <row r="21" spans="1:31">
      <c r="A21" s="87" t="str">
        <f>Graphs!K23</f>
        <v>Setpoint change</v>
      </c>
      <c r="B21" s="87">
        <f>Graphs!L23</f>
        <v>1</v>
      </c>
      <c r="C21" s="87">
        <f>Graphs!M23</f>
        <v>1</v>
      </c>
      <c r="D21" s="87">
        <f>Graphs!N23</f>
        <v>1.0002500000000001</v>
      </c>
      <c r="AA21" s="87" t="str">
        <f>Settings!A21</f>
        <v>Case End Seal</v>
      </c>
      <c r="AB21" s="87" t="str">
        <f>Settings!B21</f>
        <v>Case End Seal</v>
      </c>
      <c r="AC21" s="87">
        <f>IF(AA21="","",SUMPRODUCT((Summary!$E$5:$E$241=AA21)*ISNUMBER(Summary!$A$5:$A$241)*(Summary!$A$5:$A$241&gt;=IF(set_from="",0,set_from))*(Summary!$A$5:$A$241&lt;IF(set_to="",2958465,set_to+1))))</f>
        <v>0</v>
      </c>
      <c r="AD21" s="87">
        <f>IF(AA21="","",SUMPRODUCT((Summary!$E$5:$E$241=AA21)*(Summary!$G$5:$G$241="Yes")*ISNUMBER(Summary!$A$5:$A$241)*(Summary!$A$5:$A$241&gt;=IF(set_from="",0,set_from))*(Summary!$A$5:$A$241&lt;IF(set_to="",2958465,set_to+1))))</f>
        <v>0</v>
      </c>
      <c r="AE21" s="87">
        <f>IF(AB21="","",IF(COUNTIF(AB$4:AB21,AB21)=1,ROW(AB21),""))</f>
        <v>21</v>
      </c>
    </row>
    <row r="22" spans="1:31">
      <c r="A22" s="87" t="str">
        <f>Graphs!K24</f>
        <v>Overstocking</v>
      </c>
      <c r="B22" s="87">
        <f>Graphs!L24</f>
        <v>3</v>
      </c>
      <c r="C22" s="87">
        <f>Graphs!M24</f>
        <v>3</v>
      </c>
      <c r="D22" s="87">
        <f>Graphs!N24</f>
        <v>3.0002399999999998</v>
      </c>
      <c r="AA22" s="87" t="str">
        <f>Settings!A22</f>
        <v>Return Air blocked</v>
      </c>
      <c r="AB22" s="87" t="str">
        <f>Settings!B22</f>
        <v>Return Air blocked</v>
      </c>
      <c r="AC22" s="87">
        <f>IF(AA22="","",SUMPRODUCT((Summary!$E$5:$E$241=AA22)*ISNUMBER(Summary!$A$5:$A$241)*(Summary!$A$5:$A$241&gt;=IF(set_from="",0,set_from))*(Summary!$A$5:$A$241&lt;IF(set_to="",2958465,set_to+1))))</f>
        <v>0</v>
      </c>
      <c r="AD22" s="87">
        <f>IF(AA22="","",SUMPRODUCT((Summary!$E$5:$E$241=AA22)*(Summary!$G$5:$G$241="Yes")*ISNUMBER(Summary!$A$5:$A$241)*(Summary!$A$5:$A$241&gt;=IF(set_from="",0,set_from))*(Summary!$A$5:$A$241&lt;IF(set_to="",2958465,set_to+1))))</f>
        <v>0</v>
      </c>
      <c r="AE22" s="87">
        <f>IF(AB22="","",IF(COUNTIF(AB$4:AB22,AB22)=1,ROW(AB22),""))</f>
        <v>22</v>
      </c>
    </row>
    <row r="23" spans="1:31">
      <c r="A23" s="87" t="str">
        <f>Graphs!K25</f>
        <v>Case End Seal</v>
      </c>
      <c r="B23" s="87">
        <f>Graphs!L25</f>
        <v>0</v>
      </c>
      <c r="C23" s="87">
        <f>Graphs!M25</f>
        <v>0</v>
      </c>
      <c r="D23" s="87">
        <f>Graphs!N25</f>
        <v>2.3000000000000001E-4</v>
      </c>
      <c r="AA23" s="87" t="str">
        <f>Settings!A23</f>
        <v>Unidentified air leak</v>
      </c>
      <c r="AB23" s="87" t="str">
        <f>Settings!B23</f>
        <v>Unidentified air leak</v>
      </c>
      <c r="AC23" s="87">
        <f>IF(AA23="","",SUMPRODUCT((Summary!$E$5:$E$241=AA23)*ISNUMBER(Summary!$A$5:$A$241)*(Summary!$A$5:$A$241&gt;=IF(set_from="",0,set_from))*(Summary!$A$5:$A$241&lt;IF(set_to="",2958465,set_to+1))))</f>
        <v>1</v>
      </c>
      <c r="AD23" s="87">
        <f>IF(AA23="","",SUMPRODUCT((Summary!$E$5:$E$241=AA23)*(Summary!$G$5:$G$241="Yes")*ISNUMBER(Summary!$A$5:$A$241)*(Summary!$A$5:$A$241&gt;=IF(set_from="",0,set_from))*(Summary!$A$5:$A$241&lt;IF(set_to="",2958465,set_to+1))))</f>
        <v>0</v>
      </c>
      <c r="AE23" s="87">
        <f>IF(AB23="","",IF(COUNTIF(AB$4:AB23,AB23)=1,ROW(AB23),""))</f>
        <v>23</v>
      </c>
    </row>
    <row r="24" spans="1:31">
      <c r="A24" s="87" t="str">
        <f>Graphs!K26</f>
        <v>Return Air blocked</v>
      </c>
      <c r="B24" s="87">
        <f>Graphs!L26</f>
        <v>0</v>
      </c>
      <c r="C24" s="87">
        <f>Graphs!M26</f>
        <v>0</v>
      </c>
      <c r="D24" s="87">
        <f>Graphs!N26</f>
        <v>2.2000000000000001E-4</v>
      </c>
      <c r="AA24" s="87" t="str">
        <f>Settings!A24</f>
        <v>Freedom</v>
      </c>
      <c r="AB24" s="87" t="str">
        <f>Settings!B24</f>
        <v>Freedom</v>
      </c>
      <c r="AC24" s="87">
        <f>IF(AA24="","",SUMPRODUCT((Summary!$E$5:$E$241=AA24)*ISNUMBER(Summary!$A$5:$A$241)*(Summary!$A$5:$A$241&gt;=IF(set_from="",0,set_from))*(Summary!$A$5:$A$241&lt;IF(set_to="",2958465,set_to+1))))</f>
        <v>1</v>
      </c>
      <c r="AD24" s="87">
        <f>IF(AA24="","",SUMPRODUCT((Summary!$E$5:$E$241=AA24)*(Summary!$G$5:$G$241="Yes")*ISNUMBER(Summary!$A$5:$A$241)*(Summary!$A$5:$A$241&gt;=IF(set_from="",0,set_from))*(Summary!$A$5:$A$241&lt;IF(set_to="",2958465,set_to+1))))</f>
        <v>0</v>
      </c>
      <c r="AE24" s="87">
        <f>IF(AB24="","",IF(COUNTIF(AB$4:AB24,AB24)=1,ROW(AB24),""))</f>
        <v>24</v>
      </c>
    </row>
    <row r="25" spans="1:31">
      <c r="A25" s="87" t="str">
        <f>Graphs!K27</f>
        <v>Unidentified air leak</v>
      </c>
      <c r="B25" s="87">
        <f>Graphs!L27</f>
        <v>1</v>
      </c>
      <c r="C25" s="87">
        <f>Graphs!M27</f>
        <v>0</v>
      </c>
      <c r="D25" s="87">
        <f>Graphs!N27</f>
        <v>1.00021</v>
      </c>
      <c r="AA25" s="87" t="str">
        <f>Settings!A25</f>
        <v>Heavy case load</v>
      </c>
      <c r="AB25" s="87" t="str">
        <f>Settings!B25</f>
        <v>Heavy case load</v>
      </c>
      <c r="AC25" s="87">
        <f>IF(AA25="","",SUMPRODUCT((Summary!$E$5:$E$241=AA25)*ISNUMBER(Summary!$A$5:$A$241)*(Summary!$A$5:$A$241&gt;=IF(set_from="",0,set_from))*(Summary!$A$5:$A$241&lt;IF(set_to="",2958465,set_to+1))))</f>
        <v>0</v>
      </c>
      <c r="AD25" s="87">
        <f>IF(AA25="","",SUMPRODUCT((Summary!$E$5:$E$241=AA25)*(Summary!$G$5:$G$241="Yes")*ISNUMBER(Summary!$A$5:$A$241)*(Summary!$A$5:$A$241&gt;=IF(set_from="",0,set_from))*(Summary!$A$5:$A$241&lt;IF(set_to="",2958465,set_to+1))))</f>
        <v>0</v>
      </c>
      <c r="AE25" s="87">
        <f>IF(AB25="","",IF(COUNTIF(AB$4:AB25,AB25)=1,ROW(AB25),""))</f>
        <v>25</v>
      </c>
    </row>
    <row r="26" spans="1:31">
      <c r="A26" s="87" t="str">
        <f>Graphs!K28</f>
        <v>Freedom</v>
      </c>
      <c r="B26" s="87">
        <f>Graphs!L28</f>
        <v>1</v>
      </c>
      <c r="C26" s="87">
        <f>Graphs!M28</f>
        <v>0</v>
      </c>
      <c r="D26" s="87">
        <f>Graphs!N28</f>
        <v>1.0002</v>
      </c>
      <c r="AA26" s="87" t="str">
        <f>Settings!A26</f>
        <v>DG Installation issue</v>
      </c>
      <c r="AB26" s="87" t="str">
        <f>Settings!B26</f>
        <v>DG Installation issue</v>
      </c>
      <c r="AC26" s="87">
        <f>IF(AA26="","",SUMPRODUCT((Summary!$E$5:$E$241=AA26)*ISNUMBER(Summary!$A$5:$A$241)*(Summary!$A$5:$A$241&gt;=IF(set_from="",0,set_from))*(Summary!$A$5:$A$241&lt;IF(set_to="",2958465,set_to+1))))</f>
        <v>5</v>
      </c>
      <c r="AD26" s="87">
        <f>IF(AA26="","",SUMPRODUCT((Summary!$E$5:$E$241=AA26)*(Summary!$G$5:$G$241="Yes")*ISNUMBER(Summary!$A$5:$A$241)*(Summary!$A$5:$A$241&gt;=IF(set_from="",0,set_from))*(Summary!$A$5:$A$241&lt;IF(set_to="",2958465,set_to+1))))</f>
        <v>1</v>
      </c>
      <c r="AE26" s="87">
        <f>IF(AB26="","",IF(COUNTIF(AB$4:AB26,AB26)=1,ROW(AB26),""))</f>
        <v>26</v>
      </c>
    </row>
    <row r="27" spans="1:31">
      <c r="A27" s="87" t="str">
        <f>Graphs!K29</f>
        <v>Heavy case load</v>
      </c>
      <c r="B27" s="87">
        <f>Graphs!L29</f>
        <v>0</v>
      </c>
      <c r="C27" s="87">
        <f>Graphs!M29</f>
        <v>0</v>
      </c>
      <c r="D27" s="87">
        <f>Graphs!N29</f>
        <v>1.9000000000000001E-4</v>
      </c>
      <c r="AA27" s="87" t="str">
        <f>Settings!A27</f>
        <v>Unknown</v>
      </c>
      <c r="AB27" s="87" t="str">
        <f>Settings!B27</f>
        <v>Unknown</v>
      </c>
      <c r="AC27" s="87">
        <f>IF(AA27="","",SUMPRODUCT((Summary!$E$5:$E$241=AA27)*ISNUMBER(Summary!$A$5:$A$241)*(Summary!$A$5:$A$241&gt;=IF(set_from="",0,set_from))*(Summary!$A$5:$A$241&lt;IF(set_to="",2958465,set_to+1))))</f>
        <v>5</v>
      </c>
      <c r="AD27" s="87">
        <f>IF(AA27="","",SUMPRODUCT((Summary!$E$5:$E$241=AA27)*(Summary!$G$5:$G$241="Yes")*ISNUMBER(Summary!$A$5:$A$241)*(Summary!$A$5:$A$241&gt;=IF(set_from="",0,set_from))*(Summary!$A$5:$A$241&lt;IF(set_to="",2958465,set_to+1))))</f>
        <v>0</v>
      </c>
      <c r="AE27" s="87">
        <f>IF(AB27="","",IF(COUNTIF(AB$4:AB27,AB27)=1,ROW(AB27),""))</f>
        <v>27</v>
      </c>
    </row>
    <row r="28" spans="1:31">
      <c r="A28" s="87" t="str">
        <f>Graphs!K30</f>
        <v>DG Installation issue</v>
      </c>
      <c r="B28" s="87">
        <f>Graphs!L30</f>
        <v>5</v>
      </c>
      <c r="C28" s="87">
        <f>Graphs!M30</f>
        <v>1</v>
      </c>
      <c r="D28" s="87">
        <f>Graphs!N30</f>
        <v>5.0001800000000003</v>
      </c>
      <c r="AA28" s="87" t="str">
        <f>Settings!A28</f>
        <v>Program change - Hussmann</v>
      </c>
      <c r="AB28" s="87" t="str">
        <f>Settings!B28</f>
        <v>Program change - Hussmann</v>
      </c>
      <c r="AC28" s="87">
        <f>IF(AA28="","",SUMPRODUCT((Summary!$E$5:$E$241=AA28)*ISNUMBER(Summary!$A$5:$A$241)*(Summary!$A$5:$A$241&gt;=IF(set_from="",0,set_from))*(Summary!$A$5:$A$241&lt;IF(set_to="",2958465,set_to+1))))</f>
        <v>0</v>
      </c>
      <c r="AD28" s="87">
        <f>IF(AA28="","",SUMPRODUCT((Summary!$E$5:$E$241=AA28)*(Summary!$G$5:$G$241="Yes")*ISNUMBER(Summary!$A$5:$A$241)*(Summary!$A$5:$A$241&gt;=IF(set_from="",0,set_from))*(Summary!$A$5:$A$241&lt;IF(set_to="",2958465,set_to+1))))</f>
        <v>0</v>
      </c>
      <c r="AE28" s="87">
        <f>IF(AB28="","",IF(COUNTIF(AB$4:AB28,AB28)=1,ROW(AB28),""))</f>
        <v>28</v>
      </c>
    </row>
    <row r="29" spans="1:31">
      <c r="A29" s="87" t="str">
        <f>Graphs!K31</f>
        <v>Unknown</v>
      </c>
      <c r="B29" s="87">
        <f>Graphs!L31</f>
        <v>5</v>
      </c>
      <c r="C29" s="87">
        <f>Graphs!M31</f>
        <v>0</v>
      </c>
      <c r="D29" s="87">
        <f>Graphs!N31</f>
        <v>5.0001699999999998</v>
      </c>
      <c r="AA29" s="87" t="str">
        <f>Settings!A29</f>
        <v>Wrong program</v>
      </c>
      <c r="AB29" s="87" t="str">
        <f>Settings!B29</f>
        <v>Wrong program</v>
      </c>
      <c r="AC29" s="87">
        <f>IF(AA29="","",SUMPRODUCT((Summary!$E$5:$E$241=AA29)*ISNUMBER(Summary!$A$5:$A$241)*(Summary!$A$5:$A$241&gt;=IF(set_from="",0,set_from))*(Summary!$A$5:$A$241&lt;IF(set_to="",2958465,set_to+1))))</f>
        <v>1</v>
      </c>
      <c r="AD29" s="87">
        <f>IF(AA29="","",SUMPRODUCT((Summary!$E$5:$E$241=AA29)*(Summary!$G$5:$G$241="Yes")*ISNUMBER(Summary!$A$5:$A$241)*(Summary!$A$5:$A$241&gt;=IF(set_from="",0,set_from))*(Summary!$A$5:$A$241&lt;IF(set_to="",2958465,set_to+1))))</f>
        <v>0</v>
      </c>
      <c r="AE29" s="87">
        <f>IF(AB29="","",IF(COUNTIF(AB$4:AB29,AB29)=1,ROW(AB29),""))</f>
        <v>29</v>
      </c>
    </row>
    <row r="30" spans="1:31">
      <c r="A30" s="87" t="str">
        <f>Graphs!K32</f>
        <v>Program change - Hussmann</v>
      </c>
      <c r="B30" s="87">
        <f>Graphs!L32</f>
        <v>0</v>
      </c>
      <c r="C30" s="87">
        <f>Graphs!M32</f>
        <v>0</v>
      </c>
      <c r="D30" s="87">
        <f>Graphs!N32</f>
        <v>1.6000000000000001E-4</v>
      </c>
      <c r="AA30" s="87">
        <f>Settings!A30</f>
        <v>0</v>
      </c>
      <c r="AB30" s="87">
        <f>Settings!B30</f>
        <v>0</v>
      </c>
      <c r="AC30" s="87">
        <f>IF(AA30="","",SUMPRODUCT((Summary!$E$5:$E$241=AA30)*ISNUMBER(Summary!$A$5:$A$241)*(Summary!$A$5:$A$241&gt;=IF(set_from="",0,set_from))*(Summary!$A$5:$A$241&lt;IF(set_to="",2958465,set_to+1))))</f>
        <v>0</v>
      </c>
      <c r="AD30" s="87">
        <f>IF(AA30="","",SUMPRODUCT((Summary!$E$5:$E$241=AA30)*(Summary!$G$5:$G$241="Yes")*ISNUMBER(Summary!$A$5:$A$241)*(Summary!$A$5:$A$241&gt;=IF(set_from="",0,set_from))*(Summary!$A$5:$A$241&lt;IF(set_to="",2958465,set_to+1))))</f>
        <v>0</v>
      </c>
      <c r="AE30" s="87">
        <f>IF(AB30="","",IF(COUNTIF(AB$4:AB30,AB30)=1,ROW(AB30),""))</f>
        <v>30</v>
      </c>
    </row>
    <row r="31" spans="1:31">
      <c r="AA31" s="87">
        <f>Settings!A31</f>
        <v>0</v>
      </c>
      <c r="AB31" s="87">
        <f>Settings!B31</f>
        <v>0</v>
      </c>
      <c r="AC31" s="87">
        <f>IF(AA31="","",SUMPRODUCT((Summary!$E$5:$E$241=AA31)*ISNUMBER(Summary!$A$5:$A$241)*(Summary!$A$5:$A$241&gt;=IF(set_from="",0,set_from))*(Summary!$A$5:$A$241&lt;IF(set_to="",2958465,set_to+1))))</f>
        <v>0</v>
      </c>
      <c r="AD31" s="87">
        <f>IF(AA31="","",SUMPRODUCT((Summary!$E$5:$E$241=AA31)*(Summary!$G$5:$G$241="Yes")*ISNUMBER(Summary!$A$5:$A$241)*(Summary!$A$5:$A$241&gt;=IF(set_from="",0,set_from))*(Summary!$A$5:$A$241&lt;IF(set_to="",2958465,set_to+1))))</f>
        <v>0</v>
      </c>
      <c r="AE31" s="87" t="str">
        <f>IF(AB31="","",IF(COUNTIF(AB$4:AB31,AB31)=1,ROW(AB31),""))</f>
        <v/>
      </c>
    </row>
    <row r="32" spans="1:31">
      <c r="AA32" s="87">
        <f>Settings!A32</f>
        <v>0</v>
      </c>
      <c r="AB32" s="87">
        <f>Settings!B32</f>
        <v>0</v>
      </c>
      <c r="AC32" s="87">
        <f>IF(AA32="","",SUMPRODUCT((Summary!$E$5:$E$241=AA32)*ISNUMBER(Summary!$A$5:$A$241)*(Summary!$A$5:$A$241&gt;=IF(set_from="",0,set_from))*(Summary!$A$5:$A$241&lt;IF(set_to="",2958465,set_to+1))))</f>
        <v>0</v>
      </c>
      <c r="AD32" s="87">
        <f>IF(AA32="","",SUMPRODUCT((Summary!$E$5:$E$241=AA32)*(Summary!$G$5:$G$241="Yes")*ISNUMBER(Summary!$A$5:$A$241)*(Summary!$A$5:$A$241&gt;=IF(set_from="",0,set_from))*(Summary!$A$5:$A$241&lt;IF(set_to="",2958465,set_to+1))))</f>
        <v>0</v>
      </c>
      <c r="AE32" s="87" t="str">
        <f>IF(AB32="","",IF(COUNTIF(AB$4:AB32,AB32)=1,ROW(AB32),""))</f>
        <v/>
      </c>
    </row>
    <row r="33" spans="1:31">
      <c r="A33" s="126" t="s">
        <v>1562</v>
      </c>
      <c r="B33" s="126"/>
      <c r="C33" s="126"/>
      <c r="D33" s="126"/>
      <c r="E33" s="126"/>
      <c r="F33" s="126"/>
      <c r="G33" s="126"/>
      <c r="AA33" s="87">
        <f>Settings!A33</f>
        <v>0</v>
      </c>
      <c r="AB33" s="87">
        <f>Settings!B33</f>
        <v>0</v>
      </c>
      <c r="AC33" s="87">
        <f>IF(AA33="","",SUMPRODUCT((Summary!$E$5:$E$241=AA33)*ISNUMBER(Summary!$A$5:$A$241)*(Summary!$A$5:$A$241&gt;=IF(set_from="",0,set_from))*(Summary!$A$5:$A$241&lt;IF(set_to="",2958465,set_to+1))))</f>
        <v>0</v>
      </c>
      <c r="AD33" s="87">
        <f>IF(AA33="","",SUMPRODUCT((Summary!$E$5:$E$241=AA33)*(Summary!$G$5:$G$241="Yes")*ISNUMBER(Summary!$A$5:$A$241)*(Summary!$A$5:$A$241&gt;=IF(set_from="",0,set_from))*(Summary!$A$5:$A$241&lt;IF(set_to="",2958465,set_to+1))))</f>
        <v>0</v>
      </c>
      <c r="AE33" s="87" t="str">
        <f>IF(AB33="","",IF(COUNTIF(AB$4:AB33,AB33)=1,ROW(AB33),""))</f>
        <v/>
      </c>
    </row>
    <row r="34" spans="1:31">
      <c r="A34" s="125" t="s">
        <v>1563</v>
      </c>
      <c r="B34" s="125"/>
      <c r="C34" s="125"/>
      <c r="D34" s="125"/>
      <c r="E34" s="125"/>
      <c r="F34" s="125"/>
      <c r="G34" s="125"/>
      <c r="AA34" s="87">
        <f>Settings!A34</f>
        <v>0</v>
      </c>
      <c r="AB34" s="87">
        <f>Settings!B34</f>
        <v>0</v>
      </c>
      <c r="AC34" s="87">
        <f>IF(AA34="","",SUMPRODUCT((Summary!$E$5:$E$241=AA34)*ISNUMBER(Summary!$A$5:$A$241)*(Summary!$A$5:$A$241&gt;=IF(set_from="",0,set_from))*(Summary!$A$5:$A$241&lt;IF(set_to="",2958465,set_to+1))))</f>
        <v>0</v>
      </c>
      <c r="AD34" s="87">
        <f>IF(AA34="","",SUMPRODUCT((Summary!$E$5:$E$241=AA34)*(Summary!$G$5:$G$241="Yes")*ISNUMBER(Summary!$A$5:$A$241)*(Summary!$A$5:$A$241&gt;=IF(set_from="",0,set_from))*(Summary!$A$5:$A$241&lt;IF(set_to="",2958465,set_to+1))))</f>
        <v>0</v>
      </c>
      <c r="AE34" s="87" t="str">
        <f>IF(AB34="","",IF(COUNTIF(AB$4:AB34,AB34)=1,ROW(AB34),""))</f>
        <v/>
      </c>
    </row>
    <row r="35" spans="1:31">
      <c r="A35" s="119" t="s">
        <v>1257</v>
      </c>
      <c r="B35" s="119" t="s">
        <v>1564</v>
      </c>
      <c r="C35" s="119" t="s">
        <v>1281</v>
      </c>
      <c r="D35" s="119" t="s">
        <v>1504</v>
      </c>
      <c r="E35" s="119" t="s">
        <v>1565</v>
      </c>
      <c r="F35" s="119" t="s">
        <v>1566</v>
      </c>
      <c r="AA35" s="87">
        <f>Settings!A35</f>
        <v>0</v>
      </c>
      <c r="AB35" s="87">
        <f>Settings!B35</f>
        <v>0</v>
      </c>
      <c r="AC35" s="87">
        <f>IF(AA35="","",SUMPRODUCT((Summary!$E$5:$E$241=AA35)*ISNUMBER(Summary!$A$5:$A$241)*(Summary!$A$5:$A$241&gt;=IF(set_from="",0,set_from))*(Summary!$A$5:$A$241&lt;IF(set_to="",2958465,set_to+1))))</f>
        <v>0</v>
      </c>
      <c r="AD35" s="87">
        <f>IF(AA35="","",SUMPRODUCT((Summary!$E$5:$E$241=AA35)*(Summary!$G$5:$G$241="Yes")*ISNUMBER(Summary!$A$5:$A$241)*(Summary!$A$5:$A$241&gt;=IF(set_from="",0,set_from))*(Summary!$A$5:$A$241&lt;IF(set_to="",2958465,set_to+1))))</f>
        <v>0</v>
      </c>
      <c r="AE35" s="87" t="str">
        <f>IF(AB35="","",IF(COUNTIF(AB$4:AB35,AB35)=1,ROW(AB35),""))</f>
        <v/>
      </c>
    </row>
    <row r="36" spans="1:31">
      <c r="A36" s="87" t="str">
        <f>IFERROR(IF(INDEX(Settings!$B$4:$B$59,SMALL($AE$4:$AE$59,1)-3)="","",INDEX(Settings!$B$4:$B$59,SMALL($AE$4:$AE$59,1)-3)),"")</f>
        <v>Ref. leak/ Low charge</v>
      </c>
      <c r="B36" s="87">
        <f>IF(OR(A36="",A36=0),"",MATCH(A36,Settings!$B$4:$B$59,0)+3)</f>
        <v>4</v>
      </c>
      <c r="C36" s="87">
        <f t="shared" ref="C36:C60" si="0">IF(A36="","",SUMIF($AB$4:$AB$59,A36,$AC$4:$AC$59))</f>
        <v>4</v>
      </c>
      <c r="D36" s="87">
        <f t="shared" ref="D36:D60" si="1">IF(A36="","",SUMIF($AB$4:$AB$59,A36,$AD$4:$AD$59))</f>
        <v>2</v>
      </c>
      <c r="E36" s="87">
        <f>Graphs!T8</f>
        <v>4.0002500000000003</v>
      </c>
      <c r="F36" s="87">
        <f>Graphs!U8</f>
        <v>2.0002499999999999</v>
      </c>
      <c r="AA36" s="87">
        <f>Settings!A36</f>
        <v>0</v>
      </c>
      <c r="AB36" s="87">
        <f>Settings!B36</f>
        <v>0</v>
      </c>
      <c r="AC36" s="87">
        <f>IF(AA36="","",SUMPRODUCT((Summary!$E$5:$E$241=AA36)*ISNUMBER(Summary!$A$5:$A$241)*(Summary!$A$5:$A$241&gt;=IF(set_from="",0,set_from))*(Summary!$A$5:$A$241&lt;IF(set_to="",2958465,set_to+1))))</f>
        <v>0</v>
      </c>
      <c r="AD36" s="87">
        <f>IF(AA36="","",SUMPRODUCT((Summary!$E$5:$E$241=AA36)*(Summary!$G$5:$G$241="Yes")*ISNUMBER(Summary!$A$5:$A$241)*(Summary!$A$5:$A$241&gt;=IF(set_from="",0,set_from))*(Summary!$A$5:$A$241&lt;IF(set_to="",2958465,set_to+1))))</f>
        <v>0</v>
      </c>
      <c r="AE36" s="87" t="str">
        <f>IF(AB36="","",IF(COUNTIF(AB$4:AB36,AB36)=1,ROW(AB36),""))</f>
        <v/>
      </c>
    </row>
    <row r="37" spans="1:31">
      <c r="A37" s="87" t="str">
        <f>IFERROR(IF(INDEX(Settings!$B$4:$B$59,SMALL($AE$4:$AE$59,2)-3)="","",INDEX(Settings!$B$4:$B$59,SMALL($AE$4:$AE$59,2)-3)),"")</f>
        <v>Doors</v>
      </c>
      <c r="B37" s="87">
        <f>IF(OR(A37="",A37=0),"",MATCH(A37,Settings!$B$4:$B$59,0)+3)</f>
        <v>5</v>
      </c>
      <c r="C37" s="87">
        <f t="shared" si="0"/>
        <v>29</v>
      </c>
      <c r="D37" s="87">
        <f t="shared" si="1"/>
        <v>5</v>
      </c>
      <c r="E37" s="87">
        <f>Graphs!T9</f>
        <v>29.000240000000002</v>
      </c>
      <c r="F37" s="87">
        <f>Graphs!U9</f>
        <v>5.0002399999999998</v>
      </c>
      <c r="AA37" s="87">
        <f>Settings!A37</f>
        <v>0</v>
      </c>
      <c r="AB37" s="87">
        <f>Settings!B37</f>
        <v>0</v>
      </c>
      <c r="AC37" s="87">
        <f>IF(AA37="","",SUMPRODUCT((Summary!$E$5:$E$241=AA37)*ISNUMBER(Summary!$A$5:$A$241)*(Summary!$A$5:$A$241&gt;=IF(set_from="",0,set_from))*(Summary!$A$5:$A$241&lt;IF(set_to="",2958465,set_to+1))))</f>
        <v>0</v>
      </c>
      <c r="AD37" s="87">
        <f>IF(AA37="","",SUMPRODUCT((Summary!$E$5:$E$241=AA37)*(Summary!$G$5:$G$241="Yes")*ISNUMBER(Summary!$A$5:$A$241)*(Summary!$A$5:$A$241&gt;=IF(set_from="",0,set_from))*(Summary!$A$5:$A$241&lt;IF(set_to="",2958465,set_to+1))))</f>
        <v>0</v>
      </c>
      <c r="AE37" s="87" t="str">
        <f>IF(AB37="","",IF(COUNTIF(AB$4:AB37,AB37)=1,ROW(AB37),""))</f>
        <v/>
      </c>
    </row>
    <row r="38" spans="1:31">
      <c r="A38" s="87" t="str">
        <f>IFERROR(IF(INDEX(Settings!$B$4:$B$59,SMALL($AE$4:$AE$59,3)-3)="","",INDEX(Settings!$B$4:$B$59,SMALL($AE$4:$AE$59,3)-3)),"")</f>
        <v>Drain tube blocked</v>
      </c>
      <c r="B38" s="87">
        <f>IF(OR(A38="",A38=0),"",MATCH(A38,Settings!$B$4:$B$59,0)+3)</f>
        <v>11</v>
      </c>
      <c r="C38" s="87">
        <f t="shared" si="0"/>
        <v>3</v>
      </c>
      <c r="D38" s="87">
        <f t="shared" si="1"/>
        <v>0</v>
      </c>
      <c r="E38" s="87">
        <f>Graphs!T10</f>
        <v>3.0002300000000002</v>
      </c>
      <c r="F38" s="87">
        <f>Graphs!U10</f>
        <v>2.3000000000000001E-4</v>
      </c>
      <c r="AA38" s="87">
        <f>Settings!A38</f>
        <v>0</v>
      </c>
      <c r="AB38" s="87">
        <f>Settings!B38</f>
        <v>0</v>
      </c>
      <c r="AC38" s="87">
        <f>IF(AA38="","",SUMPRODUCT((Summary!$E$5:$E$241=AA38)*ISNUMBER(Summary!$A$5:$A$241)*(Summary!$A$5:$A$241&gt;=IF(set_from="",0,set_from))*(Summary!$A$5:$A$241&lt;IF(set_to="",2958465,set_to+1))))</f>
        <v>0</v>
      </c>
      <c r="AD38" s="87">
        <f>IF(AA38="","",SUMPRODUCT((Summary!$E$5:$E$241=AA38)*(Summary!$G$5:$G$241="Yes")*ISNUMBER(Summary!$A$5:$A$241)*(Summary!$A$5:$A$241&gt;=IF(set_from="",0,set_from))*(Summary!$A$5:$A$241&lt;IF(set_to="",2958465,set_to+1))))</f>
        <v>0</v>
      </c>
      <c r="AE38" s="87" t="str">
        <f>IF(AB38="","",IF(COUNTIF(AB$4:AB38,AB38)=1,ROW(AB38),""))</f>
        <v/>
      </c>
    </row>
    <row r="39" spans="1:31">
      <c r="A39" s="87" t="str">
        <f>IFERROR(IF(INDEX(Settings!$B$4:$B$59,SMALL($AE$4:$AE$59,4)-3)="","",INDEX(Settings!$B$4:$B$59,SMALL($AE$4:$AE$59,4)-3)),"")</f>
        <v>Wrong / Loose wiring</v>
      </c>
      <c r="B39" s="87">
        <f>IF(OR(A39="",A39=0),"",MATCH(A39,Settings!$B$4:$B$59,0)+3)</f>
        <v>12</v>
      </c>
      <c r="C39" s="87">
        <f t="shared" si="0"/>
        <v>2</v>
      </c>
      <c r="D39" s="87">
        <f t="shared" si="1"/>
        <v>2</v>
      </c>
      <c r="E39" s="87">
        <f>Graphs!T11</f>
        <v>2.0002200000000001</v>
      </c>
      <c r="F39" s="87">
        <f>Graphs!U11</f>
        <v>2.0002200000000001</v>
      </c>
      <c r="AA39" s="87">
        <f>Settings!A39</f>
        <v>0</v>
      </c>
      <c r="AB39" s="87">
        <f>Settings!B39</f>
        <v>0</v>
      </c>
      <c r="AC39" s="87">
        <f>IF(AA39="","",SUMPRODUCT((Summary!$E$5:$E$241=AA39)*ISNUMBER(Summary!$A$5:$A$241)*(Summary!$A$5:$A$241&gt;=IF(set_from="",0,set_from))*(Summary!$A$5:$A$241&lt;IF(set_to="",2958465,set_to+1))))</f>
        <v>0</v>
      </c>
      <c r="AD39" s="87">
        <f>IF(AA39="","",SUMPRODUCT((Summary!$E$5:$E$241=AA39)*(Summary!$G$5:$G$241="Yes")*ISNUMBER(Summary!$A$5:$A$241)*(Summary!$A$5:$A$241&gt;=IF(set_from="",0,set_from))*(Summary!$A$5:$A$241&lt;IF(set_to="",2958465,set_to+1))))</f>
        <v>0</v>
      </c>
      <c r="AE39" s="87" t="str">
        <f>IF(AB39="","",IF(COUNTIF(AB$4:AB39,AB39)=1,ROW(AB39),""))</f>
        <v/>
      </c>
    </row>
    <row r="40" spans="1:31">
      <c r="A40" s="87" t="str">
        <f>IFERROR(IF(INDEX(Settings!$B$4:$B$59,SMALL($AE$4:$AE$59,5)-3)="","",INDEX(Settings!$B$4:$B$59,SMALL($AE$4:$AE$59,5)-3)),"")</f>
        <v>Communication problem</v>
      </c>
      <c r="B40" s="87">
        <f>IF(OR(A40="",A40=0),"",MATCH(A40,Settings!$B$4:$B$59,0)+3)</f>
        <v>13</v>
      </c>
      <c r="C40" s="87">
        <f t="shared" si="0"/>
        <v>4</v>
      </c>
      <c r="D40" s="87">
        <f t="shared" si="1"/>
        <v>1</v>
      </c>
      <c r="E40" s="87">
        <f>Graphs!T12</f>
        <v>4.00021</v>
      </c>
      <c r="F40" s="87">
        <f>Graphs!U12</f>
        <v>1.00021</v>
      </c>
      <c r="AA40" s="87">
        <f>Settings!A40</f>
        <v>0</v>
      </c>
      <c r="AB40" s="87">
        <f>Settings!B40</f>
        <v>0</v>
      </c>
      <c r="AC40" s="87">
        <f>IF(AA40="","",SUMPRODUCT((Summary!$E$5:$E$241=AA40)*ISNUMBER(Summary!$A$5:$A$241)*(Summary!$A$5:$A$241&gt;=IF(set_from="",0,set_from))*(Summary!$A$5:$A$241&lt;IF(set_to="",2958465,set_to+1))))</f>
        <v>0</v>
      </c>
      <c r="AD40" s="87">
        <f>IF(AA40="","",SUMPRODUCT((Summary!$E$5:$E$241=AA40)*(Summary!$G$5:$G$241="Yes")*ISNUMBER(Summary!$A$5:$A$241)*(Summary!$A$5:$A$241&gt;=IF(set_from="",0,set_from))*(Summary!$A$5:$A$241&lt;IF(set_to="",2958465,set_to+1))))</f>
        <v>0</v>
      </c>
      <c r="AE40" s="87" t="str">
        <f>IF(AB40="","",IF(COUNTIF(AB$4:AB40,AB40)=1,ROW(AB40),""))</f>
        <v/>
      </c>
    </row>
    <row r="41" spans="1:31">
      <c r="A41" s="87" t="str">
        <f>IFERROR(IF(INDEX(Settings!$B$4:$B$59,SMALL($AE$4:$AE$59,6)-3)="","",INDEX(Settings!$B$4:$B$59,SMALL($AE$4:$AE$59,6)-3)),"")</f>
        <v>High Store RH</v>
      </c>
      <c r="B41" s="87">
        <f>IF(OR(A41="",A41=0),"",MATCH(A41,Settings!$B$4:$B$59,0)+3)</f>
        <v>14</v>
      </c>
      <c r="C41" s="87">
        <f t="shared" si="0"/>
        <v>9</v>
      </c>
      <c r="D41" s="87">
        <f t="shared" si="1"/>
        <v>4</v>
      </c>
      <c r="E41" s="87">
        <f>Graphs!T13</f>
        <v>9.0001999999999995</v>
      </c>
      <c r="F41" s="87">
        <f>Graphs!U13</f>
        <v>4.0002000000000004</v>
      </c>
      <c r="AA41" s="87">
        <f>Settings!A41</f>
        <v>0</v>
      </c>
      <c r="AB41" s="87">
        <f>Settings!B41</f>
        <v>0</v>
      </c>
      <c r="AC41" s="87">
        <f>IF(AA41="","",SUMPRODUCT((Summary!$E$5:$E$241=AA41)*ISNUMBER(Summary!$A$5:$A$241)*(Summary!$A$5:$A$241&gt;=IF(set_from="",0,set_from))*(Summary!$A$5:$A$241&lt;IF(set_to="",2958465,set_to+1))))</f>
        <v>0</v>
      </c>
      <c r="AD41" s="87">
        <f>IF(AA41="","",SUMPRODUCT((Summary!$E$5:$E$241=AA41)*(Summary!$G$5:$G$241="Yes")*ISNUMBER(Summary!$A$5:$A$241)*(Summary!$A$5:$A$241&gt;=IF(set_from="",0,set_from))*(Summary!$A$5:$A$241&lt;IF(set_to="",2958465,set_to+1))))</f>
        <v>0</v>
      </c>
      <c r="AE41" s="87" t="str">
        <f>IF(AB41="","",IF(COUNTIF(AB$4:AB41,AB41)=1,ROW(AB41),""))</f>
        <v/>
      </c>
    </row>
    <row r="42" spans="1:31">
      <c r="A42" s="87" t="str">
        <f>IFERROR(IF(INDEX(Settings!$B$4:$B$59,SMALL($AE$4:$AE$59,7)-3)="","",INDEX(Settings!$B$4:$B$59,SMALL($AE$4:$AE$59,7)-3)),"")</f>
        <v>Enclosure Seal</v>
      </c>
      <c r="B42" s="87">
        <f>IF(OR(A42="",A42=0),"",MATCH(A42,Settings!$B$4:$B$59,0)+3)</f>
        <v>15</v>
      </c>
      <c r="C42" s="87">
        <f t="shared" si="0"/>
        <v>0</v>
      </c>
      <c r="D42" s="87">
        <f t="shared" si="1"/>
        <v>0</v>
      </c>
      <c r="E42" s="87">
        <f>Graphs!T14</f>
        <v>1.9000000000000001E-4</v>
      </c>
      <c r="F42" s="87">
        <f>Graphs!U14</f>
        <v>1.9000000000000001E-4</v>
      </c>
      <c r="AA42" s="87">
        <f>Settings!A42</f>
        <v>0</v>
      </c>
      <c r="AB42" s="87">
        <f>Settings!B42</f>
        <v>0</v>
      </c>
      <c r="AC42" s="87">
        <f>IF(AA42="","",SUMPRODUCT((Summary!$E$5:$E$241=AA42)*ISNUMBER(Summary!$A$5:$A$241)*(Summary!$A$5:$A$241&gt;=IF(set_from="",0,set_from))*(Summary!$A$5:$A$241&lt;IF(set_to="",2958465,set_to+1))))</f>
        <v>0</v>
      </c>
      <c r="AD42" s="87">
        <f>IF(AA42="","",SUMPRODUCT((Summary!$E$5:$E$241=AA42)*(Summary!$G$5:$G$241="Yes")*ISNUMBER(Summary!$A$5:$A$241)*(Summary!$A$5:$A$241&gt;=IF(set_from="",0,set_from))*(Summary!$A$5:$A$241&lt;IF(set_to="",2958465,set_to+1))))</f>
        <v>0</v>
      </c>
      <c r="AE42" s="87" t="str">
        <f>IF(AB42="","",IF(COUNTIF(AB$4:AB42,AB42)=1,ROW(AB42),""))</f>
        <v/>
      </c>
    </row>
    <row r="43" spans="1:31">
      <c r="A43" s="87" t="str">
        <f>IFERROR(IF(INDEX(Settings!$B$4:$B$59,SMALL($AE$4:$AE$59,8)-3)="","",INDEX(Settings!$B$4:$B$59,SMALL($AE$4:$AE$59,8)-3)),"")</f>
        <v>Component Failure</v>
      </c>
      <c r="B43" s="87">
        <f>IF(OR(A43="",A43=0),"",MATCH(A43,Settings!$B$4:$B$59,0)+3)</f>
        <v>16</v>
      </c>
      <c r="C43" s="87">
        <f t="shared" si="0"/>
        <v>2</v>
      </c>
      <c r="D43" s="87">
        <f t="shared" si="1"/>
        <v>0</v>
      </c>
      <c r="E43" s="87">
        <f>Graphs!T15</f>
        <v>2.0001799999999998</v>
      </c>
      <c r="F43" s="87">
        <f>Graphs!U15</f>
        <v>1.8000000000000001E-4</v>
      </c>
      <c r="AA43" s="87">
        <f>Settings!A43</f>
        <v>0</v>
      </c>
      <c r="AB43" s="87">
        <f>Settings!B43</f>
        <v>0</v>
      </c>
      <c r="AC43" s="87">
        <f>IF(AA43="","",SUMPRODUCT((Summary!$E$5:$E$241=AA43)*ISNUMBER(Summary!$A$5:$A$241)*(Summary!$A$5:$A$241&gt;=IF(set_from="",0,set_from))*(Summary!$A$5:$A$241&lt;IF(set_to="",2958465,set_to+1))))</f>
        <v>0</v>
      </c>
      <c r="AD43" s="87">
        <f>IF(AA43="","",SUMPRODUCT((Summary!$E$5:$E$241=AA43)*(Summary!$G$5:$G$241="Yes")*ISNUMBER(Summary!$A$5:$A$241)*(Summary!$A$5:$A$241&gt;=IF(set_from="",0,set_from))*(Summary!$A$5:$A$241&lt;IF(set_to="",2958465,set_to+1))))</f>
        <v>0</v>
      </c>
      <c r="AE43" s="87" t="str">
        <f>IF(AB43="","",IF(COUNTIF(AB$4:AB43,AB43)=1,ROW(AB43),""))</f>
        <v/>
      </c>
    </row>
    <row r="44" spans="1:31">
      <c r="A44" s="87" t="str">
        <f>IFERROR(IF(INDEX(Settings!$B$4:$B$59,SMALL($AE$4:$AE$59,9)-3)="","",INDEX(Settings!$B$4:$B$59,SMALL($AE$4:$AE$59,9)-3)),"")</f>
        <v>Defrost Sync</v>
      </c>
      <c r="B44" s="87">
        <f>IF(OR(A44="",A44=0),"",MATCH(A44,Settings!$B$4:$B$59,0)+3)</f>
        <v>17</v>
      </c>
      <c r="C44" s="87">
        <f t="shared" si="0"/>
        <v>0</v>
      </c>
      <c r="D44" s="87">
        <f t="shared" si="1"/>
        <v>0</v>
      </c>
      <c r="E44" s="87">
        <f>Graphs!T16</f>
        <v>1.7000000000000001E-4</v>
      </c>
      <c r="F44" s="87">
        <f>Graphs!U16</f>
        <v>1.7000000000000001E-4</v>
      </c>
      <c r="AA44" s="87">
        <f>Settings!A44</f>
        <v>0</v>
      </c>
      <c r="AB44" s="87">
        <f>Settings!B44</f>
        <v>0</v>
      </c>
      <c r="AC44" s="87">
        <f>IF(AA44="","",SUMPRODUCT((Summary!$E$5:$E$241=AA44)*ISNUMBER(Summary!$A$5:$A$241)*(Summary!$A$5:$A$241&gt;=IF(set_from="",0,set_from))*(Summary!$A$5:$A$241&lt;IF(set_to="",2958465,set_to+1))))</f>
        <v>0</v>
      </c>
      <c r="AD44" s="87">
        <f>IF(AA44="","",SUMPRODUCT((Summary!$E$5:$E$241=AA44)*(Summary!$G$5:$G$241="Yes")*ISNUMBER(Summary!$A$5:$A$241)*(Summary!$A$5:$A$241&gt;=IF(set_from="",0,set_from))*(Summary!$A$5:$A$241&lt;IF(set_to="",2958465,set_to+1))))</f>
        <v>0</v>
      </c>
      <c r="AE44" s="87" t="str">
        <f>IF(AB44="","",IF(COUNTIF(AB$4:AB44,AB44)=1,ROW(AB44),""))</f>
        <v/>
      </c>
    </row>
    <row r="45" spans="1:31">
      <c r="A45" s="87" t="str">
        <f>IFERROR(IF(INDEX(Settings!$B$4:$B$59,SMALL($AE$4:$AE$59,10)-3)="","",INDEX(Settings!$B$4:$B$59,SMALL($AE$4:$AE$59,10)-3)),"")</f>
        <v>False Alarm</v>
      </c>
      <c r="B45" s="87">
        <f>IF(OR(A45="",A45=0),"",MATCH(A45,Settings!$B$4:$B$59,0)+3)</f>
        <v>18</v>
      </c>
      <c r="C45" s="87">
        <f t="shared" si="0"/>
        <v>11</v>
      </c>
      <c r="D45" s="87">
        <f t="shared" si="1"/>
        <v>5</v>
      </c>
      <c r="E45" s="87">
        <f>Graphs!T17</f>
        <v>11.000159999999999</v>
      </c>
      <c r="F45" s="87">
        <f>Graphs!U17</f>
        <v>5.0001600000000002</v>
      </c>
      <c r="AA45" s="87">
        <f>Settings!A45</f>
        <v>0</v>
      </c>
      <c r="AB45" s="87">
        <f>Settings!B45</f>
        <v>0</v>
      </c>
      <c r="AC45" s="87">
        <f>IF(AA45="","",SUMPRODUCT((Summary!$E$5:$E$241=AA45)*ISNUMBER(Summary!$A$5:$A$241)*(Summary!$A$5:$A$241&gt;=IF(set_from="",0,set_from))*(Summary!$A$5:$A$241&lt;IF(set_to="",2958465,set_to+1))))</f>
        <v>0</v>
      </c>
      <c r="AD45" s="87">
        <f>IF(AA45="","",SUMPRODUCT((Summary!$E$5:$E$241=AA45)*(Summary!$G$5:$G$241="Yes")*ISNUMBER(Summary!$A$5:$A$241)*(Summary!$A$5:$A$241&gt;=IF(set_from="",0,set_from))*(Summary!$A$5:$A$241&lt;IF(set_to="",2958465,set_to+1))))</f>
        <v>0</v>
      </c>
      <c r="AE45" s="87" t="str">
        <f>IF(AB45="","",IF(COUNTIF(AB$4:AB45,AB45)=1,ROW(AB45),""))</f>
        <v/>
      </c>
    </row>
    <row r="46" spans="1:31">
      <c r="A46" s="87" t="str">
        <f>IFERROR(IF(INDEX(Settings!$B$4:$B$59,SMALL($AE$4:$AE$59,11)-3)="","",INDEX(Settings!$B$4:$B$59,SMALL($AE$4:$AE$59,11)-3)),"")</f>
        <v>Setpoint change</v>
      </c>
      <c r="B46" s="87">
        <f>IF(OR(A46="",A46=0),"",MATCH(A46,Settings!$B$4:$B$59,0)+3)</f>
        <v>19</v>
      </c>
      <c r="C46" s="87">
        <f t="shared" si="0"/>
        <v>1</v>
      </c>
      <c r="D46" s="87">
        <f t="shared" si="1"/>
        <v>1</v>
      </c>
      <c r="E46" s="87">
        <f>Graphs!T18</f>
        <v>1.0001500000000001</v>
      </c>
      <c r="F46" s="87">
        <f>Graphs!U18</f>
        <v>1.0001500000000001</v>
      </c>
      <c r="AA46" s="87">
        <f>Settings!A46</f>
        <v>0</v>
      </c>
      <c r="AB46" s="87">
        <f>Settings!B46</f>
        <v>0</v>
      </c>
      <c r="AC46" s="87">
        <f>IF(AA46="","",SUMPRODUCT((Summary!$E$5:$E$241=AA46)*ISNUMBER(Summary!$A$5:$A$241)*(Summary!$A$5:$A$241&gt;=IF(set_from="",0,set_from))*(Summary!$A$5:$A$241&lt;IF(set_to="",2958465,set_to+1))))</f>
        <v>0</v>
      </c>
      <c r="AD46" s="87">
        <f>IF(AA46="","",SUMPRODUCT((Summary!$E$5:$E$241=AA46)*(Summary!$G$5:$G$241="Yes")*ISNUMBER(Summary!$A$5:$A$241)*(Summary!$A$5:$A$241&gt;=IF(set_from="",0,set_from))*(Summary!$A$5:$A$241&lt;IF(set_to="",2958465,set_to+1))))</f>
        <v>0</v>
      </c>
      <c r="AE46" s="87" t="str">
        <f>IF(AB46="","",IF(COUNTIF(AB$4:AB46,AB46)=1,ROW(AB46),""))</f>
        <v/>
      </c>
    </row>
    <row r="47" spans="1:31">
      <c r="A47" s="87" t="str">
        <f>IFERROR(IF(INDEX(Settings!$B$4:$B$59,SMALL($AE$4:$AE$59,12)-3)="","",INDEX(Settings!$B$4:$B$59,SMALL($AE$4:$AE$59,12)-3)),"")</f>
        <v>Overstocking</v>
      </c>
      <c r="B47" s="87">
        <f>IF(OR(A47="",A47=0),"",MATCH(A47,Settings!$B$4:$B$59,0)+3)</f>
        <v>20</v>
      </c>
      <c r="C47" s="87">
        <f t="shared" si="0"/>
        <v>3</v>
      </c>
      <c r="D47" s="87">
        <f t="shared" si="1"/>
        <v>3</v>
      </c>
      <c r="E47" s="87">
        <f>Graphs!T19</f>
        <v>3.00014</v>
      </c>
      <c r="F47" s="87">
        <f>Graphs!U19</f>
        <v>3.00014</v>
      </c>
      <c r="AA47" s="87">
        <f>Settings!A47</f>
        <v>0</v>
      </c>
      <c r="AB47" s="87">
        <f>Settings!B47</f>
        <v>0</v>
      </c>
      <c r="AC47" s="87">
        <f>IF(AA47="","",SUMPRODUCT((Summary!$E$5:$E$241=AA47)*ISNUMBER(Summary!$A$5:$A$241)*(Summary!$A$5:$A$241&gt;=IF(set_from="",0,set_from))*(Summary!$A$5:$A$241&lt;IF(set_to="",2958465,set_to+1))))</f>
        <v>0</v>
      </c>
      <c r="AD47" s="87">
        <f>IF(AA47="","",SUMPRODUCT((Summary!$E$5:$E$241=AA47)*(Summary!$G$5:$G$241="Yes")*ISNUMBER(Summary!$A$5:$A$241)*(Summary!$A$5:$A$241&gt;=IF(set_from="",0,set_from))*(Summary!$A$5:$A$241&lt;IF(set_to="",2958465,set_to+1))))</f>
        <v>0</v>
      </c>
      <c r="AE47" s="87" t="str">
        <f>IF(AB47="","",IF(COUNTIF(AB$4:AB47,AB47)=1,ROW(AB47),""))</f>
        <v/>
      </c>
    </row>
    <row r="48" spans="1:31">
      <c r="A48" s="87" t="str">
        <f>IFERROR(IF(INDEX(Settings!$B$4:$B$59,SMALL($AE$4:$AE$59,13)-3)="","",INDEX(Settings!$B$4:$B$59,SMALL($AE$4:$AE$59,13)-3)),"")</f>
        <v>Case End Seal</v>
      </c>
      <c r="B48" s="87">
        <f>IF(OR(A48="",A48=0),"",MATCH(A48,Settings!$B$4:$B$59,0)+3)</f>
        <v>21</v>
      </c>
      <c r="C48" s="87">
        <f t="shared" si="0"/>
        <v>0</v>
      </c>
      <c r="D48" s="87">
        <f t="shared" si="1"/>
        <v>0</v>
      </c>
      <c r="E48" s="87">
        <f>Graphs!T20</f>
        <v>1.2999999999999999E-4</v>
      </c>
      <c r="F48" s="87">
        <f>Graphs!U20</f>
        <v>1.2999999999999999E-4</v>
      </c>
      <c r="AA48" s="87">
        <f>Settings!A48</f>
        <v>0</v>
      </c>
      <c r="AB48" s="87">
        <f>Settings!B48</f>
        <v>0</v>
      </c>
      <c r="AC48" s="87">
        <f>IF(AA48="","",SUMPRODUCT((Summary!$E$5:$E$241=AA48)*ISNUMBER(Summary!$A$5:$A$241)*(Summary!$A$5:$A$241&gt;=IF(set_from="",0,set_from))*(Summary!$A$5:$A$241&lt;IF(set_to="",2958465,set_to+1))))</f>
        <v>0</v>
      </c>
      <c r="AD48" s="87">
        <f>IF(AA48="","",SUMPRODUCT((Summary!$E$5:$E$241=AA48)*(Summary!$G$5:$G$241="Yes")*ISNUMBER(Summary!$A$5:$A$241)*(Summary!$A$5:$A$241&gt;=IF(set_from="",0,set_from))*(Summary!$A$5:$A$241&lt;IF(set_to="",2958465,set_to+1))))</f>
        <v>0</v>
      </c>
      <c r="AE48" s="87" t="str">
        <f>IF(AB48="","",IF(COUNTIF(AB$4:AB48,AB48)=1,ROW(AB48),""))</f>
        <v/>
      </c>
    </row>
    <row r="49" spans="1:31">
      <c r="A49" s="87" t="str">
        <f>IFERROR(IF(INDEX(Settings!$B$4:$B$59,SMALL($AE$4:$AE$59,14)-3)="","",INDEX(Settings!$B$4:$B$59,SMALL($AE$4:$AE$59,14)-3)),"")</f>
        <v>Return Air blocked</v>
      </c>
      <c r="B49" s="87">
        <f>IF(OR(A49="",A49=0),"",MATCH(A49,Settings!$B$4:$B$59,0)+3)</f>
        <v>22</v>
      </c>
      <c r="C49" s="87">
        <f t="shared" si="0"/>
        <v>0</v>
      </c>
      <c r="D49" s="87">
        <f t="shared" si="1"/>
        <v>0</v>
      </c>
      <c r="E49" s="87">
        <f>Graphs!T21</f>
        <v>1.2E-4</v>
      </c>
      <c r="F49" s="87">
        <f>Graphs!U21</f>
        <v>1.2E-4</v>
      </c>
      <c r="AA49" s="87">
        <f>Settings!A49</f>
        <v>0</v>
      </c>
      <c r="AB49" s="87">
        <f>Settings!B49</f>
        <v>0</v>
      </c>
      <c r="AC49" s="87">
        <f>IF(AA49="","",SUMPRODUCT((Summary!$E$5:$E$241=AA49)*ISNUMBER(Summary!$A$5:$A$241)*(Summary!$A$5:$A$241&gt;=IF(set_from="",0,set_from))*(Summary!$A$5:$A$241&lt;IF(set_to="",2958465,set_to+1))))</f>
        <v>0</v>
      </c>
      <c r="AD49" s="87">
        <f>IF(AA49="","",SUMPRODUCT((Summary!$E$5:$E$241=AA49)*(Summary!$G$5:$G$241="Yes")*ISNUMBER(Summary!$A$5:$A$241)*(Summary!$A$5:$A$241&gt;=IF(set_from="",0,set_from))*(Summary!$A$5:$A$241&lt;IF(set_to="",2958465,set_to+1))))</f>
        <v>0</v>
      </c>
      <c r="AE49" s="87" t="str">
        <f>IF(AB49="","",IF(COUNTIF(AB$4:AB49,AB49)=1,ROW(AB49),""))</f>
        <v/>
      </c>
    </row>
    <row r="50" spans="1:31">
      <c r="A50" s="87" t="str">
        <f>IFERROR(IF(INDEX(Settings!$B$4:$B$59,SMALL($AE$4:$AE$59,15)-3)="","",INDEX(Settings!$B$4:$B$59,SMALL($AE$4:$AE$59,15)-3)),"")</f>
        <v>Unidentified air leak</v>
      </c>
      <c r="B50" s="87">
        <f>IF(OR(A50="",A50=0),"",MATCH(A50,Settings!$B$4:$B$59,0)+3)</f>
        <v>23</v>
      </c>
      <c r="C50" s="87">
        <f t="shared" si="0"/>
        <v>1</v>
      </c>
      <c r="D50" s="87">
        <f t="shared" si="1"/>
        <v>0</v>
      </c>
      <c r="E50" s="87">
        <f>Graphs!T22</f>
        <v>1.0001100000000001</v>
      </c>
      <c r="F50" s="87">
        <f>Graphs!U22</f>
        <v>1.1E-4</v>
      </c>
      <c r="AA50" s="87">
        <f>Settings!A50</f>
        <v>0</v>
      </c>
      <c r="AB50" s="87">
        <f>Settings!B50</f>
        <v>0</v>
      </c>
      <c r="AC50" s="87">
        <f>IF(AA50="","",SUMPRODUCT((Summary!$E$5:$E$241=AA50)*ISNUMBER(Summary!$A$5:$A$241)*(Summary!$A$5:$A$241&gt;=IF(set_from="",0,set_from))*(Summary!$A$5:$A$241&lt;IF(set_to="",2958465,set_to+1))))</f>
        <v>0</v>
      </c>
      <c r="AD50" s="87">
        <f>IF(AA50="","",SUMPRODUCT((Summary!$E$5:$E$241=AA50)*(Summary!$G$5:$G$241="Yes")*ISNUMBER(Summary!$A$5:$A$241)*(Summary!$A$5:$A$241&gt;=IF(set_from="",0,set_from))*(Summary!$A$5:$A$241&lt;IF(set_to="",2958465,set_to+1))))</f>
        <v>0</v>
      </c>
      <c r="AE50" s="87" t="str">
        <f>IF(AB50="","",IF(COUNTIF(AB$4:AB50,AB50)=1,ROW(AB50),""))</f>
        <v/>
      </c>
    </row>
    <row r="51" spans="1:31">
      <c r="A51" s="87" t="str">
        <f>IFERROR(IF(INDEX(Settings!$B$4:$B$59,SMALL($AE$4:$AE$59,16)-3)="","",INDEX(Settings!$B$4:$B$59,SMALL($AE$4:$AE$59,16)-3)),"")</f>
        <v>Freedom</v>
      </c>
      <c r="B51" s="87">
        <f>IF(OR(A51="",A51=0),"",MATCH(A51,Settings!$B$4:$B$59,0)+3)</f>
        <v>24</v>
      </c>
      <c r="C51" s="87">
        <f t="shared" si="0"/>
        <v>1</v>
      </c>
      <c r="D51" s="87">
        <f t="shared" si="1"/>
        <v>0</v>
      </c>
      <c r="E51" s="87">
        <f>Graphs!T23</f>
        <v>1.0001</v>
      </c>
      <c r="F51" s="87">
        <f>Graphs!U23</f>
        <v>1E-4</v>
      </c>
      <c r="AA51" s="87">
        <f>Settings!A51</f>
        <v>0</v>
      </c>
      <c r="AB51" s="87">
        <f>Settings!B51</f>
        <v>0</v>
      </c>
      <c r="AC51" s="87">
        <f>IF(AA51="","",SUMPRODUCT((Summary!$E$5:$E$241=AA51)*ISNUMBER(Summary!$A$5:$A$241)*(Summary!$A$5:$A$241&gt;=IF(set_from="",0,set_from))*(Summary!$A$5:$A$241&lt;IF(set_to="",2958465,set_to+1))))</f>
        <v>0</v>
      </c>
      <c r="AD51" s="87">
        <f>IF(AA51="","",SUMPRODUCT((Summary!$E$5:$E$241=AA51)*(Summary!$G$5:$G$241="Yes")*ISNUMBER(Summary!$A$5:$A$241)*(Summary!$A$5:$A$241&gt;=IF(set_from="",0,set_from))*(Summary!$A$5:$A$241&lt;IF(set_to="",2958465,set_to+1))))</f>
        <v>0</v>
      </c>
      <c r="AE51" s="87" t="str">
        <f>IF(AB51="","",IF(COUNTIF(AB$4:AB51,AB51)=1,ROW(AB51),""))</f>
        <v/>
      </c>
    </row>
    <row r="52" spans="1:31">
      <c r="A52" s="87" t="str">
        <f>IFERROR(IF(INDEX(Settings!$B$4:$B$59,SMALL($AE$4:$AE$59,17)-3)="","",INDEX(Settings!$B$4:$B$59,SMALL($AE$4:$AE$59,17)-3)),"")</f>
        <v>Heavy case load</v>
      </c>
      <c r="B52" s="87">
        <f>IF(OR(A52="",A52=0),"",MATCH(A52,Settings!$B$4:$B$59,0)+3)</f>
        <v>25</v>
      </c>
      <c r="C52" s="87">
        <f t="shared" si="0"/>
        <v>0</v>
      </c>
      <c r="D52" s="87">
        <f t="shared" si="1"/>
        <v>0</v>
      </c>
      <c r="E52" s="87">
        <f>Graphs!T24</f>
        <v>9.0000000000000006E-5</v>
      </c>
      <c r="F52" s="87">
        <f>Graphs!U24</f>
        <v>9.0000000000000006E-5</v>
      </c>
      <c r="AA52" s="87">
        <f>Settings!A52</f>
        <v>0</v>
      </c>
      <c r="AB52" s="87">
        <f>Settings!B52</f>
        <v>0</v>
      </c>
      <c r="AC52" s="87">
        <f>IF(AA52="","",SUMPRODUCT((Summary!$E$5:$E$241=AA52)*ISNUMBER(Summary!$A$5:$A$241)*(Summary!$A$5:$A$241&gt;=IF(set_from="",0,set_from))*(Summary!$A$5:$A$241&lt;IF(set_to="",2958465,set_to+1))))</f>
        <v>0</v>
      </c>
      <c r="AD52" s="87">
        <f>IF(AA52="","",SUMPRODUCT((Summary!$E$5:$E$241=AA52)*(Summary!$G$5:$G$241="Yes")*ISNUMBER(Summary!$A$5:$A$241)*(Summary!$A$5:$A$241&gt;=IF(set_from="",0,set_from))*(Summary!$A$5:$A$241&lt;IF(set_to="",2958465,set_to+1))))</f>
        <v>0</v>
      </c>
      <c r="AE52" s="87" t="str">
        <f>IF(AB52="","",IF(COUNTIF(AB$4:AB52,AB52)=1,ROW(AB52),""))</f>
        <v/>
      </c>
    </row>
    <row r="53" spans="1:31">
      <c r="A53" s="87" t="str">
        <f>IFERROR(IF(INDEX(Settings!$B$4:$B$59,SMALL($AE$4:$AE$59,18)-3)="","",INDEX(Settings!$B$4:$B$59,SMALL($AE$4:$AE$59,18)-3)),"")</f>
        <v>DG Installation issue</v>
      </c>
      <c r="B53" s="87">
        <f>IF(OR(A53="",A53=0),"",MATCH(A53,Settings!$B$4:$B$59,0)+3)</f>
        <v>26</v>
      </c>
      <c r="C53" s="87">
        <f t="shared" si="0"/>
        <v>5</v>
      </c>
      <c r="D53" s="87">
        <f t="shared" si="1"/>
        <v>1</v>
      </c>
      <c r="E53" s="87">
        <f>Graphs!T25</f>
        <v>5.0000799999999996</v>
      </c>
      <c r="F53" s="87">
        <f>Graphs!U25</f>
        <v>1.0000800000000001</v>
      </c>
      <c r="AA53" s="87">
        <f>Settings!A53</f>
        <v>0</v>
      </c>
      <c r="AB53" s="87">
        <f>Settings!B53</f>
        <v>0</v>
      </c>
      <c r="AC53" s="87">
        <f>IF(AA53="","",SUMPRODUCT((Summary!$E$5:$E$241=AA53)*ISNUMBER(Summary!$A$5:$A$241)*(Summary!$A$5:$A$241&gt;=IF(set_from="",0,set_from))*(Summary!$A$5:$A$241&lt;IF(set_to="",2958465,set_to+1))))</f>
        <v>0</v>
      </c>
      <c r="AD53" s="87">
        <f>IF(AA53="","",SUMPRODUCT((Summary!$E$5:$E$241=AA53)*(Summary!$G$5:$G$241="Yes")*ISNUMBER(Summary!$A$5:$A$241)*(Summary!$A$5:$A$241&gt;=IF(set_from="",0,set_from))*(Summary!$A$5:$A$241&lt;IF(set_to="",2958465,set_to+1))))</f>
        <v>0</v>
      </c>
      <c r="AE53" s="87" t="str">
        <f>IF(AB53="","",IF(COUNTIF(AB$4:AB53,AB53)=1,ROW(AB53),""))</f>
        <v/>
      </c>
    </row>
    <row r="54" spans="1:31">
      <c r="A54" s="87" t="str">
        <f>IFERROR(IF(INDEX(Settings!$B$4:$B$59,SMALL($AE$4:$AE$59,19)-3)="","",INDEX(Settings!$B$4:$B$59,SMALL($AE$4:$AE$59,19)-3)),"")</f>
        <v>Unknown</v>
      </c>
      <c r="B54" s="87">
        <f>IF(OR(A54="",A54=0),"",MATCH(A54,Settings!$B$4:$B$59,0)+3)</f>
        <v>27</v>
      </c>
      <c r="C54" s="87">
        <f t="shared" si="0"/>
        <v>5</v>
      </c>
      <c r="D54" s="87">
        <f t="shared" si="1"/>
        <v>0</v>
      </c>
      <c r="E54" s="87">
        <f>Graphs!T26</f>
        <v>5.00007</v>
      </c>
      <c r="F54" s="87">
        <f>Graphs!U26</f>
        <v>6.9999999999999994E-5</v>
      </c>
      <c r="AA54" s="87">
        <f>Settings!A54</f>
        <v>0</v>
      </c>
      <c r="AB54" s="87">
        <f>Settings!B54</f>
        <v>0</v>
      </c>
      <c r="AC54" s="87">
        <f>IF(AA54="","",SUMPRODUCT((Summary!$E$5:$E$241=AA54)*ISNUMBER(Summary!$A$5:$A$241)*(Summary!$A$5:$A$241&gt;=IF(set_from="",0,set_from))*(Summary!$A$5:$A$241&lt;IF(set_to="",2958465,set_to+1))))</f>
        <v>0</v>
      </c>
      <c r="AD54" s="87">
        <f>IF(AA54="","",SUMPRODUCT((Summary!$E$5:$E$241=AA54)*(Summary!$G$5:$G$241="Yes")*ISNUMBER(Summary!$A$5:$A$241)*(Summary!$A$5:$A$241&gt;=IF(set_from="",0,set_from))*(Summary!$A$5:$A$241&lt;IF(set_to="",2958465,set_to+1))))</f>
        <v>0</v>
      </c>
      <c r="AE54" s="87" t="str">
        <f>IF(AB54="","",IF(COUNTIF(AB$4:AB54,AB54)=1,ROW(AB54),""))</f>
        <v/>
      </c>
    </row>
    <row r="55" spans="1:31">
      <c r="A55" s="87" t="str">
        <f>IFERROR(IF(INDEX(Settings!$B$4:$B$59,SMALL($AE$4:$AE$59,20)-3)="","",INDEX(Settings!$B$4:$B$59,SMALL($AE$4:$AE$59,20)-3)),"")</f>
        <v>Program change - Hussmann</v>
      </c>
      <c r="B55" s="87">
        <f>IF(OR(A55="",A55=0),"",MATCH(A55,Settings!$B$4:$B$59,0)+3)</f>
        <v>28</v>
      </c>
      <c r="C55" s="87">
        <f t="shared" si="0"/>
        <v>0</v>
      </c>
      <c r="D55" s="87">
        <f t="shared" si="1"/>
        <v>0</v>
      </c>
      <c r="E55" s="87">
        <f>Graphs!T27</f>
        <v>6.0000000000000002E-5</v>
      </c>
      <c r="F55" s="87">
        <f>Graphs!U27</f>
        <v>6.0000000000000002E-5</v>
      </c>
      <c r="AA55" s="87">
        <f>Settings!A55</f>
        <v>0</v>
      </c>
      <c r="AB55" s="87">
        <f>Settings!B55</f>
        <v>0</v>
      </c>
      <c r="AC55" s="87">
        <f>IF(AA55="","",SUMPRODUCT((Summary!$E$5:$E$241=AA55)*ISNUMBER(Summary!$A$5:$A$241)*(Summary!$A$5:$A$241&gt;=IF(set_from="",0,set_from))*(Summary!$A$5:$A$241&lt;IF(set_to="",2958465,set_to+1))))</f>
        <v>0</v>
      </c>
      <c r="AD55" s="87">
        <f>IF(AA55="","",SUMPRODUCT((Summary!$E$5:$E$241=AA55)*(Summary!$G$5:$G$241="Yes")*ISNUMBER(Summary!$A$5:$A$241)*(Summary!$A$5:$A$241&gt;=IF(set_from="",0,set_from))*(Summary!$A$5:$A$241&lt;IF(set_to="",2958465,set_to+1))))</f>
        <v>0</v>
      </c>
      <c r="AE55" s="87" t="str">
        <f>IF(AB55="","",IF(COUNTIF(AB$4:AB55,AB55)=1,ROW(AB55),""))</f>
        <v/>
      </c>
    </row>
    <row r="56" spans="1:31">
      <c r="A56" s="87" t="str">
        <f>IFERROR(IF(INDEX(Settings!$B$4:$B$59,SMALL($AE$4:$AE$59,21)-3)="","",INDEX(Settings!$B$4:$B$59,SMALL($AE$4:$AE$59,21)-3)),"")</f>
        <v>Wrong program</v>
      </c>
      <c r="B56" s="87">
        <f>IF(OR(A56="",A56=0),"",MATCH(A56,Settings!$B$4:$B$59,0)+3)</f>
        <v>29</v>
      </c>
      <c r="C56" s="87">
        <f t="shared" si="0"/>
        <v>1</v>
      </c>
      <c r="D56" s="87">
        <f t="shared" si="1"/>
        <v>0</v>
      </c>
      <c r="E56" s="87">
        <f>Graphs!T28</f>
        <v>1.0000500000000001</v>
      </c>
      <c r="F56" s="87">
        <f>Graphs!U28</f>
        <v>5.0000000000000002E-5</v>
      </c>
      <c r="AA56" s="87">
        <f>Settings!A56</f>
        <v>0</v>
      </c>
      <c r="AB56" s="87">
        <f>Settings!B56</f>
        <v>0</v>
      </c>
      <c r="AC56" s="87">
        <f>IF(AA56="","",SUMPRODUCT((Summary!$E$5:$E$241=AA56)*ISNUMBER(Summary!$A$5:$A$241)*(Summary!$A$5:$A$241&gt;=IF(set_from="",0,set_from))*(Summary!$A$5:$A$241&lt;IF(set_to="",2958465,set_to+1))))</f>
        <v>0</v>
      </c>
      <c r="AD56" s="87">
        <f>IF(AA56="","",SUMPRODUCT((Summary!$E$5:$E$241=AA56)*(Summary!$G$5:$G$241="Yes")*ISNUMBER(Summary!$A$5:$A$241)*(Summary!$A$5:$A$241&gt;=IF(set_from="",0,set_from))*(Summary!$A$5:$A$241&lt;IF(set_to="",2958465,set_to+1))))</f>
        <v>0</v>
      </c>
      <c r="AE56" s="87" t="str">
        <f>IF(AB56="","",IF(COUNTIF(AB$4:AB56,AB56)=1,ROW(AB56),""))</f>
        <v/>
      </c>
    </row>
    <row r="57" spans="1:31">
      <c r="A57" s="87" t="str">
        <f>IFERROR(IF(INDEX(Settings!$B$4:$B$59,SMALL($AE$4:$AE$59,22)-3)="","",INDEX(Settings!$B$4:$B$59,SMALL($AE$4:$AE$59,22)-3)),"")</f>
        <v/>
      </c>
      <c r="B57" s="87" t="str">
        <f>IF(OR(A57="",A57=0),"",MATCH(A57,Settings!$B$4:$B$59,0)+3)</f>
        <v/>
      </c>
      <c r="C57" s="87" t="str">
        <f t="shared" si="0"/>
        <v/>
      </c>
      <c r="D57" s="87" t="str">
        <f t="shared" si="1"/>
        <v/>
      </c>
      <c r="E57" s="87">
        <f>Graphs!T29</f>
        <v>4.0000000000000003E-5</v>
      </c>
      <c r="F57" s="87">
        <f>Graphs!U29</f>
        <v>4.0000000000000003E-5</v>
      </c>
      <c r="AA57" s="87">
        <f>Settings!A57</f>
        <v>0</v>
      </c>
      <c r="AB57" s="87">
        <f>Settings!B57</f>
        <v>0</v>
      </c>
      <c r="AC57" s="87">
        <f>IF(AA57="","",SUMPRODUCT((Summary!$E$5:$E$241=AA57)*ISNUMBER(Summary!$A$5:$A$241)*(Summary!$A$5:$A$241&gt;=IF(set_from="",0,set_from))*(Summary!$A$5:$A$241&lt;IF(set_to="",2958465,set_to+1))))</f>
        <v>0</v>
      </c>
      <c r="AD57" s="87">
        <f>IF(AA57="","",SUMPRODUCT((Summary!$E$5:$E$241=AA57)*(Summary!$G$5:$G$241="Yes")*ISNUMBER(Summary!$A$5:$A$241)*(Summary!$A$5:$A$241&gt;=IF(set_from="",0,set_from))*(Summary!$A$5:$A$241&lt;IF(set_to="",2958465,set_to+1))))</f>
        <v>0</v>
      </c>
      <c r="AE57" s="87" t="str">
        <f>IF(AB57="","",IF(COUNTIF(AB$4:AB57,AB57)=1,ROW(AB57),""))</f>
        <v/>
      </c>
    </row>
    <row r="58" spans="1:31">
      <c r="A58" s="87" t="str">
        <f>IFERROR(IF(INDEX(Settings!$B$4:$B$59,SMALL($AE$4:$AE$59,23)-3)="","",INDEX(Settings!$B$4:$B$59,SMALL($AE$4:$AE$59,23)-3)),"")</f>
        <v/>
      </c>
      <c r="B58" s="87" t="str">
        <f>IF(OR(A58="",A58=0),"",MATCH(A58,Settings!$B$4:$B$59,0)+3)</f>
        <v/>
      </c>
      <c r="C58" s="87" t="str">
        <f t="shared" si="0"/>
        <v/>
      </c>
      <c r="D58" s="87" t="str">
        <f t="shared" si="1"/>
        <v/>
      </c>
      <c r="E58" s="87">
        <f>Graphs!T30</f>
        <v>3.0000000000000001E-5</v>
      </c>
      <c r="F58" s="87">
        <f>Graphs!U30</f>
        <v>3.0000000000000001E-5</v>
      </c>
      <c r="AA58" s="87">
        <f>Settings!A58</f>
        <v>0</v>
      </c>
      <c r="AB58" s="87">
        <f>Settings!B58</f>
        <v>0</v>
      </c>
      <c r="AC58" s="87">
        <f>IF(AA58="","",SUMPRODUCT((Summary!$E$5:$E$241=AA58)*ISNUMBER(Summary!$A$5:$A$241)*(Summary!$A$5:$A$241&gt;=IF(set_from="",0,set_from))*(Summary!$A$5:$A$241&lt;IF(set_to="",2958465,set_to+1))))</f>
        <v>0</v>
      </c>
      <c r="AD58" s="87">
        <f>IF(AA58="","",SUMPRODUCT((Summary!$E$5:$E$241=AA58)*(Summary!$G$5:$G$241="Yes")*ISNUMBER(Summary!$A$5:$A$241)*(Summary!$A$5:$A$241&gt;=IF(set_from="",0,set_from))*(Summary!$A$5:$A$241&lt;IF(set_to="",2958465,set_to+1))))</f>
        <v>0</v>
      </c>
      <c r="AE58" s="87" t="str">
        <f>IF(AB58="","",IF(COUNTIF(AB$4:AB58,AB58)=1,ROW(AB58),""))</f>
        <v/>
      </c>
    </row>
    <row r="59" spans="1:31">
      <c r="A59" s="87" t="str">
        <f>IFERROR(IF(INDEX(Settings!$B$4:$B$59,SMALL($AE$4:$AE$59,24)-3)="","",INDEX(Settings!$B$4:$B$59,SMALL($AE$4:$AE$59,24)-3)),"")</f>
        <v/>
      </c>
      <c r="B59" s="87" t="str">
        <f>IF(OR(A59="",A59=0),"",MATCH(A59,Settings!$B$4:$B$59,0)+3)</f>
        <v/>
      </c>
      <c r="C59" s="87" t="str">
        <f t="shared" si="0"/>
        <v/>
      </c>
      <c r="D59" s="87" t="str">
        <f t="shared" si="1"/>
        <v/>
      </c>
      <c r="E59" s="87">
        <f>Graphs!T31</f>
        <v>2.0000000000000002E-5</v>
      </c>
      <c r="F59" s="87">
        <f>Graphs!U31</f>
        <v>2.0000000000000002E-5</v>
      </c>
      <c r="AA59" s="87">
        <f>Settings!A59</f>
        <v>0</v>
      </c>
      <c r="AB59" s="87">
        <f>Settings!B59</f>
        <v>0</v>
      </c>
      <c r="AC59" s="87">
        <f>IF(AA59="","",SUMPRODUCT((Summary!$E$5:$E$241=AA59)*ISNUMBER(Summary!$A$5:$A$241)*(Summary!$A$5:$A$241&gt;=IF(set_from="",0,set_from))*(Summary!$A$5:$A$241&lt;IF(set_to="",2958465,set_to+1))))</f>
        <v>0</v>
      </c>
      <c r="AD59" s="87">
        <f>IF(AA59="","",SUMPRODUCT((Summary!$E$5:$E$241=AA59)*(Summary!$G$5:$G$241="Yes")*ISNUMBER(Summary!$A$5:$A$241)*(Summary!$A$5:$A$241&gt;=IF(set_from="",0,set_from))*(Summary!$A$5:$A$241&lt;IF(set_to="",2958465,set_to+1))))</f>
        <v>0</v>
      </c>
      <c r="AE59" s="87" t="str">
        <f>IF(AB59="","",IF(COUNTIF(AB$4:AB59,AB59)=1,ROW(AB59),""))</f>
        <v/>
      </c>
    </row>
    <row r="60" spans="1:31">
      <c r="A60" s="87" t="str">
        <f>IFERROR(IF(INDEX(Settings!$B$4:$B$59,SMALL($AE$4:$AE$59,25)-3)="","",INDEX(Settings!$B$4:$B$59,SMALL($AE$4:$AE$59,25)-3)),"")</f>
        <v/>
      </c>
      <c r="B60" s="87" t="str">
        <f>IF(OR(A60="",A60=0),"",MATCH(A60,Settings!$B$4:$B$59,0)+3)</f>
        <v/>
      </c>
      <c r="C60" s="87" t="str">
        <f t="shared" si="0"/>
        <v/>
      </c>
      <c r="D60" s="87" t="str">
        <f t="shared" si="1"/>
        <v/>
      </c>
      <c r="E60" s="87">
        <f>Graphs!T32</f>
        <v>1.0000000000000001E-5</v>
      </c>
      <c r="F60" s="87">
        <f>Graphs!U32</f>
        <v>1.0000000000000001E-5</v>
      </c>
    </row>
    <row r="63" spans="1:31">
      <c r="A63" s="126" t="s">
        <v>1567</v>
      </c>
      <c r="B63" s="126"/>
      <c r="C63" s="126"/>
      <c r="D63" s="126"/>
    </row>
    <row r="64" spans="1:31">
      <c r="A64" s="125" t="s">
        <v>1568</v>
      </c>
      <c r="B64" s="125"/>
      <c r="C64" s="125"/>
      <c r="D64" s="125"/>
    </row>
    <row r="65" spans="1:2">
      <c r="A65" s="119" t="s">
        <v>1569</v>
      </c>
      <c r="B65" s="119" t="s">
        <v>1281</v>
      </c>
    </row>
    <row r="66" spans="1:2">
      <c r="A66" s="87" t="str">
        <f>Graphs!V8</f>
        <v>Doors</v>
      </c>
      <c r="B66" s="87">
        <f>Graphs!W8</f>
        <v>29</v>
      </c>
    </row>
    <row r="67" spans="1:2">
      <c r="A67" s="87" t="str">
        <f>Graphs!V9</f>
        <v>False Alarm</v>
      </c>
      <c r="B67" s="87">
        <f>Graphs!W9</f>
        <v>11</v>
      </c>
    </row>
    <row r="68" spans="1:2">
      <c r="A68" s="87" t="str">
        <f>Graphs!V10</f>
        <v>High Store RH</v>
      </c>
      <c r="B68" s="87">
        <f>Graphs!W10</f>
        <v>9</v>
      </c>
    </row>
    <row r="69" spans="1:2">
      <c r="A69" s="87" t="str">
        <f>Graphs!V11</f>
        <v>DG Installation issue</v>
      </c>
      <c r="B69" s="87">
        <f>Graphs!W11</f>
        <v>5</v>
      </c>
    </row>
    <row r="70" spans="1:2">
      <c r="A70" s="87" t="str">
        <f>Graphs!V12</f>
        <v>Unknown</v>
      </c>
      <c r="B70" s="87">
        <f>Graphs!W12</f>
        <v>5</v>
      </c>
    </row>
    <row r="71" spans="1:2">
      <c r="A71" s="87" t="str">
        <f>Graphs!V13</f>
        <v>Ref. leak/ Low charge</v>
      </c>
      <c r="B71" s="87">
        <f>Graphs!W13</f>
        <v>4</v>
      </c>
    </row>
    <row r="72" spans="1:2">
      <c r="A72" s="87" t="str">
        <f>Graphs!V14</f>
        <v>Communication problem</v>
      </c>
      <c r="B72" s="87">
        <f>Graphs!W14</f>
        <v>4</v>
      </c>
    </row>
    <row r="73" spans="1:2">
      <c r="A73" s="87" t="str">
        <f>Graphs!V15</f>
        <v>Drain tube blocked</v>
      </c>
      <c r="B73" s="87">
        <f>Graphs!W15</f>
        <v>3</v>
      </c>
    </row>
    <row r="74" spans="1:2">
      <c r="A74" s="87" t="str">
        <f>Graphs!V16</f>
        <v>Overstocking</v>
      </c>
      <c r="B74" s="87">
        <f>Graphs!W16</f>
        <v>3</v>
      </c>
    </row>
    <row r="75" spans="1:2">
      <c r="A75" s="87" t="str">
        <f>Graphs!V17</f>
        <v>Wrong / Loose wiring</v>
      </c>
      <c r="B75" s="87">
        <f>Graphs!W17</f>
        <v>2</v>
      </c>
    </row>
    <row r="76" spans="1:2">
      <c r="A76" s="87" t="str">
        <f>Graphs!V18</f>
        <v>Component Failure</v>
      </c>
      <c r="B76" s="87">
        <f>Graphs!W18</f>
        <v>2</v>
      </c>
    </row>
    <row r="77" spans="1:2">
      <c r="A77" s="87" t="str">
        <f>Graphs!V19</f>
        <v>Setpoint change</v>
      </c>
      <c r="B77" s="87">
        <f>Graphs!W19</f>
        <v>1</v>
      </c>
    </row>
    <row r="78" spans="1:2">
      <c r="A78" s="87" t="str">
        <f>Graphs!V20</f>
        <v>Unidentified air leak</v>
      </c>
      <c r="B78" s="87">
        <f>Graphs!W20</f>
        <v>1</v>
      </c>
    </row>
    <row r="79" spans="1:2">
      <c r="A79" s="87" t="str">
        <f>Graphs!V21</f>
        <v>Freedom</v>
      </c>
      <c r="B79" s="87">
        <f>Graphs!W21</f>
        <v>1</v>
      </c>
    </row>
    <row r="80" spans="1:2">
      <c r="A80" s="87" t="str">
        <f>Graphs!V22</f>
        <v>Wrong program</v>
      </c>
      <c r="B80" s="87">
        <f>Graphs!W22</f>
        <v>1</v>
      </c>
    </row>
    <row r="81" spans="1:4">
      <c r="A81" s="87" t="str">
        <f>Graphs!V23</f>
        <v>Enclosure Seal</v>
      </c>
      <c r="B81" s="87">
        <f>Graphs!W23</f>
        <v>0</v>
      </c>
    </row>
    <row r="82" spans="1:4">
      <c r="A82" s="87" t="str">
        <f>Graphs!V24</f>
        <v>Defrost Sync</v>
      </c>
      <c r="B82" s="87">
        <f>Graphs!W24</f>
        <v>0</v>
      </c>
    </row>
    <row r="83" spans="1:4">
      <c r="A83" s="87" t="str">
        <f>Graphs!V25</f>
        <v>Case End Seal</v>
      </c>
      <c r="B83" s="87">
        <f>Graphs!W25</f>
        <v>0</v>
      </c>
    </row>
    <row r="84" spans="1:4">
      <c r="A84" s="87" t="str">
        <f>Graphs!V26</f>
        <v>Return Air blocked</v>
      </c>
      <c r="B84" s="87">
        <f>Graphs!W26</f>
        <v>0</v>
      </c>
    </row>
    <row r="85" spans="1:4">
      <c r="A85" s="87" t="str">
        <f>Graphs!V27</f>
        <v>Heavy case load</v>
      </c>
      <c r="B85" s="87">
        <f>Graphs!W27</f>
        <v>0</v>
      </c>
    </row>
    <row r="86" spans="1:4">
      <c r="A86" s="87" t="str">
        <f>Graphs!V28</f>
        <v>Program change - Hussmann</v>
      </c>
      <c r="B86" s="87">
        <f>Graphs!W28</f>
        <v>0</v>
      </c>
    </row>
    <row r="87" spans="1:4">
      <c r="A87" s="87" t="str">
        <f>Graphs!V29</f>
        <v>Value</v>
      </c>
      <c r="B87" s="87">
        <f>Graphs!W29</f>
        <v>0</v>
      </c>
    </row>
    <row r="88" spans="1:4">
      <c r="A88" s="87">
        <f>Graphs!V30</f>
        <v>240</v>
      </c>
      <c r="B88" s="87">
        <f>Graphs!W30</f>
        <v>0</v>
      </c>
    </row>
    <row r="89" spans="1:4">
      <c r="A89" s="87">
        <f>Graphs!V31</f>
        <v>400</v>
      </c>
      <c r="B89" s="87">
        <f>Graphs!W31</f>
        <v>0</v>
      </c>
    </row>
    <row r="90" spans="1:4">
      <c r="A90" s="87">
        <f>Graphs!V32</f>
        <v>80</v>
      </c>
      <c r="B90" s="87">
        <f>Graphs!W32</f>
        <v>0</v>
      </c>
    </row>
    <row r="93" spans="1:4">
      <c r="A93" s="126" t="s">
        <v>1570</v>
      </c>
      <c r="B93" s="126"/>
      <c r="C93" s="126"/>
      <c r="D93" s="126"/>
    </row>
    <row r="94" spans="1:4">
      <c r="A94" s="125" t="s">
        <v>1571</v>
      </c>
      <c r="B94" s="125"/>
      <c r="C94" s="125"/>
      <c r="D94" s="125"/>
    </row>
    <row r="95" spans="1:4">
      <c r="A95" s="119" t="s">
        <v>1569</v>
      </c>
      <c r="B95" s="119" t="s">
        <v>1504</v>
      </c>
    </row>
    <row r="96" spans="1:4">
      <c r="A96" s="87" t="str">
        <f>Graphs!X8</f>
        <v>Doors</v>
      </c>
      <c r="B96" s="87">
        <f>Graphs!Y8</f>
        <v>5</v>
      </c>
    </row>
    <row r="97" spans="1:2">
      <c r="A97" s="87" t="str">
        <f>Graphs!X9</f>
        <v>False Alarm</v>
      </c>
      <c r="B97" s="87">
        <f>Graphs!Y9</f>
        <v>5</v>
      </c>
    </row>
    <row r="98" spans="1:2">
      <c r="A98" s="87" t="str">
        <f>Graphs!X10</f>
        <v>High Store RH</v>
      </c>
      <c r="B98" s="87">
        <f>Graphs!Y10</f>
        <v>4</v>
      </c>
    </row>
    <row r="99" spans="1:2">
      <c r="A99" s="87" t="str">
        <f>Graphs!X11</f>
        <v>Overstocking</v>
      </c>
      <c r="B99" s="87">
        <f>Graphs!Y11</f>
        <v>3</v>
      </c>
    </row>
    <row r="100" spans="1:2">
      <c r="A100" s="87" t="str">
        <f>Graphs!X12</f>
        <v>Ref. leak/ Low charge</v>
      </c>
      <c r="B100" s="87">
        <f>Graphs!Y12</f>
        <v>2</v>
      </c>
    </row>
    <row r="101" spans="1:2">
      <c r="A101" s="87" t="str">
        <f>Graphs!X13</f>
        <v>Wrong / Loose wiring</v>
      </c>
      <c r="B101" s="87">
        <f>Graphs!Y13</f>
        <v>2</v>
      </c>
    </row>
    <row r="102" spans="1:2">
      <c r="A102" s="87" t="str">
        <f>Graphs!X14</f>
        <v>Communication problem</v>
      </c>
      <c r="B102" s="87">
        <f>Graphs!Y14</f>
        <v>1</v>
      </c>
    </row>
    <row r="103" spans="1:2">
      <c r="A103" s="87" t="str">
        <f>Graphs!X15</f>
        <v>Setpoint change</v>
      </c>
      <c r="B103" s="87">
        <f>Graphs!Y15</f>
        <v>1</v>
      </c>
    </row>
    <row r="104" spans="1:2">
      <c r="A104" s="87" t="str">
        <f>Graphs!X16</f>
        <v>DG Installation issue</v>
      </c>
      <c r="B104" s="87">
        <f>Graphs!Y16</f>
        <v>1</v>
      </c>
    </row>
    <row r="105" spans="1:2">
      <c r="A105" s="87" t="str">
        <f>Graphs!X17</f>
        <v>Drain tube blocked</v>
      </c>
      <c r="B105" s="87">
        <f>Graphs!Y17</f>
        <v>0</v>
      </c>
    </row>
    <row r="106" spans="1:2">
      <c r="A106" s="87" t="str">
        <f>Graphs!X18</f>
        <v>Enclosure Seal</v>
      </c>
      <c r="B106" s="87">
        <f>Graphs!Y18</f>
        <v>0</v>
      </c>
    </row>
    <row r="107" spans="1:2">
      <c r="A107" s="87" t="str">
        <f>Graphs!X19</f>
        <v>Component Failure</v>
      </c>
      <c r="B107" s="87">
        <f>Graphs!Y19</f>
        <v>0</v>
      </c>
    </row>
    <row r="108" spans="1:2">
      <c r="A108" s="87" t="str">
        <f>Graphs!X20</f>
        <v>Defrost Sync</v>
      </c>
      <c r="B108" s="87">
        <f>Graphs!Y20</f>
        <v>0</v>
      </c>
    </row>
    <row r="109" spans="1:2">
      <c r="A109" s="87" t="str">
        <f>Graphs!X21</f>
        <v>Case End Seal</v>
      </c>
      <c r="B109" s="87">
        <f>Graphs!Y21</f>
        <v>0</v>
      </c>
    </row>
    <row r="110" spans="1:2">
      <c r="A110" s="87" t="str">
        <f>Graphs!X22</f>
        <v>Return Air blocked</v>
      </c>
      <c r="B110" s="87">
        <f>Graphs!Y22</f>
        <v>0</v>
      </c>
    </row>
    <row r="111" spans="1:2">
      <c r="A111" s="87" t="str">
        <f>Graphs!X23</f>
        <v>Unidentified air leak</v>
      </c>
      <c r="B111" s="87">
        <f>Graphs!Y23</f>
        <v>0</v>
      </c>
    </row>
    <row r="112" spans="1:2">
      <c r="A112" s="87" t="str">
        <f>Graphs!X24</f>
        <v>Freedom</v>
      </c>
      <c r="B112" s="87">
        <f>Graphs!Y24</f>
        <v>0</v>
      </c>
    </row>
    <row r="113" spans="1:6">
      <c r="A113" s="87" t="str">
        <f>Graphs!X25</f>
        <v>Heavy case load</v>
      </c>
      <c r="B113" s="87">
        <f>Graphs!Y25</f>
        <v>0</v>
      </c>
    </row>
    <row r="114" spans="1:6">
      <c r="A114" s="87" t="str">
        <f>Graphs!X26</f>
        <v>Unknown</v>
      </c>
      <c r="B114" s="87">
        <f>Graphs!Y26</f>
        <v>0</v>
      </c>
    </row>
    <row r="115" spans="1:6">
      <c r="A115" s="87" t="str">
        <f>Graphs!X27</f>
        <v>Program change - Hussmann</v>
      </c>
      <c r="B115" s="87">
        <f>Graphs!Y27</f>
        <v>0</v>
      </c>
    </row>
    <row r="116" spans="1:6">
      <c r="A116" s="87" t="str">
        <f>Graphs!X28</f>
        <v>Wrong program</v>
      </c>
      <c r="B116" s="87">
        <f>Graphs!Y28</f>
        <v>0</v>
      </c>
    </row>
    <row r="117" spans="1:6">
      <c r="A117" s="87" t="str">
        <f>Graphs!X29</f>
        <v>Value</v>
      </c>
      <c r="B117" s="87">
        <f>Graphs!Y29</f>
        <v>0</v>
      </c>
    </row>
    <row r="118" spans="1:6">
      <c r="A118" s="87">
        <f>Graphs!X30</f>
        <v>240</v>
      </c>
      <c r="B118" s="87">
        <f>Graphs!Y30</f>
        <v>0</v>
      </c>
    </row>
    <row r="119" spans="1:6">
      <c r="A119" s="87">
        <f>Graphs!X31</f>
        <v>400</v>
      </c>
      <c r="B119" s="87">
        <f>Graphs!Y31</f>
        <v>0</v>
      </c>
    </row>
    <row r="120" spans="1:6">
      <c r="A120" s="87">
        <f>Graphs!X32</f>
        <v>80</v>
      </c>
      <c r="B120" s="87">
        <f>Graphs!Y32</f>
        <v>0</v>
      </c>
    </row>
    <row r="123" spans="1:6">
      <c r="A123" s="126" t="s">
        <v>1572</v>
      </c>
      <c r="B123" s="126"/>
      <c r="C123" s="126"/>
      <c r="D123" s="126"/>
      <c r="E123" s="126"/>
      <c r="F123" s="126"/>
    </row>
    <row r="124" spans="1:6">
      <c r="A124" s="125" t="s">
        <v>1573</v>
      </c>
      <c r="B124" s="125"/>
      <c r="C124" s="125"/>
      <c r="D124" s="125"/>
      <c r="E124" s="125"/>
      <c r="F124" s="125"/>
    </row>
    <row r="125" spans="1:6">
      <c r="A125" s="119" t="s">
        <v>1569</v>
      </c>
      <c r="B125" s="119" t="s">
        <v>1574</v>
      </c>
      <c r="C125" s="119" t="s">
        <v>1575</v>
      </c>
      <c r="D125" s="119" t="s">
        <v>1281</v>
      </c>
    </row>
    <row r="126" spans="1:6">
      <c r="A126" s="87" t="str">
        <f>Graphs!DD41</f>
        <v>Doors</v>
      </c>
      <c r="B126" s="87">
        <f>Graphs!DE41</f>
        <v>5</v>
      </c>
      <c r="C126" s="87">
        <f>Graphs!DF41</f>
        <v>24</v>
      </c>
      <c r="D126" s="87">
        <f>Graphs!DG41</f>
        <v>29</v>
      </c>
    </row>
    <row r="127" spans="1:6">
      <c r="A127" s="87" t="str">
        <f>Graphs!DD42</f>
        <v>False Alarm</v>
      </c>
      <c r="B127" s="87">
        <f>Graphs!DE42</f>
        <v>5</v>
      </c>
      <c r="C127" s="87">
        <f>Graphs!DF42</f>
        <v>6</v>
      </c>
      <c r="D127" s="87">
        <f>Graphs!DG42</f>
        <v>11</v>
      </c>
    </row>
    <row r="128" spans="1:6">
      <c r="A128" s="87" t="str">
        <f>Graphs!DD43</f>
        <v>High Store RH</v>
      </c>
      <c r="B128" s="87">
        <f>Graphs!DE43</f>
        <v>4</v>
      </c>
      <c r="C128" s="87">
        <f>Graphs!DF43</f>
        <v>5</v>
      </c>
      <c r="D128" s="87">
        <f>Graphs!DG43</f>
        <v>9</v>
      </c>
    </row>
    <row r="129" spans="1:4">
      <c r="A129" s="87" t="str">
        <f>Graphs!DD44</f>
        <v>DG Installation issue</v>
      </c>
      <c r="B129" s="87">
        <f>Graphs!DE44</f>
        <v>1</v>
      </c>
      <c r="C129" s="87">
        <f>Graphs!DF44</f>
        <v>4</v>
      </c>
      <c r="D129" s="87">
        <f>Graphs!DG44</f>
        <v>5</v>
      </c>
    </row>
    <row r="130" spans="1:4">
      <c r="A130" s="87" t="str">
        <f>Graphs!DD45</f>
        <v>Unknown</v>
      </c>
      <c r="B130" s="87">
        <f>Graphs!DE45</f>
        <v>0</v>
      </c>
      <c r="C130" s="87">
        <f>Graphs!DF45</f>
        <v>5</v>
      </c>
      <c r="D130" s="87">
        <f>Graphs!DG45</f>
        <v>5</v>
      </c>
    </row>
    <row r="131" spans="1:4">
      <c r="A131" s="87" t="str">
        <f>Graphs!DD46</f>
        <v>Ref. leak/ Low charge</v>
      </c>
      <c r="B131" s="87">
        <f>Graphs!DE46</f>
        <v>2</v>
      </c>
      <c r="C131" s="87">
        <f>Graphs!DF46</f>
        <v>2</v>
      </c>
      <c r="D131" s="87">
        <f>Graphs!DG46</f>
        <v>4</v>
      </c>
    </row>
    <row r="132" spans="1:4">
      <c r="A132" s="87" t="str">
        <f>Graphs!DD47</f>
        <v>Communication problem</v>
      </c>
      <c r="B132" s="87">
        <f>Graphs!DE47</f>
        <v>1</v>
      </c>
      <c r="C132" s="87">
        <f>Graphs!DF47</f>
        <v>3</v>
      </c>
      <c r="D132" s="87">
        <f>Graphs!DG47</f>
        <v>4</v>
      </c>
    </row>
    <row r="133" spans="1:4">
      <c r="A133" s="87" t="str">
        <f>Graphs!DD48</f>
        <v>Drain tube blocked</v>
      </c>
      <c r="B133" s="87">
        <f>Graphs!DE48</f>
        <v>0</v>
      </c>
      <c r="C133" s="87">
        <f>Graphs!DF48</f>
        <v>3</v>
      </c>
      <c r="D133" s="87">
        <f>Graphs!DG48</f>
        <v>3</v>
      </c>
    </row>
    <row r="134" spans="1:4">
      <c r="A134" s="87" t="str">
        <f>Graphs!DD49</f>
        <v>Overstocking</v>
      </c>
      <c r="B134" s="87">
        <f>Graphs!DE49</f>
        <v>3</v>
      </c>
      <c r="C134" s="87">
        <f>Graphs!DF49</f>
        <v>0</v>
      </c>
      <c r="D134" s="87">
        <f>Graphs!DG49</f>
        <v>3</v>
      </c>
    </row>
    <row r="135" spans="1:4">
      <c r="A135" s="87" t="str">
        <f>Graphs!DD50</f>
        <v>Wrong / Loose wiring</v>
      </c>
      <c r="B135" s="87">
        <f>Graphs!DE50</f>
        <v>2</v>
      </c>
      <c r="C135" s="87">
        <f>Graphs!DF50</f>
        <v>0</v>
      </c>
      <c r="D135" s="87">
        <f>Graphs!DG50</f>
        <v>2</v>
      </c>
    </row>
    <row r="136" spans="1:4">
      <c r="A136" s="87" t="str">
        <f>Graphs!DD51</f>
        <v>Component Failure</v>
      </c>
      <c r="B136" s="87">
        <f>Graphs!DE51</f>
        <v>0</v>
      </c>
      <c r="C136" s="87">
        <f>Graphs!DF51</f>
        <v>2</v>
      </c>
      <c r="D136" s="87">
        <f>Graphs!DG51</f>
        <v>2</v>
      </c>
    </row>
    <row r="137" spans="1:4">
      <c r="A137" s="87" t="str">
        <f>Graphs!DD52</f>
        <v>Setpoint change</v>
      </c>
      <c r="B137" s="87">
        <f>Graphs!DE52</f>
        <v>1</v>
      </c>
      <c r="C137" s="87">
        <f>Graphs!DF52</f>
        <v>0</v>
      </c>
      <c r="D137" s="87">
        <f>Graphs!DG52</f>
        <v>1</v>
      </c>
    </row>
    <row r="138" spans="1:4">
      <c r="A138" s="87" t="str">
        <f>Graphs!DD53</f>
        <v>Unidentified air leak</v>
      </c>
      <c r="B138" s="87">
        <f>Graphs!DE53</f>
        <v>0</v>
      </c>
      <c r="C138" s="87">
        <f>Graphs!DF53</f>
        <v>1</v>
      </c>
      <c r="D138" s="87">
        <f>Graphs!DG53</f>
        <v>1</v>
      </c>
    </row>
    <row r="139" spans="1:4">
      <c r="A139" s="87" t="str">
        <f>Graphs!DD54</f>
        <v>Freedom</v>
      </c>
      <c r="B139" s="87">
        <f>Graphs!DE54</f>
        <v>0</v>
      </c>
      <c r="C139" s="87">
        <f>Graphs!DF54</f>
        <v>1</v>
      </c>
      <c r="D139" s="87">
        <f>Graphs!DG54</f>
        <v>1</v>
      </c>
    </row>
    <row r="140" spans="1:4">
      <c r="A140" s="87" t="str">
        <f>Graphs!DD55</f>
        <v>Wrong program</v>
      </c>
      <c r="B140" s="87">
        <f>Graphs!DE55</f>
        <v>0</v>
      </c>
      <c r="C140" s="87">
        <f>Graphs!DF55</f>
        <v>1</v>
      </c>
      <c r="D140" s="87">
        <f>Graphs!DG55</f>
        <v>1</v>
      </c>
    </row>
    <row r="141" spans="1:4">
      <c r="A141" s="87" t="str">
        <f>Graphs!DD56</f>
        <v>Enclosure Seal</v>
      </c>
      <c r="B141" s="87">
        <f>Graphs!DE56</f>
        <v>0</v>
      </c>
      <c r="C141" s="87">
        <f>Graphs!DF56</f>
        <v>0</v>
      </c>
      <c r="D141" s="87">
        <f>Graphs!DG56</f>
        <v>0</v>
      </c>
    </row>
    <row r="142" spans="1:4">
      <c r="A142" s="87" t="str">
        <f>Graphs!DD57</f>
        <v>Defrost Sync</v>
      </c>
      <c r="B142" s="87">
        <f>Graphs!DE57</f>
        <v>0</v>
      </c>
      <c r="C142" s="87">
        <f>Graphs!DF57</f>
        <v>0</v>
      </c>
      <c r="D142" s="87">
        <f>Graphs!DG57</f>
        <v>0</v>
      </c>
    </row>
    <row r="143" spans="1:4">
      <c r="A143" s="87" t="str">
        <f>Graphs!DD58</f>
        <v>Case End Seal</v>
      </c>
      <c r="B143" s="87">
        <f>Graphs!DE58</f>
        <v>0</v>
      </c>
      <c r="C143" s="87">
        <f>Graphs!DF58</f>
        <v>0</v>
      </c>
      <c r="D143" s="87">
        <f>Graphs!DG58</f>
        <v>0</v>
      </c>
    </row>
    <row r="144" spans="1:4">
      <c r="A144" s="87" t="str">
        <f>Graphs!DD59</f>
        <v>Return Air blocked</v>
      </c>
      <c r="B144" s="87">
        <f>Graphs!DE59</f>
        <v>0</v>
      </c>
      <c r="C144" s="87">
        <f>Graphs!DF59</f>
        <v>0</v>
      </c>
      <c r="D144" s="87">
        <f>Graphs!DG59</f>
        <v>0</v>
      </c>
    </row>
    <row r="145" spans="1:27">
      <c r="A145" s="87" t="str">
        <f>Graphs!DD60</f>
        <v>Heavy case load</v>
      </c>
      <c r="B145" s="87">
        <f>Graphs!DE60</f>
        <v>0</v>
      </c>
      <c r="C145" s="87">
        <f>Graphs!DF60</f>
        <v>0</v>
      </c>
      <c r="D145" s="87">
        <f>Graphs!DG60</f>
        <v>0</v>
      </c>
    </row>
    <row r="146" spans="1:27">
      <c r="A146" s="87" t="str">
        <f>Graphs!DD61</f>
        <v>Program change - Hussmann</v>
      </c>
      <c r="B146" s="87">
        <f>Graphs!DE61</f>
        <v>0</v>
      </c>
      <c r="C146" s="87">
        <f>Graphs!DF61</f>
        <v>0</v>
      </c>
      <c r="D146" s="87">
        <f>Graphs!DG61</f>
        <v>0</v>
      </c>
    </row>
    <row r="147" spans="1:27">
      <c r="A147" s="87" t="str">
        <f>Graphs!DD62</f>
        <v>Value</v>
      </c>
      <c r="B147" s="87">
        <f>Graphs!DE62</f>
        <v>0</v>
      </c>
      <c r="C147" s="87">
        <f>Graphs!DF62</f>
        <v>0</v>
      </c>
      <c r="D147" s="87">
        <f>Graphs!DG62</f>
        <v>0</v>
      </c>
    </row>
    <row r="148" spans="1:27">
      <c r="A148" s="87">
        <f>Graphs!DD63</f>
        <v>240</v>
      </c>
      <c r="B148" s="87">
        <f>Graphs!DE63</f>
        <v>0</v>
      </c>
      <c r="C148" s="87">
        <f>Graphs!DF63</f>
        <v>0</v>
      </c>
      <c r="D148" s="87">
        <f>Graphs!DG63</f>
        <v>0</v>
      </c>
    </row>
    <row r="149" spans="1:27">
      <c r="A149" s="87">
        <f>Graphs!DD64</f>
        <v>400</v>
      </c>
      <c r="B149" s="87">
        <f>Graphs!DE64</f>
        <v>0</v>
      </c>
      <c r="C149" s="87">
        <f>Graphs!DF64</f>
        <v>0</v>
      </c>
      <c r="D149" s="87">
        <f>Graphs!DG64</f>
        <v>0</v>
      </c>
    </row>
    <row r="150" spans="1:27">
      <c r="A150" s="87">
        <f>Graphs!DD65</f>
        <v>80</v>
      </c>
      <c r="B150" s="87">
        <f>Graphs!DE65</f>
        <v>0</v>
      </c>
      <c r="C150" s="87">
        <f>Graphs!DF65</f>
        <v>0</v>
      </c>
      <c r="D150" s="87">
        <f>Graphs!DG65</f>
        <v>0</v>
      </c>
    </row>
    <row r="153" spans="1:27">
      <c r="A153" s="126" t="s">
        <v>1576</v>
      </c>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c r="AA153" s="126"/>
    </row>
    <row r="154" spans="1:27">
      <c r="A154" s="125" t="s">
        <v>1577</v>
      </c>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c r="AA154" s="125"/>
    </row>
    <row r="155" spans="1:27">
      <c r="A155" s="119" t="s">
        <v>1569</v>
      </c>
      <c r="B155" s="119" t="str">
        <f>Graphs!DI40</f>
        <v>Doors</v>
      </c>
      <c r="C155" s="119" t="str">
        <f>Graphs!DJ40</f>
        <v>False Alarm</v>
      </c>
      <c r="D155" s="119" t="str">
        <f>Graphs!DK40</f>
        <v>High Store RH</v>
      </c>
      <c r="E155" s="119" t="str">
        <f>Graphs!DL40</f>
        <v>DG Installation issue</v>
      </c>
      <c r="F155" s="119" t="str">
        <f>Graphs!DM40</f>
        <v>Unknown</v>
      </c>
      <c r="G155" s="119" t="str">
        <f>Graphs!DN40</f>
        <v>Ref. leak/ Low charge</v>
      </c>
      <c r="H155" s="119" t="str">
        <f>Graphs!DO40</f>
        <v>Communication problem</v>
      </c>
      <c r="I155" s="119" t="str">
        <f>Graphs!DP40</f>
        <v>Drain tube blocked</v>
      </c>
      <c r="J155" s="119" t="str">
        <f>Graphs!DQ40</f>
        <v>Overstocking</v>
      </c>
      <c r="K155" s="119" t="str">
        <f>Graphs!DR40</f>
        <v>Wrong / Loose wiring</v>
      </c>
      <c r="L155" s="119" t="str">
        <f>Graphs!DS40</f>
        <v>Component Failure</v>
      </c>
      <c r="M155" s="119" t="str">
        <f>Graphs!DT40</f>
        <v>Setpoint change</v>
      </c>
      <c r="N155" s="119" t="str">
        <f>Graphs!DU40</f>
        <v>Unidentified air leak</v>
      </c>
      <c r="O155" s="119" t="str">
        <f>Graphs!DV40</f>
        <v>Freedom</v>
      </c>
      <c r="P155" s="119" t="str">
        <f>Graphs!DW40</f>
        <v>Wrong program</v>
      </c>
      <c r="Q155" s="119" t="str">
        <f>Graphs!DX40</f>
        <v>Enclosure Seal</v>
      </c>
      <c r="R155" s="119" t="str">
        <f>Graphs!DY40</f>
        <v>Defrost Sync</v>
      </c>
      <c r="S155" s="119" t="str">
        <f>Graphs!DZ40</f>
        <v>Case End Seal</v>
      </c>
      <c r="T155" s="119" t="str">
        <f>Graphs!EA40</f>
        <v>Return Air blocked</v>
      </c>
      <c r="U155" s="119" t="str">
        <f>Graphs!EB40</f>
        <v>Heavy case load</v>
      </c>
      <c r="V155" s="119" t="str">
        <f>Graphs!EC40</f>
        <v>Program change - Hussmann</v>
      </c>
      <c r="W155" s="119" t="str">
        <f>Graphs!ED40</f>
        <v>Value</v>
      </c>
      <c r="X155" s="119">
        <f>Graphs!EE40</f>
        <v>240</v>
      </c>
      <c r="Y155" s="119">
        <f>Graphs!EF40</f>
        <v>400</v>
      </c>
      <c r="Z155" s="119">
        <f>Graphs!EG40</f>
        <v>80</v>
      </c>
    </row>
    <row r="156" spans="1:27">
      <c r="A156" s="87" t="str">
        <f>Graphs!DD41</f>
        <v>Doors</v>
      </c>
      <c r="B156" s="87">
        <f>Graphs!DI41</f>
        <v>5</v>
      </c>
      <c r="C156" s="87">
        <f>Graphs!DJ41</f>
        <v>0</v>
      </c>
      <c r="D156" s="87">
        <f>Graphs!DK41</f>
        <v>0</v>
      </c>
      <c r="E156" s="87">
        <f>Graphs!DL41</f>
        <v>0</v>
      </c>
      <c r="F156" s="87">
        <f>Graphs!DM41</f>
        <v>0</v>
      </c>
      <c r="G156" s="87">
        <f>Graphs!DN41</f>
        <v>0</v>
      </c>
      <c r="H156" s="87">
        <f>Graphs!DO41</f>
        <v>0</v>
      </c>
      <c r="I156" s="87">
        <f>Graphs!DP41</f>
        <v>0</v>
      </c>
      <c r="J156" s="87">
        <f>Graphs!DQ41</f>
        <v>0</v>
      </c>
      <c r="K156" s="87">
        <f>Graphs!DR41</f>
        <v>0</v>
      </c>
      <c r="L156" s="87">
        <f>Graphs!DS41</f>
        <v>0</v>
      </c>
      <c r="M156" s="87">
        <f>Graphs!DT41</f>
        <v>0</v>
      </c>
      <c r="N156" s="87">
        <f>Graphs!DU41</f>
        <v>0</v>
      </c>
      <c r="O156" s="87">
        <f>Graphs!DV41</f>
        <v>0</v>
      </c>
      <c r="P156" s="87">
        <f>Graphs!DW41</f>
        <v>0</v>
      </c>
      <c r="Q156" s="87">
        <f>Graphs!DX41</f>
        <v>0</v>
      </c>
      <c r="R156" s="87">
        <f>Graphs!DY41</f>
        <v>0</v>
      </c>
      <c r="S156" s="87">
        <f>Graphs!DZ41</f>
        <v>0</v>
      </c>
      <c r="T156" s="87">
        <f>Graphs!EA41</f>
        <v>0</v>
      </c>
      <c r="U156" s="87">
        <f>Graphs!EB41</f>
        <v>0</v>
      </c>
      <c r="V156" s="87">
        <f>Graphs!EC41</f>
        <v>0</v>
      </c>
      <c r="W156" s="87">
        <f>Graphs!ED41</f>
        <v>0</v>
      </c>
      <c r="X156" s="87">
        <f>Graphs!EE41</f>
        <v>0</v>
      </c>
      <c r="Y156" s="87">
        <f>Graphs!EF41</f>
        <v>0</v>
      </c>
      <c r="Z156" s="87">
        <f>Graphs!EG41</f>
        <v>0</v>
      </c>
    </row>
    <row r="157" spans="1:27">
      <c r="A157" s="87" t="str">
        <f>Graphs!DD42</f>
        <v>False Alarm</v>
      </c>
      <c r="B157" s="87">
        <f>Graphs!DI42</f>
        <v>0</v>
      </c>
      <c r="C157" s="87">
        <f>Graphs!DJ42</f>
        <v>5</v>
      </c>
      <c r="D157" s="87">
        <f>Graphs!DK42</f>
        <v>0</v>
      </c>
      <c r="E157" s="87">
        <f>Graphs!DL42</f>
        <v>0</v>
      </c>
      <c r="F157" s="87">
        <f>Graphs!DM42</f>
        <v>0</v>
      </c>
      <c r="G157" s="87">
        <f>Graphs!DN42</f>
        <v>0</v>
      </c>
      <c r="H157" s="87">
        <f>Graphs!DO42</f>
        <v>0</v>
      </c>
      <c r="I157" s="87">
        <f>Graphs!DP42</f>
        <v>0</v>
      </c>
      <c r="J157" s="87">
        <f>Graphs!DQ42</f>
        <v>0</v>
      </c>
      <c r="K157" s="87">
        <f>Graphs!DR42</f>
        <v>0</v>
      </c>
      <c r="L157" s="87">
        <f>Graphs!DS42</f>
        <v>0</v>
      </c>
      <c r="M157" s="87">
        <f>Graphs!DT42</f>
        <v>0</v>
      </c>
      <c r="N157" s="87">
        <f>Graphs!DU42</f>
        <v>0</v>
      </c>
      <c r="O157" s="87">
        <f>Graphs!DV42</f>
        <v>0</v>
      </c>
      <c r="P157" s="87">
        <f>Graphs!DW42</f>
        <v>0</v>
      </c>
      <c r="Q157" s="87">
        <f>Graphs!DX42</f>
        <v>0</v>
      </c>
      <c r="R157" s="87">
        <f>Graphs!DY42</f>
        <v>0</v>
      </c>
      <c r="S157" s="87">
        <f>Graphs!DZ42</f>
        <v>0</v>
      </c>
      <c r="T157" s="87">
        <f>Graphs!EA42</f>
        <v>0</v>
      </c>
      <c r="U157" s="87">
        <f>Graphs!EB42</f>
        <v>0</v>
      </c>
      <c r="V157" s="87">
        <f>Graphs!EC42</f>
        <v>0</v>
      </c>
      <c r="W157" s="87">
        <f>Graphs!ED42</f>
        <v>0</v>
      </c>
      <c r="X157" s="87">
        <f>Graphs!EE42</f>
        <v>0</v>
      </c>
      <c r="Y157" s="87">
        <f>Graphs!EF42</f>
        <v>0</v>
      </c>
      <c r="Z157" s="87">
        <f>Graphs!EG42</f>
        <v>0</v>
      </c>
    </row>
    <row r="158" spans="1:27">
      <c r="A158" s="87" t="str">
        <f>Graphs!DD43</f>
        <v>High Store RH</v>
      </c>
      <c r="B158" s="87">
        <f>Graphs!DI43</f>
        <v>0</v>
      </c>
      <c r="C158" s="87">
        <f>Graphs!DJ43</f>
        <v>0</v>
      </c>
      <c r="D158" s="87">
        <f>Graphs!DK43</f>
        <v>4</v>
      </c>
      <c r="E158" s="87">
        <f>Graphs!DL43</f>
        <v>0</v>
      </c>
      <c r="F158" s="87">
        <f>Graphs!DM43</f>
        <v>0</v>
      </c>
      <c r="G158" s="87">
        <f>Graphs!DN43</f>
        <v>0</v>
      </c>
      <c r="H158" s="87">
        <f>Graphs!DO43</f>
        <v>0</v>
      </c>
      <c r="I158" s="87">
        <f>Graphs!DP43</f>
        <v>0</v>
      </c>
      <c r="J158" s="87">
        <f>Graphs!DQ43</f>
        <v>0</v>
      </c>
      <c r="K158" s="87">
        <f>Graphs!DR43</f>
        <v>0</v>
      </c>
      <c r="L158" s="87">
        <f>Graphs!DS43</f>
        <v>0</v>
      </c>
      <c r="M158" s="87">
        <f>Graphs!DT43</f>
        <v>0</v>
      </c>
      <c r="N158" s="87">
        <f>Graphs!DU43</f>
        <v>0</v>
      </c>
      <c r="O158" s="87">
        <f>Graphs!DV43</f>
        <v>0</v>
      </c>
      <c r="P158" s="87">
        <f>Graphs!DW43</f>
        <v>0</v>
      </c>
      <c r="Q158" s="87">
        <f>Graphs!DX43</f>
        <v>0</v>
      </c>
      <c r="R158" s="87">
        <f>Graphs!DY43</f>
        <v>0</v>
      </c>
      <c r="S158" s="87">
        <f>Graphs!DZ43</f>
        <v>0</v>
      </c>
      <c r="T158" s="87">
        <f>Graphs!EA43</f>
        <v>0</v>
      </c>
      <c r="U158" s="87">
        <f>Graphs!EB43</f>
        <v>0</v>
      </c>
      <c r="V158" s="87">
        <f>Graphs!EC43</f>
        <v>0</v>
      </c>
      <c r="W158" s="87">
        <f>Graphs!ED43</f>
        <v>0</v>
      </c>
      <c r="X158" s="87">
        <f>Graphs!EE43</f>
        <v>0</v>
      </c>
      <c r="Y158" s="87">
        <f>Graphs!EF43</f>
        <v>0</v>
      </c>
      <c r="Z158" s="87">
        <f>Graphs!EG43</f>
        <v>0</v>
      </c>
    </row>
    <row r="159" spans="1:27">
      <c r="A159" s="87" t="str">
        <f>Graphs!DD44</f>
        <v>DG Installation issue</v>
      </c>
      <c r="B159" s="87">
        <f>Graphs!DI44</f>
        <v>0</v>
      </c>
      <c r="C159" s="87">
        <f>Graphs!DJ44</f>
        <v>0</v>
      </c>
      <c r="D159" s="87">
        <f>Graphs!DK44</f>
        <v>0</v>
      </c>
      <c r="E159" s="87">
        <f>Graphs!DL44</f>
        <v>1</v>
      </c>
      <c r="F159" s="87">
        <f>Graphs!DM44</f>
        <v>0</v>
      </c>
      <c r="G159" s="87">
        <f>Graphs!DN44</f>
        <v>0</v>
      </c>
      <c r="H159" s="87">
        <f>Graphs!DO44</f>
        <v>0</v>
      </c>
      <c r="I159" s="87">
        <f>Graphs!DP44</f>
        <v>0</v>
      </c>
      <c r="J159" s="87">
        <f>Graphs!DQ44</f>
        <v>0</v>
      </c>
      <c r="K159" s="87">
        <f>Graphs!DR44</f>
        <v>0</v>
      </c>
      <c r="L159" s="87">
        <f>Graphs!DS44</f>
        <v>0</v>
      </c>
      <c r="M159" s="87">
        <f>Graphs!DT44</f>
        <v>0</v>
      </c>
      <c r="N159" s="87">
        <f>Graphs!DU44</f>
        <v>0</v>
      </c>
      <c r="O159" s="87">
        <f>Graphs!DV44</f>
        <v>0</v>
      </c>
      <c r="P159" s="87">
        <f>Graphs!DW44</f>
        <v>0</v>
      </c>
      <c r="Q159" s="87">
        <f>Graphs!DX44</f>
        <v>0</v>
      </c>
      <c r="R159" s="87">
        <f>Graphs!DY44</f>
        <v>0</v>
      </c>
      <c r="S159" s="87">
        <f>Graphs!DZ44</f>
        <v>0</v>
      </c>
      <c r="T159" s="87">
        <f>Graphs!EA44</f>
        <v>0</v>
      </c>
      <c r="U159" s="87">
        <f>Graphs!EB44</f>
        <v>0</v>
      </c>
      <c r="V159" s="87">
        <f>Graphs!EC44</f>
        <v>0</v>
      </c>
      <c r="W159" s="87">
        <f>Graphs!ED44</f>
        <v>0</v>
      </c>
      <c r="X159" s="87">
        <f>Graphs!EE44</f>
        <v>0</v>
      </c>
      <c r="Y159" s="87">
        <f>Graphs!EF44</f>
        <v>0</v>
      </c>
      <c r="Z159" s="87">
        <f>Graphs!EG44</f>
        <v>0</v>
      </c>
    </row>
    <row r="160" spans="1:27">
      <c r="A160" s="87" t="str">
        <f>Graphs!DD45</f>
        <v>Unknown</v>
      </c>
      <c r="B160" s="87">
        <f>Graphs!DI45</f>
        <v>0</v>
      </c>
      <c r="C160" s="87">
        <f>Graphs!DJ45</f>
        <v>0</v>
      </c>
      <c r="D160" s="87">
        <f>Graphs!DK45</f>
        <v>0</v>
      </c>
      <c r="E160" s="87">
        <f>Graphs!DL45</f>
        <v>0</v>
      </c>
      <c r="F160" s="87">
        <f>Graphs!DM45</f>
        <v>0</v>
      </c>
      <c r="G160" s="87">
        <f>Graphs!DN45</f>
        <v>0</v>
      </c>
      <c r="H160" s="87">
        <f>Graphs!DO45</f>
        <v>0</v>
      </c>
      <c r="I160" s="87">
        <f>Graphs!DP45</f>
        <v>0</v>
      </c>
      <c r="J160" s="87">
        <f>Graphs!DQ45</f>
        <v>0</v>
      </c>
      <c r="K160" s="87">
        <f>Graphs!DR45</f>
        <v>0</v>
      </c>
      <c r="L160" s="87">
        <f>Graphs!DS45</f>
        <v>0</v>
      </c>
      <c r="M160" s="87">
        <f>Graphs!DT45</f>
        <v>0</v>
      </c>
      <c r="N160" s="87">
        <f>Graphs!DU45</f>
        <v>0</v>
      </c>
      <c r="O160" s="87">
        <f>Graphs!DV45</f>
        <v>0</v>
      </c>
      <c r="P160" s="87">
        <f>Graphs!DW45</f>
        <v>0</v>
      </c>
      <c r="Q160" s="87">
        <f>Graphs!DX45</f>
        <v>0</v>
      </c>
      <c r="R160" s="87">
        <f>Graphs!DY45</f>
        <v>0</v>
      </c>
      <c r="S160" s="87">
        <f>Graphs!DZ45</f>
        <v>0</v>
      </c>
      <c r="T160" s="87">
        <f>Graphs!EA45</f>
        <v>0</v>
      </c>
      <c r="U160" s="87">
        <f>Graphs!EB45</f>
        <v>0</v>
      </c>
      <c r="V160" s="87">
        <f>Graphs!EC45</f>
        <v>0</v>
      </c>
      <c r="W160" s="87">
        <f>Graphs!ED45</f>
        <v>0</v>
      </c>
      <c r="X160" s="87">
        <f>Graphs!EE45</f>
        <v>0</v>
      </c>
      <c r="Y160" s="87">
        <f>Graphs!EF45</f>
        <v>0</v>
      </c>
      <c r="Z160" s="87">
        <f>Graphs!EG45</f>
        <v>0</v>
      </c>
    </row>
    <row r="161" spans="1:26">
      <c r="A161" s="87" t="str">
        <f>Graphs!DD46</f>
        <v>Ref. leak/ Low charge</v>
      </c>
      <c r="B161" s="87">
        <f>Graphs!DI46</f>
        <v>0</v>
      </c>
      <c r="C161" s="87">
        <f>Graphs!DJ46</f>
        <v>0</v>
      </c>
      <c r="D161" s="87">
        <f>Graphs!DK46</f>
        <v>0</v>
      </c>
      <c r="E161" s="87">
        <f>Graphs!DL46</f>
        <v>0</v>
      </c>
      <c r="F161" s="87">
        <f>Graphs!DM46</f>
        <v>0</v>
      </c>
      <c r="G161" s="87">
        <f>Graphs!DN46</f>
        <v>2</v>
      </c>
      <c r="H161" s="87">
        <f>Graphs!DO46</f>
        <v>0</v>
      </c>
      <c r="I161" s="87">
        <f>Graphs!DP46</f>
        <v>0</v>
      </c>
      <c r="J161" s="87">
        <f>Graphs!DQ46</f>
        <v>0</v>
      </c>
      <c r="K161" s="87">
        <f>Graphs!DR46</f>
        <v>0</v>
      </c>
      <c r="L161" s="87">
        <f>Graphs!DS46</f>
        <v>0</v>
      </c>
      <c r="M161" s="87">
        <f>Graphs!DT46</f>
        <v>0</v>
      </c>
      <c r="N161" s="87">
        <f>Graphs!DU46</f>
        <v>0</v>
      </c>
      <c r="O161" s="87">
        <f>Graphs!DV46</f>
        <v>0</v>
      </c>
      <c r="P161" s="87">
        <f>Graphs!DW46</f>
        <v>0</v>
      </c>
      <c r="Q161" s="87">
        <f>Graphs!DX46</f>
        <v>0</v>
      </c>
      <c r="R161" s="87">
        <f>Graphs!DY46</f>
        <v>0</v>
      </c>
      <c r="S161" s="87">
        <f>Graphs!DZ46</f>
        <v>0</v>
      </c>
      <c r="T161" s="87">
        <f>Graphs!EA46</f>
        <v>0</v>
      </c>
      <c r="U161" s="87">
        <f>Graphs!EB46</f>
        <v>0</v>
      </c>
      <c r="V161" s="87">
        <f>Graphs!EC46</f>
        <v>0</v>
      </c>
      <c r="W161" s="87">
        <f>Graphs!ED46</f>
        <v>0</v>
      </c>
      <c r="X161" s="87">
        <f>Graphs!EE46</f>
        <v>0</v>
      </c>
      <c r="Y161" s="87">
        <f>Graphs!EF46</f>
        <v>0</v>
      </c>
      <c r="Z161" s="87">
        <f>Graphs!EG46</f>
        <v>0</v>
      </c>
    </row>
    <row r="162" spans="1:26">
      <c r="A162" s="87" t="str">
        <f>Graphs!DD47</f>
        <v>Communication problem</v>
      </c>
      <c r="B162" s="87">
        <f>Graphs!DI47</f>
        <v>0</v>
      </c>
      <c r="C162" s="87">
        <f>Graphs!DJ47</f>
        <v>0</v>
      </c>
      <c r="D162" s="87">
        <f>Graphs!DK47</f>
        <v>0</v>
      </c>
      <c r="E162" s="87">
        <f>Graphs!DL47</f>
        <v>0</v>
      </c>
      <c r="F162" s="87">
        <f>Graphs!DM47</f>
        <v>0</v>
      </c>
      <c r="G162" s="87">
        <f>Graphs!DN47</f>
        <v>0</v>
      </c>
      <c r="H162" s="87">
        <f>Graphs!DO47</f>
        <v>1</v>
      </c>
      <c r="I162" s="87">
        <f>Graphs!DP47</f>
        <v>0</v>
      </c>
      <c r="J162" s="87">
        <f>Graphs!DQ47</f>
        <v>0</v>
      </c>
      <c r="K162" s="87">
        <f>Graphs!DR47</f>
        <v>0</v>
      </c>
      <c r="L162" s="87">
        <f>Graphs!DS47</f>
        <v>0</v>
      </c>
      <c r="M162" s="87">
        <f>Graphs!DT47</f>
        <v>0</v>
      </c>
      <c r="N162" s="87">
        <f>Graphs!DU47</f>
        <v>0</v>
      </c>
      <c r="O162" s="87">
        <f>Graphs!DV47</f>
        <v>0</v>
      </c>
      <c r="P162" s="87">
        <f>Graphs!DW47</f>
        <v>0</v>
      </c>
      <c r="Q162" s="87">
        <f>Graphs!DX47</f>
        <v>0</v>
      </c>
      <c r="R162" s="87">
        <f>Graphs!DY47</f>
        <v>0</v>
      </c>
      <c r="S162" s="87">
        <f>Graphs!DZ47</f>
        <v>0</v>
      </c>
      <c r="T162" s="87">
        <f>Graphs!EA47</f>
        <v>0</v>
      </c>
      <c r="U162" s="87">
        <f>Graphs!EB47</f>
        <v>0</v>
      </c>
      <c r="V162" s="87">
        <f>Graphs!EC47</f>
        <v>0</v>
      </c>
      <c r="W162" s="87">
        <f>Graphs!ED47</f>
        <v>0</v>
      </c>
      <c r="X162" s="87">
        <f>Graphs!EE47</f>
        <v>0</v>
      </c>
      <c r="Y162" s="87">
        <f>Graphs!EF47</f>
        <v>0</v>
      </c>
      <c r="Z162" s="87">
        <f>Graphs!EG47</f>
        <v>0</v>
      </c>
    </row>
    <row r="163" spans="1:26">
      <c r="A163" s="87" t="str">
        <f>Graphs!DD48</f>
        <v>Drain tube blocked</v>
      </c>
      <c r="B163" s="87">
        <f>Graphs!DI48</f>
        <v>0</v>
      </c>
      <c r="C163" s="87">
        <f>Graphs!DJ48</f>
        <v>0</v>
      </c>
      <c r="D163" s="87">
        <f>Graphs!DK48</f>
        <v>0</v>
      </c>
      <c r="E163" s="87">
        <f>Graphs!DL48</f>
        <v>0</v>
      </c>
      <c r="F163" s="87">
        <f>Graphs!DM48</f>
        <v>0</v>
      </c>
      <c r="G163" s="87">
        <f>Graphs!DN48</f>
        <v>0</v>
      </c>
      <c r="H163" s="87">
        <f>Graphs!DO48</f>
        <v>0</v>
      </c>
      <c r="I163" s="87">
        <f>Graphs!DP48</f>
        <v>0</v>
      </c>
      <c r="J163" s="87">
        <f>Graphs!DQ48</f>
        <v>0</v>
      </c>
      <c r="K163" s="87">
        <f>Graphs!DR48</f>
        <v>0</v>
      </c>
      <c r="L163" s="87">
        <f>Graphs!DS48</f>
        <v>0</v>
      </c>
      <c r="M163" s="87">
        <f>Graphs!DT48</f>
        <v>0</v>
      </c>
      <c r="N163" s="87">
        <f>Graphs!DU48</f>
        <v>0</v>
      </c>
      <c r="O163" s="87">
        <f>Graphs!DV48</f>
        <v>0</v>
      </c>
      <c r="P163" s="87">
        <f>Graphs!DW48</f>
        <v>0</v>
      </c>
      <c r="Q163" s="87">
        <f>Graphs!DX48</f>
        <v>0</v>
      </c>
      <c r="R163" s="87">
        <f>Graphs!DY48</f>
        <v>0</v>
      </c>
      <c r="S163" s="87">
        <f>Graphs!DZ48</f>
        <v>0</v>
      </c>
      <c r="T163" s="87">
        <f>Graphs!EA48</f>
        <v>0</v>
      </c>
      <c r="U163" s="87">
        <f>Graphs!EB48</f>
        <v>0</v>
      </c>
      <c r="V163" s="87">
        <f>Graphs!EC48</f>
        <v>0</v>
      </c>
      <c r="W163" s="87">
        <f>Graphs!ED48</f>
        <v>0</v>
      </c>
      <c r="X163" s="87">
        <f>Graphs!EE48</f>
        <v>0</v>
      </c>
      <c r="Y163" s="87">
        <f>Graphs!EF48</f>
        <v>0</v>
      </c>
      <c r="Z163" s="87">
        <f>Graphs!EG48</f>
        <v>0</v>
      </c>
    </row>
    <row r="164" spans="1:26">
      <c r="A164" s="87" t="str">
        <f>Graphs!DD49</f>
        <v>Overstocking</v>
      </c>
      <c r="B164" s="87">
        <f>Graphs!DI49</f>
        <v>0</v>
      </c>
      <c r="C164" s="87">
        <f>Graphs!DJ49</f>
        <v>0</v>
      </c>
      <c r="D164" s="87">
        <f>Graphs!DK49</f>
        <v>0</v>
      </c>
      <c r="E164" s="87">
        <f>Graphs!DL49</f>
        <v>0</v>
      </c>
      <c r="F164" s="87">
        <f>Graphs!DM49</f>
        <v>0</v>
      </c>
      <c r="G164" s="87">
        <f>Graphs!DN49</f>
        <v>0</v>
      </c>
      <c r="H164" s="87">
        <f>Graphs!DO49</f>
        <v>0</v>
      </c>
      <c r="I164" s="87">
        <f>Graphs!DP49</f>
        <v>0</v>
      </c>
      <c r="J164" s="87">
        <f>Graphs!DQ49</f>
        <v>3</v>
      </c>
      <c r="K164" s="87">
        <f>Graphs!DR49</f>
        <v>0</v>
      </c>
      <c r="L164" s="87">
        <f>Graphs!DS49</f>
        <v>0</v>
      </c>
      <c r="M164" s="87">
        <f>Graphs!DT49</f>
        <v>0</v>
      </c>
      <c r="N164" s="87">
        <f>Graphs!DU49</f>
        <v>0</v>
      </c>
      <c r="O164" s="87">
        <f>Graphs!DV49</f>
        <v>0</v>
      </c>
      <c r="P164" s="87">
        <f>Graphs!DW49</f>
        <v>0</v>
      </c>
      <c r="Q164" s="87">
        <f>Graphs!DX49</f>
        <v>0</v>
      </c>
      <c r="R164" s="87">
        <f>Graphs!DY49</f>
        <v>0</v>
      </c>
      <c r="S164" s="87">
        <f>Graphs!DZ49</f>
        <v>0</v>
      </c>
      <c r="T164" s="87">
        <f>Graphs!EA49</f>
        <v>0</v>
      </c>
      <c r="U164" s="87">
        <f>Graphs!EB49</f>
        <v>0</v>
      </c>
      <c r="V164" s="87">
        <f>Graphs!EC49</f>
        <v>0</v>
      </c>
      <c r="W164" s="87">
        <f>Graphs!ED49</f>
        <v>0</v>
      </c>
      <c r="X164" s="87">
        <f>Graphs!EE49</f>
        <v>0</v>
      </c>
      <c r="Y164" s="87">
        <f>Graphs!EF49</f>
        <v>0</v>
      </c>
      <c r="Z164" s="87">
        <f>Graphs!EG49</f>
        <v>0</v>
      </c>
    </row>
    <row r="165" spans="1:26">
      <c r="A165" s="87" t="str">
        <f>Graphs!DD50</f>
        <v>Wrong / Loose wiring</v>
      </c>
      <c r="B165" s="87">
        <f>Graphs!DI50</f>
        <v>0</v>
      </c>
      <c r="C165" s="87">
        <f>Graphs!DJ50</f>
        <v>0</v>
      </c>
      <c r="D165" s="87">
        <f>Graphs!DK50</f>
        <v>0</v>
      </c>
      <c r="E165" s="87">
        <f>Graphs!DL50</f>
        <v>0</v>
      </c>
      <c r="F165" s="87">
        <f>Graphs!DM50</f>
        <v>0</v>
      </c>
      <c r="G165" s="87">
        <f>Graphs!DN50</f>
        <v>0</v>
      </c>
      <c r="H165" s="87">
        <f>Graphs!DO50</f>
        <v>0</v>
      </c>
      <c r="I165" s="87">
        <f>Graphs!DP50</f>
        <v>0</v>
      </c>
      <c r="J165" s="87">
        <f>Graphs!DQ50</f>
        <v>0</v>
      </c>
      <c r="K165" s="87">
        <f>Graphs!DR50</f>
        <v>2</v>
      </c>
      <c r="L165" s="87">
        <f>Graphs!DS50</f>
        <v>0</v>
      </c>
      <c r="M165" s="87">
        <f>Graphs!DT50</f>
        <v>0</v>
      </c>
      <c r="N165" s="87">
        <f>Graphs!DU50</f>
        <v>0</v>
      </c>
      <c r="O165" s="87">
        <f>Graphs!DV50</f>
        <v>0</v>
      </c>
      <c r="P165" s="87">
        <f>Graphs!DW50</f>
        <v>0</v>
      </c>
      <c r="Q165" s="87">
        <f>Graphs!DX50</f>
        <v>0</v>
      </c>
      <c r="R165" s="87">
        <f>Graphs!DY50</f>
        <v>0</v>
      </c>
      <c r="S165" s="87">
        <f>Graphs!DZ50</f>
        <v>0</v>
      </c>
      <c r="T165" s="87">
        <f>Graphs!EA50</f>
        <v>0</v>
      </c>
      <c r="U165" s="87">
        <f>Graphs!EB50</f>
        <v>0</v>
      </c>
      <c r="V165" s="87">
        <f>Graphs!EC50</f>
        <v>0</v>
      </c>
      <c r="W165" s="87">
        <f>Graphs!ED50</f>
        <v>0</v>
      </c>
      <c r="X165" s="87">
        <f>Graphs!EE50</f>
        <v>0</v>
      </c>
      <c r="Y165" s="87">
        <f>Graphs!EF50</f>
        <v>0</v>
      </c>
      <c r="Z165" s="87">
        <f>Graphs!EG50</f>
        <v>0</v>
      </c>
    </row>
    <row r="166" spans="1:26">
      <c r="A166" s="87" t="str">
        <f>Graphs!DD51</f>
        <v>Component Failure</v>
      </c>
      <c r="B166" s="87">
        <f>Graphs!DI51</f>
        <v>0</v>
      </c>
      <c r="C166" s="87">
        <f>Graphs!DJ51</f>
        <v>0</v>
      </c>
      <c r="D166" s="87">
        <f>Graphs!DK51</f>
        <v>0</v>
      </c>
      <c r="E166" s="87">
        <f>Graphs!DL51</f>
        <v>0</v>
      </c>
      <c r="F166" s="87">
        <f>Graphs!DM51</f>
        <v>0</v>
      </c>
      <c r="G166" s="87">
        <f>Graphs!DN51</f>
        <v>0</v>
      </c>
      <c r="H166" s="87">
        <f>Graphs!DO51</f>
        <v>0</v>
      </c>
      <c r="I166" s="87">
        <f>Graphs!DP51</f>
        <v>0</v>
      </c>
      <c r="J166" s="87">
        <f>Graphs!DQ51</f>
        <v>0</v>
      </c>
      <c r="K166" s="87">
        <f>Graphs!DR51</f>
        <v>0</v>
      </c>
      <c r="L166" s="87">
        <f>Graphs!DS51</f>
        <v>0</v>
      </c>
      <c r="M166" s="87">
        <f>Graphs!DT51</f>
        <v>0</v>
      </c>
      <c r="N166" s="87">
        <f>Graphs!DU51</f>
        <v>0</v>
      </c>
      <c r="O166" s="87">
        <f>Graphs!DV51</f>
        <v>0</v>
      </c>
      <c r="P166" s="87">
        <f>Graphs!DW51</f>
        <v>0</v>
      </c>
      <c r="Q166" s="87">
        <f>Graphs!DX51</f>
        <v>0</v>
      </c>
      <c r="R166" s="87">
        <f>Graphs!DY51</f>
        <v>0</v>
      </c>
      <c r="S166" s="87">
        <f>Graphs!DZ51</f>
        <v>0</v>
      </c>
      <c r="T166" s="87">
        <f>Graphs!EA51</f>
        <v>0</v>
      </c>
      <c r="U166" s="87">
        <f>Graphs!EB51</f>
        <v>0</v>
      </c>
      <c r="V166" s="87">
        <f>Graphs!EC51</f>
        <v>0</v>
      </c>
      <c r="W166" s="87">
        <f>Graphs!ED51</f>
        <v>0</v>
      </c>
      <c r="X166" s="87">
        <f>Graphs!EE51</f>
        <v>0</v>
      </c>
      <c r="Y166" s="87">
        <f>Graphs!EF51</f>
        <v>0</v>
      </c>
      <c r="Z166" s="87">
        <f>Graphs!EG51</f>
        <v>0</v>
      </c>
    </row>
    <row r="167" spans="1:26">
      <c r="A167" s="87" t="str">
        <f>Graphs!DD52</f>
        <v>Setpoint change</v>
      </c>
      <c r="B167" s="87">
        <f>Graphs!DI52</f>
        <v>0</v>
      </c>
      <c r="C167" s="87">
        <f>Graphs!DJ52</f>
        <v>0</v>
      </c>
      <c r="D167" s="87">
        <f>Graphs!DK52</f>
        <v>0</v>
      </c>
      <c r="E167" s="87">
        <f>Graphs!DL52</f>
        <v>0</v>
      </c>
      <c r="F167" s="87">
        <f>Graphs!DM52</f>
        <v>0</v>
      </c>
      <c r="G167" s="87">
        <f>Graphs!DN52</f>
        <v>0</v>
      </c>
      <c r="H167" s="87">
        <f>Graphs!DO52</f>
        <v>0</v>
      </c>
      <c r="I167" s="87">
        <f>Graphs!DP52</f>
        <v>0</v>
      </c>
      <c r="J167" s="87">
        <f>Graphs!DQ52</f>
        <v>0</v>
      </c>
      <c r="K167" s="87">
        <f>Graphs!DR52</f>
        <v>0</v>
      </c>
      <c r="L167" s="87">
        <f>Graphs!DS52</f>
        <v>0</v>
      </c>
      <c r="M167" s="87">
        <f>Graphs!DT52</f>
        <v>1</v>
      </c>
      <c r="N167" s="87">
        <f>Graphs!DU52</f>
        <v>0</v>
      </c>
      <c r="O167" s="87">
        <f>Graphs!DV52</f>
        <v>0</v>
      </c>
      <c r="P167" s="87">
        <f>Graphs!DW52</f>
        <v>0</v>
      </c>
      <c r="Q167" s="87">
        <f>Graphs!DX52</f>
        <v>0</v>
      </c>
      <c r="R167" s="87">
        <f>Graphs!DY52</f>
        <v>0</v>
      </c>
      <c r="S167" s="87">
        <f>Graphs!DZ52</f>
        <v>0</v>
      </c>
      <c r="T167" s="87">
        <f>Graphs!EA52</f>
        <v>0</v>
      </c>
      <c r="U167" s="87">
        <f>Graphs!EB52</f>
        <v>0</v>
      </c>
      <c r="V167" s="87">
        <f>Graphs!EC52</f>
        <v>0</v>
      </c>
      <c r="W167" s="87">
        <f>Graphs!ED52</f>
        <v>0</v>
      </c>
      <c r="X167" s="87">
        <f>Graphs!EE52</f>
        <v>0</v>
      </c>
      <c r="Y167" s="87">
        <f>Graphs!EF52</f>
        <v>0</v>
      </c>
      <c r="Z167" s="87">
        <f>Graphs!EG52</f>
        <v>0</v>
      </c>
    </row>
    <row r="168" spans="1:26">
      <c r="A168" s="87" t="str">
        <f>Graphs!DD53</f>
        <v>Unidentified air leak</v>
      </c>
      <c r="B168" s="87">
        <f>Graphs!DI53</f>
        <v>0</v>
      </c>
      <c r="C168" s="87">
        <f>Graphs!DJ53</f>
        <v>0</v>
      </c>
      <c r="D168" s="87">
        <f>Graphs!DK53</f>
        <v>0</v>
      </c>
      <c r="E168" s="87">
        <f>Graphs!DL53</f>
        <v>0</v>
      </c>
      <c r="F168" s="87">
        <f>Graphs!DM53</f>
        <v>0</v>
      </c>
      <c r="G168" s="87">
        <f>Graphs!DN53</f>
        <v>0</v>
      </c>
      <c r="H168" s="87">
        <f>Graphs!DO53</f>
        <v>0</v>
      </c>
      <c r="I168" s="87">
        <f>Graphs!DP53</f>
        <v>0</v>
      </c>
      <c r="J168" s="87">
        <f>Graphs!DQ53</f>
        <v>0</v>
      </c>
      <c r="K168" s="87">
        <f>Graphs!DR53</f>
        <v>0</v>
      </c>
      <c r="L168" s="87">
        <f>Graphs!DS53</f>
        <v>0</v>
      </c>
      <c r="M168" s="87">
        <f>Graphs!DT53</f>
        <v>0</v>
      </c>
      <c r="N168" s="87">
        <f>Graphs!DU53</f>
        <v>0</v>
      </c>
      <c r="O168" s="87">
        <f>Graphs!DV53</f>
        <v>0</v>
      </c>
      <c r="P168" s="87">
        <f>Graphs!DW53</f>
        <v>0</v>
      </c>
      <c r="Q168" s="87">
        <f>Graphs!DX53</f>
        <v>0</v>
      </c>
      <c r="R168" s="87">
        <f>Graphs!DY53</f>
        <v>0</v>
      </c>
      <c r="S168" s="87">
        <f>Graphs!DZ53</f>
        <v>0</v>
      </c>
      <c r="T168" s="87">
        <f>Graphs!EA53</f>
        <v>0</v>
      </c>
      <c r="U168" s="87">
        <f>Graphs!EB53</f>
        <v>0</v>
      </c>
      <c r="V168" s="87">
        <f>Graphs!EC53</f>
        <v>0</v>
      </c>
      <c r="W168" s="87">
        <f>Graphs!ED53</f>
        <v>0</v>
      </c>
      <c r="X168" s="87">
        <f>Graphs!EE53</f>
        <v>0</v>
      </c>
      <c r="Y168" s="87">
        <f>Graphs!EF53</f>
        <v>0</v>
      </c>
      <c r="Z168" s="87">
        <f>Graphs!EG53</f>
        <v>0</v>
      </c>
    </row>
    <row r="169" spans="1:26">
      <c r="A169" s="87" t="str">
        <f>Graphs!DD54</f>
        <v>Freedom</v>
      </c>
      <c r="B169" s="87">
        <f>Graphs!DI54</f>
        <v>0</v>
      </c>
      <c r="C169" s="87">
        <f>Graphs!DJ54</f>
        <v>0</v>
      </c>
      <c r="D169" s="87">
        <f>Graphs!DK54</f>
        <v>0</v>
      </c>
      <c r="E169" s="87">
        <f>Graphs!DL54</f>
        <v>0</v>
      </c>
      <c r="F169" s="87">
        <f>Graphs!DM54</f>
        <v>0</v>
      </c>
      <c r="G169" s="87">
        <f>Graphs!DN54</f>
        <v>0</v>
      </c>
      <c r="H169" s="87">
        <f>Graphs!DO54</f>
        <v>0</v>
      </c>
      <c r="I169" s="87">
        <f>Graphs!DP54</f>
        <v>0</v>
      </c>
      <c r="J169" s="87">
        <f>Graphs!DQ54</f>
        <v>0</v>
      </c>
      <c r="K169" s="87">
        <f>Graphs!DR54</f>
        <v>0</v>
      </c>
      <c r="L169" s="87">
        <f>Graphs!DS54</f>
        <v>0</v>
      </c>
      <c r="M169" s="87">
        <f>Graphs!DT54</f>
        <v>0</v>
      </c>
      <c r="N169" s="87">
        <f>Graphs!DU54</f>
        <v>0</v>
      </c>
      <c r="O169" s="87">
        <f>Graphs!DV54</f>
        <v>0</v>
      </c>
      <c r="P169" s="87">
        <f>Graphs!DW54</f>
        <v>0</v>
      </c>
      <c r="Q169" s="87">
        <f>Graphs!DX54</f>
        <v>0</v>
      </c>
      <c r="R169" s="87">
        <f>Graphs!DY54</f>
        <v>0</v>
      </c>
      <c r="S169" s="87">
        <f>Graphs!DZ54</f>
        <v>0</v>
      </c>
      <c r="T169" s="87">
        <f>Graphs!EA54</f>
        <v>0</v>
      </c>
      <c r="U169" s="87">
        <f>Graphs!EB54</f>
        <v>0</v>
      </c>
      <c r="V169" s="87">
        <f>Graphs!EC54</f>
        <v>0</v>
      </c>
      <c r="W169" s="87">
        <f>Graphs!ED54</f>
        <v>0</v>
      </c>
      <c r="X169" s="87">
        <f>Graphs!EE54</f>
        <v>0</v>
      </c>
      <c r="Y169" s="87">
        <f>Graphs!EF54</f>
        <v>0</v>
      </c>
      <c r="Z169" s="87">
        <f>Graphs!EG54</f>
        <v>0</v>
      </c>
    </row>
    <row r="170" spans="1:26">
      <c r="A170" s="87" t="str">
        <f>Graphs!DD55</f>
        <v>Wrong program</v>
      </c>
      <c r="B170" s="87">
        <f>Graphs!DI55</f>
        <v>0</v>
      </c>
      <c r="C170" s="87">
        <f>Graphs!DJ55</f>
        <v>0</v>
      </c>
      <c r="D170" s="87">
        <f>Graphs!DK55</f>
        <v>0</v>
      </c>
      <c r="E170" s="87">
        <f>Graphs!DL55</f>
        <v>0</v>
      </c>
      <c r="F170" s="87">
        <f>Graphs!DM55</f>
        <v>0</v>
      </c>
      <c r="G170" s="87">
        <f>Graphs!DN55</f>
        <v>0</v>
      </c>
      <c r="H170" s="87">
        <f>Graphs!DO55</f>
        <v>0</v>
      </c>
      <c r="I170" s="87">
        <f>Graphs!DP55</f>
        <v>0</v>
      </c>
      <c r="J170" s="87">
        <f>Graphs!DQ55</f>
        <v>0</v>
      </c>
      <c r="K170" s="87">
        <f>Graphs!DR55</f>
        <v>0</v>
      </c>
      <c r="L170" s="87">
        <f>Graphs!DS55</f>
        <v>0</v>
      </c>
      <c r="M170" s="87">
        <f>Graphs!DT55</f>
        <v>0</v>
      </c>
      <c r="N170" s="87">
        <f>Graphs!DU55</f>
        <v>0</v>
      </c>
      <c r="O170" s="87">
        <f>Graphs!DV55</f>
        <v>0</v>
      </c>
      <c r="P170" s="87">
        <f>Graphs!DW55</f>
        <v>0</v>
      </c>
      <c r="Q170" s="87">
        <f>Graphs!DX55</f>
        <v>0</v>
      </c>
      <c r="R170" s="87">
        <f>Graphs!DY55</f>
        <v>0</v>
      </c>
      <c r="S170" s="87">
        <f>Graphs!DZ55</f>
        <v>0</v>
      </c>
      <c r="T170" s="87">
        <f>Graphs!EA55</f>
        <v>0</v>
      </c>
      <c r="U170" s="87">
        <f>Graphs!EB55</f>
        <v>0</v>
      </c>
      <c r="V170" s="87">
        <f>Graphs!EC55</f>
        <v>0</v>
      </c>
      <c r="W170" s="87">
        <f>Graphs!ED55</f>
        <v>0</v>
      </c>
      <c r="X170" s="87">
        <f>Graphs!EE55</f>
        <v>0</v>
      </c>
      <c r="Y170" s="87">
        <f>Graphs!EF55</f>
        <v>0</v>
      </c>
      <c r="Z170" s="87">
        <f>Graphs!EG55</f>
        <v>0</v>
      </c>
    </row>
    <row r="171" spans="1:26">
      <c r="A171" s="87" t="str">
        <f>Graphs!DD56</f>
        <v>Enclosure Seal</v>
      </c>
      <c r="B171" s="87">
        <f>Graphs!DI56</f>
        <v>0</v>
      </c>
      <c r="C171" s="87">
        <f>Graphs!DJ56</f>
        <v>0</v>
      </c>
      <c r="D171" s="87">
        <f>Graphs!DK56</f>
        <v>0</v>
      </c>
      <c r="E171" s="87">
        <f>Graphs!DL56</f>
        <v>0</v>
      </c>
      <c r="F171" s="87">
        <f>Graphs!DM56</f>
        <v>0</v>
      </c>
      <c r="G171" s="87">
        <f>Graphs!DN56</f>
        <v>0</v>
      </c>
      <c r="H171" s="87">
        <f>Graphs!DO56</f>
        <v>0</v>
      </c>
      <c r="I171" s="87">
        <f>Graphs!DP56</f>
        <v>0</v>
      </c>
      <c r="J171" s="87">
        <f>Graphs!DQ56</f>
        <v>0</v>
      </c>
      <c r="K171" s="87">
        <f>Graphs!DR56</f>
        <v>0</v>
      </c>
      <c r="L171" s="87">
        <f>Graphs!DS56</f>
        <v>0</v>
      </c>
      <c r="M171" s="87">
        <f>Graphs!DT56</f>
        <v>0</v>
      </c>
      <c r="N171" s="87">
        <f>Graphs!DU56</f>
        <v>0</v>
      </c>
      <c r="O171" s="87">
        <f>Graphs!DV56</f>
        <v>0</v>
      </c>
      <c r="P171" s="87">
        <f>Graphs!DW56</f>
        <v>0</v>
      </c>
      <c r="Q171" s="87">
        <f>Graphs!DX56</f>
        <v>0</v>
      </c>
      <c r="R171" s="87">
        <f>Graphs!DY56</f>
        <v>0</v>
      </c>
      <c r="S171" s="87">
        <f>Graphs!DZ56</f>
        <v>0</v>
      </c>
      <c r="T171" s="87">
        <f>Graphs!EA56</f>
        <v>0</v>
      </c>
      <c r="U171" s="87">
        <f>Graphs!EB56</f>
        <v>0</v>
      </c>
      <c r="V171" s="87">
        <f>Graphs!EC56</f>
        <v>0</v>
      </c>
      <c r="W171" s="87">
        <f>Graphs!ED56</f>
        <v>0</v>
      </c>
      <c r="X171" s="87">
        <f>Graphs!EE56</f>
        <v>0</v>
      </c>
      <c r="Y171" s="87">
        <f>Graphs!EF56</f>
        <v>0</v>
      </c>
      <c r="Z171" s="87">
        <f>Graphs!EG56</f>
        <v>0</v>
      </c>
    </row>
    <row r="172" spans="1:26">
      <c r="A172" s="87" t="str">
        <f>Graphs!DD57</f>
        <v>Defrost Sync</v>
      </c>
      <c r="B172" s="87">
        <f>Graphs!DI57</f>
        <v>0</v>
      </c>
      <c r="C172" s="87">
        <f>Graphs!DJ57</f>
        <v>0</v>
      </c>
      <c r="D172" s="87">
        <f>Graphs!DK57</f>
        <v>0</v>
      </c>
      <c r="E172" s="87">
        <f>Graphs!DL57</f>
        <v>0</v>
      </c>
      <c r="F172" s="87">
        <f>Graphs!DM57</f>
        <v>0</v>
      </c>
      <c r="G172" s="87">
        <f>Graphs!DN57</f>
        <v>0</v>
      </c>
      <c r="H172" s="87">
        <f>Graphs!DO57</f>
        <v>0</v>
      </c>
      <c r="I172" s="87">
        <f>Graphs!DP57</f>
        <v>0</v>
      </c>
      <c r="J172" s="87">
        <f>Graphs!DQ57</f>
        <v>0</v>
      </c>
      <c r="K172" s="87">
        <f>Graphs!DR57</f>
        <v>0</v>
      </c>
      <c r="L172" s="87">
        <f>Graphs!DS57</f>
        <v>0</v>
      </c>
      <c r="M172" s="87">
        <f>Graphs!DT57</f>
        <v>0</v>
      </c>
      <c r="N172" s="87">
        <f>Graphs!DU57</f>
        <v>0</v>
      </c>
      <c r="O172" s="87">
        <f>Graphs!DV57</f>
        <v>0</v>
      </c>
      <c r="P172" s="87">
        <f>Graphs!DW57</f>
        <v>0</v>
      </c>
      <c r="Q172" s="87">
        <f>Graphs!DX57</f>
        <v>0</v>
      </c>
      <c r="R172" s="87">
        <f>Graphs!DY57</f>
        <v>0</v>
      </c>
      <c r="S172" s="87">
        <f>Graphs!DZ57</f>
        <v>0</v>
      </c>
      <c r="T172" s="87">
        <f>Graphs!EA57</f>
        <v>0</v>
      </c>
      <c r="U172" s="87">
        <f>Graphs!EB57</f>
        <v>0</v>
      </c>
      <c r="V172" s="87">
        <f>Graphs!EC57</f>
        <v>0</v>
      </c>
      <c r="W172" s="87">
        <f>Graphs!ED57</f>
        <v>0</v>
      </c>
      <c r="X172" s="87">
        <f>Graphs!EE57</f>
        <v>0</v>
      </c>
      <c r="Y172" s="87">
        <f>Graphs!EF57</f>
        <v>0</v>
      </c>
      <c r="Z172" s="87">
        <f>Graphs!EG57</f>
        <v>0</v>
      </c>
    </row>
    <row r="173" spans="1:26">
      <c r="A173" s="87" t="str">
        <f>Graphs!DD58</f>
        <v>Case End Seal</v>
      </c>
      <c r="B173" s="87">
        <f>Graphs!DI58</f>
        <v>0</v>
      </c>
      <c r="C173" s="87">
        <f>Graphs!DJ58</f>
        <v>0</v>
      </c>
      <c r="D173" s="87">
        <f>Graphs!DK58</f>
        <v>0</v>
      </c>
      <c r="E173" s="87">
        <f>Graphs!DL58</f>
        <v>0</v>
      </c>
      <c r="F173" s="87">
        <f>Graphs!DM58</f>
        <v>0</v>
      </c>
      <c r="G173" s="87">
        <f>Graphs!DN58</f>
        <v>0</v>
      </c>
      <c r="H173" s="87">
        <f>Graphs!DO58</f>
        <v>0</v>
      </c>
      <c r="I173" s="87">
        <f>Graphs!DP58</f>
        <v>0</v>
      </c>
      <c r="J173" s="87">
        <f>Graphs!DQ58</f>
        <v>0</v>
      </c>
      <c r="K173" s="87">
        <f>Graphs!DR58</f>
        <v>0</v>
      </c>
      <c r="L173" s="87">
        <f>Graphs!DS58</f>
        <v>0</v>
      </c>
      <c r="M173" s="87">
        <f>Graphs!DT58</f>
        <v>0</v>
      </c>
      <c r="N173" s="87">
        <f>Graphs!DU58</f>
        <v>0</v>
      </c>
      <c r="O173" s="87">
        <f>Graphs!DV58</f>
        <v>0</v>
      </c>
      <c r="P173" s="87">
        <f>Graphs!DW58</f>
        <v>0</v>
      </c>
      <c r="Q173" s="87">
        <f>Graphs!DX58</f>
        <v>0</v>
      </c>
      <c r="R173" s="87">
        <f>Graphs!DY58</f>
        <v>0</v>
      </c>
      <c r="S173" s="87">
        <f>Graphs!DZ58</f>
        <v>0</v>
      </c>
      <c r="T173" s="87">
        <f>Graphs!EA58</f>
        <v>0</v>
      </c>
      <c r="U173" s="87">
        <f>Graphs!EB58</f>
        <v>0</v>
      </c>
      <c r="V173" s="87">
        <f>Graphs!EC58</f>
        <v>0</v>
      </c>
      <c r="W173" s="87">
        <f>Graphs!ED58</f>
        <v>0</v>
      </c>
      <c r="X173" s="87">
        <f>Graphs!EE58</f>
        <v>0</v>
      </c>
      <c r="Y173" s="87">
        <f>Graphs!EF58</f>
        <v>0</v>
      </c>
      <c r="Z173" s="87">
        <f>Graphs!EG58</f>
        <v>0</v>
      </c>
    </row>
    <row r="174" spans="1:26">
      <c r="A174" s="87" t="str">
        <f>Graphs!DD59</f>
        <v>Return Air blocked</v>
      </c>
      <c r="B174" s="87">
        <f>Graphs!DI59</f>
        <v>0</v>
      </c>
      <c r="C174" s="87">
        <f>Graphs!DJ59</f>
        <v>0</v>
      </c>
      <c r="D174" s="87">
        <f>Graphs!DK59</f>
        <v>0</v>
      </c>
      <c r="E174" s="87">
        <f>Graphs!DL59</f>
        <v>0</v>
      </c>
      <c r="F174" s="87">
        <f>Graphs!DM59</f>
        <v>0</v>
      </c>
      <c r="G174" s="87">
        <f>Graphs!DN59</f>
        <v>0</v>
      </c>
      <c r="H174" s="87">
        <f>Graphs!DO59</f>
        <v>0</v>
      </c>
      <c r="I174" s="87">
        <f>Graphs!DP59</f>
        <v>0</v>
      </c>
      <c r="J174" s="87">
        <f>Graphs!DQ59</f>
        <v>0</v>
      </c>
      <c r="K174" s="87">
        <f>Graphs!DR59</f>
        <v>0</v>
      </c>
      <c r="L174" s="87">
        <f>Graphs!DS59</f>
        <v>0</v>
      </c>
      <c r="M174" s="87">
        <f>Graphs!DT59</f>
        <v>0</v>
      </c>
      <c r="N174" s="87">
        <f>Graphs!DU59</f>
        <v>0</v>
      </c>
      <c r="O174" s="87">
        <f>Graphs!DV59</f>
        <v>0</v>
      </c>
      <c r="P174" s="87">
        <f>Graphs!DW59</f>
        <v>0</v>
      </c>
      <c r="Q174" s="87">
        <f>Graphs!DX59</f>
        <v>0</v>
      </c>
      <c r="R174" s="87">
        <f>Graphs!DY59</f>
        <v>0</v>
      </c>
      <c r="S174" s="87">
        <f>Graphs!DZ59</f>
        <v>0</v>
      </c>
      <c r="T174" s="87">
        <f>Graphs!EA59</f>
        <v>0</v>
      </c>
      <c r="U174" s="87">
        <f>Graphs!EB59</f>
        <v>0</v>
      </c>
      <c r="V174" s="87">
        <f>Graphs!EC59</f>
        <v>0</v>
      </c>
      <c r="W174" s="87">
        <f>Graphs!ED59</f>
        <v>0</v>
      </c>
      <c r="X174" s="87">
        <f>Graphs!EE59</f>
        <v>0</v>
      </c>
      <c r="Y174" s="87">
        <f>Graphs!EF59</f>
        <v>0</v>
      </c>
      <c r="Z174" s="87">
        <f>Graphs!EG59</f>
        <v>0</v>
      </c>
    </row>
    <row r="175" spans="1:26">
      <c r="A175" s="87" t="str">
        <f>Graphs!DD60</f>
        <v>Heavy case load</v>
      </c>
      <c r="B175" s="87">
        <f>Graphs!DI60</f>
        <v>0</v>
      </c>
      <c r="C175" s="87">
        <f>Graphs!DJ60</f>
        <v>0</v>
      </c>
      <c r="D175" s="87">
        <f>Graphs!DK60</f>
        <v>0</v>
      </c>
      <c r="E175" s="87">
        <f>Graphs!DL60</f>
        <v>0</v>
      </c>
      <c r="F175" s="87">
        <f>Graphs!DM60</f>
        <v>0</v>
      </c>
      <c r="G175" s="87">
        <f>Graphs!DN60</f>
        <v>0</v>
      </c>
      <c r="H175" s="87">
        <f>Graphs!DO60</f>
        <v>0</v>
      </c>
      <c r="I175" s="87">
        <f>Graphs!DP60</f>
        <v>0</v>
      </c>
      <c r="J175" s="87">
        <f>Graphs!DQ60</f>
        <v>0</v>
      </c>
      <c r="K175" s="87">
        <f>Graphs!DR60</f>
        <v>0</v>
      </c>
      <c r="L175" s="87">
        <f>Graphs!DS60</f>
        <v>0</v>
      </c>
      <c r="M175" s="87">
        <f>Graphs!DT60</f>
        <v>0</v>
      </c>
      <c r="N175" s="87">
        <f>Graphs!DU60</f>
        <v>0</v>
      </c>
      <c r="O175" s="87">
        <f>Graphs!DV60</f>
        <v>0</v>
      </c>
      <c r="P175" s="87">
        <f>Graphs!DW60</f>
        <v>0</v>
      </c>
      <c r="Q175" s="87">
        <f>Graphs!DX60</f>
        <v>0</v>
      </c>
      <c r="R175" s="87">
        <f>Graphs!DY60</f>
        <v>0</v>
      </c>
      <c r="S175" s="87">
        <f>Graphs!DZ60</f>
        <v>0</v>
      </c>
      <c r="T175" s="87">
        <f>Graphs!EA60</f>
        <v>0</v>
      </c>
      <c r="U175" s="87">
        <f>Graphs!EB60</f>
        <v>0</v>
      </c>
      <c r="V175" s="87">
        <f>Graphs!EC60</f>
        <v>0</v>
      </c>
      <c r="W175" s="87">
        <f>Graphs!ED60</f>
        <v>0</v>
      </c>
      <c r="X175" s="87">
        <f>Graphs!EE60</f>
        <v>0</v>
      </c>
      <c r="Y175" s="87">
        <f>Graphs!EF60</f>
        <v>0</v>
      </c>
      <c r="Z175" s="87">
        <f>Graphs!EG60</f>
        <v>0</v>
      </c>
    </row>
    <row r="176" spans="1:26">
      <c r="A176" s="87" t="str">
        <f>Graphs!DD61</f>
        <v>Program change - Hussmann</v>
      </c>
      <c r="B176" s="87">
        <f>Graphs!DI61</f>
        <v>0</v>
      </c>
      <c r="C176" s="87">
        <f>Graphs!DJ61</f>
        <v>0</v>
      </c>
      <c r="D176" s="87">
        <f>Graphs!DK61</f>
        <v>0</v>
      </c>
      <c r="E176" s="87">
        <f>Graphs!DL61</f>
        <v>0</v>
      </c>
      <c r="F176" s="87">
        <f>Graphs!DM61</f>
        <v>0</v>
      </c>
      <c r="G176" s="87">
        <f>Graphs!DN61</f>
        <v>0</v>
      </c>
      <c r="H176" s="87">
        <f>Graphs!DO61</f>
        <v>0</v>
      </c>
      <c r="I176" s="87">
        <f>Graphs!DP61</f>
        <v>0</v>
      </c>
      <c r="J176" s="87">
        <f>Graphs!DQ61</f>
        <v>0</v>
      </c>
      <c r="K176" s="87">
        <f>Graphs!DR61</f>
        <v>0</v>
      </c>
      <c r="L176" s="87">
        <f>Graphs!DS61</f>
        <v>0</v>
      </c>
      <c r="M176" s="87">
        <f>Graphs!DT61</f>
        <v>0</v>
      </c>
      <c r="N176" s="87">
        <f>Graphs!DU61</f>
        <v>0</v>
      </c>
      <c r="O176" s="87">
        <f>Graphs!DV61</f>
        <v>0</v>
      </c>
      <c r="P176" s="87">
        <f>Graphs!DW61</f>
        <v>0</v>
      </c>
      <c r="Q176" s="87">
        <f>Graphs!DX61</f>
        <v>0</v>
      </c>
      <c r="R176" s="87">
        <f>Graphs!DY61</f>
        <v>0</v>
      </c>
      <c r="S176" s="87">
        <f>Graphs!DZ61</f>
        <v>0</v>
      </c>
      <c r="T176" s="87">
        <f>Graphs!EA61</f>
        <v>0</v>
      </c>
      <c r="U176" s="87">
        <f>Graphs!EB61</f>
        <v>0</v>
      </c>
      <c r="V176" s="87">
        <f>Graphs!EC61</f>
        <v>0</v>
      </c>
      <c r="W176" s="87">
        <f>Graphs!ED61</f>
        <v>0</v>
      </c>
      <c r="X176" s="87">
        <f>Graphs!EE61</f>
        <v>0</v>
      </c>
      <c r="Y176" s="87">
        <f>Graphs!EF61</f>
        <v>0</v>
      </c>
      <c r="Z176" s="87">
        <f>Graphs!EG61</f>
        <v>0</v>
      </c>
    </row>
    <row r="177" spans="1:26">
      <c r="A177" s="87" t="str">
        <f>Graphs!DD62</f>
        <v>Value</v>
      </c>
      <c r="B177" s="87">
        <f>Graphs!DI62</f>
        <v>0</v>
      </c>
      <c r="C177" s="87">
        <f>Graphs!DJ62</f>
        <v>0</v>
      </c>
      <c r="D177" s="87">
        <f>Graphs!DK62</f>
        <v>0</v>
      </c>
      <c r="E177" s="87">
        <f>Graphs!DL62</f>
        <v>0</v>
      </c>
      <c r="F177" s="87">
        <f>Graphs!DM62</f>
        <v>0</v>
      </c>
      <c r="G177" s="87">
        <f>Graphs!DN62</f>
        <v>0</v>
      </c>
      <c r="H177" s="87">
        <f>Graphs!DO62</f>
        <v>0</v>
      </c>
      <c r="I177" s="87">
        <f>Graphs!DP62</f>
        <v>0</v>
      </c>
      <c r="J177" s="87">
        <f>Graphs!DQ62</f>
        <v>0</v>
      </c>
      <c r="K177" s="87">
        <f>Graphs!DR62</f>
        <v>0</v>
      </c>
      <c r="L177" s="87">
        <f>Graphs!DS62</f>
        <v>0</v>
      </c>
      <c r="M177" s="87">
        <f>Graphs!DT62</f>
        <v>0</v>
      </c>
      <c r="N177" s="87">
        <f>Graphs!DU62</f>
        <v>0</v>
      </c>
      <c r="O177" s="87">
        <f>Graphs!DV62</f>
        <v>0</v>
      </c>
      <c r="P177" s="87">
        <f>Graphs!DW62</f>
        <v>0</v>
      </c>
      <c r="Q177" s="87">
        <f>Graphs!DX62</f>
        <v>0</v>
      </c>
      <c r="R177" s="87">
        <f>Graphs!DY62</f>
        <v>0</v>
      </c>
      <c r="S177" s="87">
        <f>Graphs!DZ62</f>
        <v>0</v>
      </c>
      <c r="T177" s="87">
        <f>Graphs!EA62</f>
        <v>0</v>
      </c>
      <c r="U177" s="87">
        <f>Graphs!EB62</f>
        <v>0</v>
      </c>
      <c r="V177" s="87">
        <f>Graphs!EC62</f>
        <v>0</v>
      </c>
      <c r="W177" s="87">
        <f>Graphs!ED62</f>
        <v>0</v>
      </c>
      <c r="X177" s="87">
        <f>Graphs!EE62</f>
        <v>0</v>
      </c>
      <c r="Y177" s="87">
        <f>Graphs!EF62</f>
        <v>0</v>
      </c>
      <c r="Z177" s="87">
        <f>Graphs!EG62</f>
        <v>0</v>
      </c>
    </row>
    <row r="178" spans="1:26">
      <c r="A178" s="87">
        <f>Graphs!DD63</f>
        <v>240</v>
      </c>
      <c r="B178" s="87">
        <f>Graphs!DI63</f>
        <v>0</v>
      </c>
      <c r="C178" s="87">
        <f>Graphs!DJ63</f>
        <v>0</v>
      </c>
      <c r="D178" s="87">
        <f>Graphs!DK63</f>
        <v>0</v>
      </c>
      <c r="E178" s="87">
        <f>Graphs!DL63</f>
        <v>0</v>
      </c>
      <c r="F178" s="87">
        <f>Graphs!DM63</f>
        <v>0</v>
      </c>
      <c r="G178" s="87">
        <f>Graphs!DN63</f>
        <v>0</v>
      </c>
      <c r="H178" s="87">
        <f>Graphs!DO63</f>
        <v>0</v>
      </c>
      <c r="I178" s="87">
        <f>Graphs!DP63</f>
        <v>0</v>
      </c>
      <c r="J178" s="87">
        <f>Graphs!DQ63</f>
        <v>0</v>
      </c>
      <c r="K178" s="87">
        <f>Graphs!DR63</f>
        <v>0</v>
      </c>
      <c r="L178" s="87">
        <f>Graphs!DS63</f>
        <v>0</v>
      </c>
      <c r="M178" s="87">
        <f>Graphs!DT63</f>
        <v>0</v>
      </c>
      <c r="N178" s="87">
        <f>Graphs!DU63</f>
        <v>0</v>
      </c>
      <c r="O178" s="87">
        <f>Graphs!DV63</f>
        <v>0</v>
      </c>
      <c r="P178" s="87">
        <f>Graphs!DW63</f>
        <v>0</v>
      </c>
      <c r="Q178" s="87">
        <f>Graphs!DX63</f>
        <v>0</v>
      </c>
      <c r="R178" s="87">
        <f>Graphs!DY63</f>
        <v>0</v>
      </c>
      <c r="S178" s="87">
        <f>Graphs!DZ63</f>
        <v>0</v>
      </c>
      <c r="T178" s="87">
        <f>Graphs!EA63</f>
        <v>0</v>
      </c>
      <c r="U178" s="87">
        <f>Graphs!EB63</f>
        <v>0</v>
      </c>
      <c r="V178" s="87">
        <f>Graphs!EC63</f>
        <v>0</v>
      </c>
      <c r="W178" s="87">
        <f>Graphs!ED63</f>
        <v>0</v>
      </c>
      <c r="X178" s="87">
        <f>Graphs!EE63</f>
        <v>0</v>
      </c>
      <c r="Y178" s="87">
        <f>Graphs!EF63</f>
        <v>0</v>
      </c>
      <c r="Z178" s="87">
        <f>Graphs!EG63</f>
        <v>0</v>
      </c>
    </row>
    <row r="179" spans="1:26">
      <c r="A179" s="87">
        <f>Graphs!DD64</f>
        <v>400</v>
      </c>
      <c r="B179" s="87">
        <f>Graphs!DI64</f>
        <v>0</v>
      </c>
      <c r="C179" s="87">
        <f>Graphs!DJ64</f>
        <v>0</v>
      </c>
      <c r="D179" s="87">
        <f>Graphs!DK64</f>
        <v>0</v>
      </c>
      <c r="E179" s="87">
        <f>Graphs!DL64</f>
        <v>0</v>
      </c>
      <c r="F179" s="87">
        <f>Graphs!DM64</f>
        <v>0</v>
      </c>
      <c r="G179" s="87">
        <f>Graphs!DN64</f>
        <v>0</v>
      </c>
      <c r="H179" s="87">
        <f>Graphs!DO64</f>
        <v>0</v>
      </c>
      <c r="I179" s="87">
        <f>Graphs!DP64</f>
        <v>0</v>
      </c>
      <c r="J179" s="87">
        <f>Graphs!DQ64</f>
        <v>0</v>
      </c>
      <c r="K179" s="87">
        <f>Graphs!DR64</f>
        <v>0</v>
      </c>
      <c r="L179" s="87">
        <f>Graphs!DS64</f>
        <v>0</v>
      </c>
      <c r="M179" s="87">
        <f>Graphs!DT64</f>
        <v>0</v>
      </c>
      <c r="N179" s="87">
        <f>Graphs!DU64</f>
        <v>0</v>
      </c>
      <c r="O179" s="87">
        <f>Graphs!DV64</f>
        <v>0</v>
      </c>
      <c r="P179" s="87">
        <f>Graphs!DW64</f>
        <v>0</v>
      </c>
      <c r="Q179" s="87">
        <f>Graphs!DX64</f>
        <v>0</v>
      </c>
      <c r="R179" s="87">
        <f>Graphs!DY64</f>
        <v>0</v>
      </c>
      <c r="S179" s="87">
        <f>Graphs!DZ64</f>
        <v>0</v>
      </c>
      <c r="T179" s="87">
        <f>Graphs!EA64</f>
        <v>0</v>
      </c>
      <c r="U179" s="87">
        <f>Graphs!EB64</f>
        <v>0</v>
      </c>
      <c r="V179" s="87">
        <f>Graphs!EC64</f>
        <v>0</v>
      </c>
      <c r="W179" s="87">
        <f>Graphs!ED64</f>
        <v>0</v>
      </c>
      <c r="X179" s="87">
        <f>Graphs!EE64</f>
        <v>0</v>
      </c>
      <c r="Y179" s="87">
        <f>Graphs!EF64</f>
        <v>0</v>
      </c>
      <c r="Z179" s="87">
        <f>Graphs!EG64</f>
        <v>0</v>
      </c>
    </row>
    <row r="180" spans="1:26">
      <c r="A180" s="87">
        <f>Graphs!DD65</f>
        <v>80</v>
      </c>
      <c r="B180" s="87">
        <f>Graphs!DI65</f>
        <v>0</v>
      </c>
      <c r="C180" s="87">
        <f>Graphs!DJ65</f>
        <v>0</v>
      </c>
      <c r="D180" s="87">
        <f>Graphs!DK65</f>
        <v>0</v>
      </c>
      <c r="E180" s="87">
        <f>Graphs!DL65</f>
        <v>0</v>
      </c>
      <c r="F180" s="87">
        <f>Graphs!DM65</f>
        <v>0</v>
      </c>
      <c r="G180" s="87">
        <f>Graphs!DN65</f>
        <v>0</v>
      </c>
      <c r="H180" s="87">
        <f>Graphs!DO65</f>
        <v>0</v>
      </c>
      <c r="I180" s="87">
        <f>Graphs!DP65</f>
        <v>0</v>
      </c>
      <c r="J180" s="87">
        <f>Graphs!DQ65</f>
        <v>0</v>
      </c>
      <c r="K180" s="87">
        <f>Graphs!DR65</f>
        <v>0</v>
      </c>
      <c r="L180" s="87">
        <f>Graphs!DS65</f>
        <v>0</v>
      </c>
      <c r="M180" s="87">
        <f>Graphs!DT65</f>
        <v>0</v>
      </c>
      <c r="N180" s="87">
        <f>Graphs!DU65</f>
        <v>0</v>
      </c>
      <c r="O180" s="87">
        <f>Graphs!DV65</f>
        <v>0</v>
      </c>
      <c r="P180" s="87">
        <f>Graphs!DW65</f>
        <v>0</v>
      </c>
      <c r="Q180" s="87">
        <f>Graphs!DX65</f>
        <v>0</v>
      </c>
      <c r="R180" s="87">
        <f>Graphs!DY65</f>
        <v>0</v>
      </c>
      <c r="S180" s="87">
        <f>Graphs!DZ65</f>
        <v>0</v>
      </c>
      <c r="T180" s="87">
        <f>Graphs!EA65</f>
        <v>0</v>
      </c>
      <c r="U180" s="87">
        <f>Graphs!EB65</f>
        <v>0</v>
      </c>
      <c r="V180" s="87">
        <f>Graphs!EC65</f>
        <v>0</v>
      </c>
      <c r="W180" s="87">
        <f>Graphs!ED65</f>
        <v>0</v>
      </c>
      <c r="X180" s="87">
        <f>Graphs!EE65</f>
        <v>0</v>
      </c>
      <c r="Y180" s="87">
        <f>Graphs!EF65</f>
        <v>0</v>
      </c>
      <c r="Z180" s="87">
        <f>Graphs!EG65</f>
        <v>0</v>
      </c>
    </row>
    <row r="184" spans="1:26">
      <c r="A184" s="126" t="s">
        <v>1578</v>
      </c>
      <c r="B184" s="126"/>
      <c r="C184" s="126"/>
      <c r="D184" s="126"/>
      <c r="E184" s="126"/>
      <c r="F184" s="126"/>
    </row>
    <row r="185" spans="1:26">
      <c r="A185" s="125" t="s">
        <v>1579</v>
      </c>
      <c r="B185" s="125"/>
      <c r="C185" s="125"/>
      <c r="D185" s="125"/>
      <c r="E185" s="125"/>
      <c r="F185" s="125"/>
    </row>
    <row r="186" spans="1:26">
      <c r="A186" s="119" t="s">
        <v>1580</v>
      </c>
      <c r="B186" s="119" t="s">
        <v>1581</v>
      </c>
      <c r="C186" s="119" t="s">
        <v>1582</v>
      </c>
      <c r="D186" s="119" t="s">
        <v>1583</v>
      </c>
    </row>
    <row r="187" spans="1:26">
      <c r="A187" s="87" t="str">
        <f>TEXT(Calc_Weekly!A155,"mm/dd")</f>
        <v>03/02</v>
      </c>
      <c r="B187" s="87">
        <f>Graphs!AP1</f>
        <v>6</v>
      </c>
      <c r="C187" s="87" t="str">
        <f>TEXT(Calc_Weekly!A106,"mm/dd")</f>
        <v>03/09</v>
      </c>
      <c r="D187" s="87">
        <f>Graphs!AQ1</f>
        <v>4</v>
      </c>
    </row>
    <row r="188" spans="1:26">
      <c r="A188" s="87" t="str">
        <f>TEXT(Calc_Weekly!A156,"mm/dd")</f>
        <v>03/09</v>
      </c>
      <c r="B188" s="87">
        <f>Graphs!AP2</f>
        <v>7</v>
      </c>
      <c r="C188" s="87" t="str">
        <f>TEXT(Calc_Weekly!A107,"mm/dd")</f>
        <v>03/16</v>
      </c>
      <c r="D188" s="87">
        <f>Graphs!AQ2</f>
        <v>3</v>
      </c>
    </row>
    <row r="189" spans="1:26">
      <c r="A189" s="87" t="str">
        <f>TEXT(Calc_Weekly!A157,"mm/dd")</f>
        <v>03/16</v>
      </c>
      <c r="B189" s="87">
        <f>Graphs!AP3</f>
        <v>24</v>
      </c>
      <c r="C189" s="87" t="str">
        <f>TEXT(Calc_Weekly!A108,"mm/dd")</f>
        <v>03/23</v>
      </c>
      <c r="D189" s="87">
        <f>Graphs!AQ3</f>
        <v>2</v>
      </c>
    </row>
    <row r="190" spans="1:26">
      <c r="A190" s="87" t="str">
        <f>TEXT(Calc_Weekly!A158,"mm/dd")</f>
        <v>03/23</v>
      </c>
      <c r="B190" s="87">
        <f>Graphs!AP4</f>
        <v>16</v>
      </c>
      <c r="C190" s="87" t="str">
        <f>TEXT(Calc_Weekly!A109,"mm/dd")</f>
        <v>03/30</v>
      </c>
      <c r="D190" s="87">
        <f>Graphs!AQ4</f>
        <v>4</v>
      </c>
    </row>
    <row r="191" spans="1:26">
      <c r="A191" s="87" t="str">
        <f>TEXT(Calc_Weekly!A159,"mm/dd")</f>
        <v>03/30</v>
      </c>
      <c r="B191" s="87">
        <f>Graphs!AP5</f>
        <v>4</v>
      </c>
      <c r="C191" s="87" t="str">
        <f>TEXT(Calc_Weekly!A110,"mm/dd")</f>
        <v>04/06</v>
      </c>
      <c r="D191" s="87">
        <f>Graphs!AQ5</f>
        <v>9</v>
      </c>
    </row>
    <row r="192" spans="1:26">
      <c r="A192" s="87" t="str">
        <f>TEXT(Calc_Weekly!A160,"mm/dd")</f>
        <v>04/06</v>
      </c>
      <c r="B192" s="87">
        <f>Graphs!AP6</f>
        <v>15</v>
      </c>
      <c r="C192" s="87" t="str">
        <f>TEXT(Calc_Weekly!A111,"mm/dd")</f>
        <v>04/13</v>
      </c>
      <c r="D192" s="87">
        <f>Graphs!AQ6</f>
        <v>16</v>
      </c>
    </row>
    <row r="193" spans="1:4">
      <c r="A193" s="87" t="str">
        <f>TEXT(Calc_Weekly!A161,"mm/dd")</f>
        <v>04/13</v>
      </c>
      <c r="B193" s="87">
        <f>Graphs!AP7</f>
        <v>17</v>
      </c>
      <c r="C193" s="87" t="str">
        <f>TEXT(Calc_Weekly!A112,"mm/dd")</f>
        <v>04/20</v>
      </c>
      <c r="D193" s="87">
        <f>Graphs!AQ7</f>
        <v>8</v>
      </c>
    </row>
    <row r="194" spans="1:4">
      <c r="A194" s="87" t="str">
        <f>TEXT(Calc_Weekly!A162,"mm/dd")</f>
        <v>04/20</v>
      </c>
      <c r="B194" s="87">
        <f>Graphs!AP8</f>
        <v>6</v>
      </c>
      <c r="C194" s="87" t="str">
        <f>TEXT(Calc_Weekly!A113,"mm/dd")</f>
        <v>04/27</v>
      </c>
      <c r="D194" s="87">
        <f>Graphs!AQ8</f>
        <v>1</v>
      </c>
    </row>
    <row r="195" spans="1:4">
      <c r="A195" s="87" t="str">
        <f>TEXT(Calc_Weekly!A163,"mm/dd")</f>
        <v>04/27</v>
      </c>
      <c r="B195" s="87">
        <f>Graphs!AP9</f>
        <v>7</v>
      </c>
      <c r="C195" s="87" t="str">
        <f>TEXT(Calc_Weekly!A114,"mm/dd")</f>
        <v>05/04</v>
      </c>
      <c r="D195" s="87">
        <f>Graphs!AQ9</f>
        <v>5</v>
      </c>
    </row>
    <row r="196" spans="1:4">
      <c r="A196" s="87" t="str">
        <f>TEXT(Calc_Weekly!A164,"mm/dd")</f>
        <v>05/04</v>
      </c>
      <c r="B196" s="87">
        <f>Graphs!AP10</f>
        <v>8</v>
      </c>
      <c r="C196" s="87" t="str">
        <f>TEXT(Calc_Weekly!A115,"mm/dd")</f>
        <v>05/11</v>
      </c>
      <c r="D196" s="87">
        <f>Graphs!AQ10</f>
        <v>11</v>
      </c>
    </row>
    <row r="197" spans="1:4">
      <c r="A197" s="87" t="str">
        <f>TEXT(Calc_Weekly!A165,"mm/dd")</f>
        <v>05/11</v>
      </c>
      <c r="B197" s="87">
        <f>Graphs!AP11</f>
        <v>2</v>
      </c>
      <c r="C197" s="87" t="str">
        <f>TEXT(Calc_Weekly!A116,"mm/dd")</f>
        <v>05/18</v>
      </c>
      <c r="D197" s="87">
        <f>Graphs!AQ11</f>
        <v>4</v>
      </c>
    </row>
    <row r="198" spans="1:4">
      <c r="A198" s="87" t="str">
        <f>TEXT(Calc_Weekly!A166,"mm/dd")</f>
        <v>05/18</v>
      </c>
      <c r="B198" s="87">
        <f>Graphs!AP12</f>
        <v>5</v>
      </c>
      <c r="C198" s="87" t="str">
        <f>TEXT(Calc_Weekly!A117,"mm/dd")</f>
        <v>05/25</v>
      </c>
      <c r="D198" s="87">
        <f>Graphs!AQ12</f>
        <v>6</v>
      </c>
    </row>
    <row r="199" spans="1:4">
      <c r="A199" s="87" t="str">
        <f>TEXT(Calc_Weekly!A167,"mm/dd")</f>
        <v>05/25</v>
      </c>
      <c r="B199" s="87">
        <f>Graphs!AP13</f>
        <v>4</v>
      </c>
      <c r="C199" s="87" t="str">
        <f>TEXT(Calc_Weekly!A118,"mm/dd")</f>
        <v>06/01</v>
      </c>
      <c r="D199" s="87">
        <f>Graphs!AQ13</f>
        <v>8</v>
      </c>
    </row>
    <row r="200" spans="1:4">
      <c r="A200" s="87" t="str">
        <f>TEXT(Calc_Weekly!A168,"mm/dd")</f>
        <v>06/01</v>
      </c>
      <c r="B200" s="87">
        <f>Graphs!AP14</f>
        <v>2</v>
      </c>
      <c r="C200" s="87" t="str">
        <f>TEXT(Calc_Weekly!A119,"mm/dd")</f>
        <v>06/08</v>
      </c>
      <c r="D200" s="87">
        <f>Graphs!AQ14</f>
        <v>16</v>
      </c>
    </row>
    <row r="201" spans="1:4">
      <c r="A201" s="87" t="str">
        <f>TEXT(Calc_Weekly!A169,"mm/dd")</f>
        <v>06/08</v>
      </c>
      <c r="B201" s="87">
        <f>Graphs!AP15</f>
        <v>2</v>
      </c>
      <c r="C201" s="87" t="str">
        <f>TEXT(Calc_Weekly!A120,"mm/dd")</f>
        <v>06/15</v>
      </c>
      <c r="D201" s="87">
        <f>Graphs!AQ15</f>
        <v>8</v>
      </c>
    </row>
    <row r="202" spans="1:4">
      <c r="A202" s="87" t="str">
        <f>TEXT(Calc_Weekly!A170,"mm/dd")</f>
        <v>06/15</v>
      </c>
      <c r="B202" s="87">
        <f>Graphs!AP16</f>
        <v>8</v>
      </c>
      <c r="C202" s="87" t="str">
        <f>TEXT(Calc_Weekly!A121,"mm/dd")</f>
        <v>06/22</v>
      </c>
      <c r="D202" s="87">
        <f>Graphs!AQ16</f>
        <v>13</v>
      </c>
    </row>
    <row r="203" spans="1:4">
      <c r="A203" s="87" t="str">
        <f>TEXT(Calc_Weekly!A171,"mm/dd")</f>
        <v>06/22</v>
      </c>
      <c r="B203" s="87">
        <f>Graphs!AP17</f>
        <v>4</v>
      </c>
      <c r="C203" s="87" t="str">
        <f>TEXT(Calc_Weekly!A122,"mm/dd")</f>
        <v>06/29</v>
      </c>
      <c r="D203" s="87">
        <f>Graphs!AQ17</f>
        <v>12</v>
      </c>
    </row>
    <row r="204" spans="1:4">
      <c r="A204" s="87" t="str">
        <f>TEXT(Calc_Weekly!A172,"mm/dd")</f>
        <v>06/29</v>
      </c>
      <c r="B204" s="87">
        <f>Graphs!AP18</f>
        <v>4</v>
      </c>
      <c r="C204" s="87" t="str">
        <f>TEXT(Calc_Weekly!A123,"mm/dd")</f>
        <v>07/06</v>
      </c>
      <c r="D204" s="87">
        <f>Graphs!AQ18</f>
        <v>18</v>
      </c>
    </row>
    <row r="205" spans="1:4">
      <c r="A205" s="87" t="str">
        <f>TEXT(Calc_Weekly!A173,"mm/dd")</f>
        <v>07/06</v>
      </c>
      <c r="B205" s="87">
        <f>Graphs!AP19</f>
        <v>5</v>
      </c>
      <c r="C205" s="87" t="str">
        <f>TEXT(Calc_Weekly!A124,"mm/dd")</f>
        <v>07/13</v>
      </c>
      <c r="D205" s="87">
        <f>Graphs!AQ19</f>
        <v>5</v>
      </c>
    </row>
    <row r="206" spans="1:4">
      <c r="A206" s="87" t="str">
        <f>TEXT(Calc_Weekly!A174,"mm/dd")</f>
        <v>07/13</v>
      </c>
      <c r="B206" s="87">
        <f>Graphs!AP20</f>
        <v>0</v>
      </c>
      <c r="C206" s="87" t="str">
        <f>TEXT(Calc_Weekly!A125,"mm/dd")</f>
        <v>07/20</v>
      </c>
      <c r="D206" s="87">
        <f>Graphs!AQ20</f>
        <v>0</v>
      </c>
    </row>
    <row r="210" spans="1:5">
      <c r="A210" s="126" t="s">
        <v>1584</v>
      </c>
      <c r="B210" s="126"/>
      <c r="C210" s="126"/>
      <c r="D210" s="126"/>
      <c r="E210" s="126"/>
    </row>
    <row r="211" spans="1:5">
      <c r="A211" s="125" t="s">
        <v>1585</v>
      </c>
      <c r="B211" s="125"/>
      <c r="C211" s="125"/>
      <c r="D211" s="125"/>
      <c r="E211" s="125"/>
    </row>
    <row r="212" spans="1:5">
      <c r="A212" s="119" t="s">
        <v>1257</v>
      </c>
      <c r="B212" s="119" t="s">
        <v>1277</v>
      </c>
      <c r="C212" s="119" t="s">
        <v>1278</v>
      </c>
      <c r="D212" s="119" t="s">
        <v>1141</v>
      </c>
    </row>
    <row r="213" spans="1:5">
      <c r="A213" s="87" t="str">
        <f>Counts!H4</f>
        <v>Ref. leak/ Low charge</v>
      </c>
      <c r="B213" s="87">
        <f>Counts!I4</f>
        <v>13</v>
      </c>
      <c r="C213" s="87">
        <f ca="1">Counts!J4</f>
        <v>0</v>
      </c>
      <c r="D213" s="87">
        <f>Counts!K4</f>
        <v>2</v>
      </c>
    </row>
    <row r="214" spans="1:5">
      <c r="A214" s="87" t="str">
        <f>Counts!H5</f>
        <v>Doors</v>
      </c>
      <c r="B214" s="87">
        <f>Counts!I5</f>
        <v>41</v>
      </c>
      <c r="C214" s="87">
        <f ca="1">Counts!J5</f>
        <v>14</v>
      </c>
      <c r="D214" s="87">
        <f>Counts!K5</f>
        <v>5</v>
      </c>
    </row>
    <row r="215" spans="1:5">
      <c r="A215" s="87" t="str">
        <f>Counts!H6</f>
        <v>Drain tube blocked</v>
      </c>
      <c r="B215" s="87">
        <f>Counts!I6</f>
        <v>10</v>
      </c>
      <c r="C215" s="87">
        <f ca="1">Counts!J6</f>
        <v>3</v>
      </c>
      <c r="D215" s="87">
        <f>Counts!K6</f>
        <v>0</v>
      </c>
    </row>
    <row r="216" spans="1:5">
      <c r="A216" s="87" t="str">
        <f>Counts!H7</f>
        <v>Wrong / Loose wiring</v>
      </c>
      <c r="B216" s="87">
        <f>Counts!I7</f>
        <v>7</v>
      </c>
      <c r="C216" s="87">
        <f ca="1">Counts!J7</f>
        <v>2</v>
      </c>
      <c r="D216" s="87">
        <f>Counts!K7</f>
        <v>2</v>
      </c>
    </row>
    <row r="217" spans="1:5">
      <c r="A217" s="87" t="str">
        <f>Counts!H8</f>
        <v>Communication problem</v>
      </c>
      <c r="B217" s="87">
        <f>Counts!I8</f>
        <v>9</v>
      </c>
      <c r="C217" s="87">
        <f ca="1">Counts!J8</f>
        <v>0</v>
      </c>
      <c r="D217" s="87">
        <f>Counts!K8</f>
        <v>1</v>
      </c>
    </row>
    <row r="218" spans="1:5">
      <c r="A218" s="87" t="str">
        <f>Counts!H9</f>
        <v>High Store RH</v>
      </c>
      <c r="B218" s="87">
        <f>Counts!I9</f>
        <v>13</v>
      </c>
      <c r="C218" s="87">
        <f ca="1">Counts!J9</f>
        <v>5</v>
      </c>
      <c r="D218" s="87">
        <f>Counts!K9</f>
        <v>4</v>
      </c>
    </row>
    <row r="219" spans="1:5">
      <c r="A219" s="87" t="str">
        <f>Counts!H10</f>
        <v>Enclosure Seal</v>
      </c>
      <c r="B219" s="87">
        <f>Counts!I10</f>
        <v>3</v>
      </c>
      <c r="C219" s="87">
        <f ca="1">Counts!J10</f>
        <v>0</v>
      </c>
      <c r="D219" s="87">
        <f>Counts!K10</f>
        <v>0</v>
      </c>
    </row>
    <row r="220" spans="1:5">
      <c r="A220" s="87" t="str">
        <f>Counts!H11</f>
        <v>Component Failure</v>
      </c>
      <c r="B220" s="87">
        <f>Counts!I11</f>
        <v>6</v>
      </c>
      <c r="C220" s="87">
        <f ca="1">Counts!J11</f>
        <v>0</v>
      </c>
      <c r="D220" s="87">
        <f>Counts!K11</f>
        <v>0</v>
      </c>
    </row>
    <row r="221" spans="1:5">
      <c r="A221" s="87" t="str">
        <f>Counts!H12</f>
        <v>Defrost Sync</v>
      </c>
      <c r="B221" s="87">
        <f>Counts!I12</f>
        <v>4</v>
      </c>
      <c r="C221" s="87">
        <f ca="1">Counts!J12</f>
        <v>0</v>
      </c>
      <c r="D221" s="87">
        <f>Counts!K12</f>
        <v>0</v>
      </c>
    </row>
    <row r="222" spans="1:5">
      <c r="A222" s="87" t="str">
        <f>Counts!H13</f>
        <v>False Alarm</v>
      </c>
      <c r="B222" s="87">
        <f>Counts!I13</f>
        <v>15</v>
      </c>
      <c r="C222" s="87">
        <f ca="1">Counts!J13</f>
        <v>4</v>
      </c>
      <c r="D222" s="87">
        <f>Counts!K13</f>
        <v>5</v>
      </c>
    </row>
    <row r="223" spans="1:5">
      <c r="A223" s="87" t="str">
        <f>Counts!H14</f>
        <v>Setpoint change</v>
      </c>
      <c r="B223" s="87">
        <f>Counts!I14</f>
        <v>1</v>
      </c>
      <c r="C223" s="87">
        <f ca="1">Counts!J14</f>
        <v>1</v>
      </c>
      <c r="D223" s="87">
        <f>Counts!K14</f>
        <v>1</v>
      </c>
    </row>
    <row r="224" spans="1:5">
      <c r="A224" s="87" t="str">
        <f>Counts!H15</f>
        <v>Overstocking</v>
      </c>
      <c r="B224" s="87">
        <f>Counts!I15</f>
        <v>4</v>
      </c>
      <c r="C224" s="87">
        <f ca="1">Counts!J15</f>
        <v>2</v>
      </c>
      <c r="D224" s="87">
        <f>Counts!K15</f>
        <v>3</v>
      </c>
    </row>
    <row r="225" spans="1:4">
      <c r="A225" s="87" t="str">
        <f>Counts!H16</f>
        <v>Case End Seal</v>
      </c>
      <c r="B225" s="87">
        <f>Counts!I16</f>
        <v>1</v>
      </c>
      <c r="C225" s="87">
        <f ca="1">Counts!J16</f>
        <v>0</v>
      </c>
      <c r="D225" s="87">
        <f>Counts!K16</f>
        <v>0</v>
      </c>
    </row>
    <row r="226" spans="1:4">
      <c r="A226" s="87" t="str">
        <f>Counts!H17</f>
        <v>Return Air blocked</v>
      </c>
      <c r="B226" s="87">
        <f>Counts!I17</f>
        <v>1</v>
      </c>
      <c r="C226" s="87">
        <f ca="1">Counts!J17</f>
        <v>0</v>
      </c>
      <c r="D226" s="87">
        <f>Counts!K17</f>
        <v>0</v>
      </c>
    </row>
    <row r="227" spans="1:4">
      <c r="A227" s="87" t="str">
        <f>Counts!H18</f>
        <v>Unidentified air leak</v>
      </c>
      <c r="B227" s="87">
        <f>Counts!I18</f>
        <v>3</v>
      </c>
      <c r="C227" s="87">
        <f ca="1">Counts!J18</f>
        <v>1</v>
      </c>
      <c r="D227" s="87">
        <f>Counts!K18</f>
        <v>0</v>
      </c>
    </row>
    <row r="228" spans="1:4">
      <c r="A228" s="87" t="str">
        <f>Counts!H19</f>
        <v>Freedom</v>
      </c>
      <c r="B228" s="87">
        <f>Counts!I19</f>
        <v>5</v>
      </c>
      <c r="C228" s="87">
        <f ca="1">Counts!J19</f>
        <v>0</v>
      </c>
      <c r="D228" s="87">
        <f>Counts!K19</f>
        <v>0</v>
      </c>
    </row>
    <row r="229" spans="1:4">
      <c r="A229" s="87" t="str">
        <f>Counts!H20</f>
        <v>Heavy case load</v>
      </c>
      <c r="B229" s="87">
        <f>Counts!I20</f>
        <v>1</v>
      </c>
      <c r="C229" s="87">
        <f ca="1">Counts!J20</f>
        <v>0</v>
      </c>
      <c r="D229" s="87">
        <f>Counts!K20</f>
        <v>0</v>
      </c>
    </row>
    <row r="230" spans="1:4">
      <c r="A230" s="87" t="str">
        <f>Counts!H21</f>
        <v>DG Installation issue</v>
      </c>
      <c r="B230" s="87">
        <f>Counts!I21</f>
        <v>8</v>
      </c>
      <c r="C230" s="87">
        <f ca="1">Counts!J21</f>
        <v>3</v>
      </c>
      <c r="D230" s="87">
        <f>Counts!K21</f>
        <v>1</v>
      </c>
    </row>
    <row r="231" spans="1:4">
      <c r="A231" s="87" t="str">
        <f>Counts!H22</f>
        <v>Unknown</v>
      </c>
      <c r="B231" s="87">
        <f>Counts!I22</f>
        <v>7</v>
      </c>
      <c r="C231" s="87">
        <f ca="1">Counts!J22</f>
        <v>2</v>
      </c>
      <c r="D231" s="87">
        <f>Counts!K22</f>
        <v>0</v>
      </c>
    </row>
    <row r="232" spans="1:4">
      <c r="A232" s="87" t="str">
        <f>Counts!H23</f>
        <v>Program change - Hussmann</v>
      </c>
      <c r="B232" s="87">
        <f>Counts!I23</f>
        <v>1</v>
      </c>
      <c r="C232" s="87">
        <f ca="1">Counts!J23</f>
        <v>0</v>
      </c>
      <c r="D232" s="87">
        <f>Counts!K23</f>
        <v>0</v>
      </c>
    </row>
    <row r="233" spans="1:4">
      <c r="A233" s="87" t="str">
        <f>Counts!H24</f>
        <v>Wrong program</v>
      </c>
      <c r="B233" s="87">
        <f>Counts!I24</f>
        <v>4</v>
      </c>
      <c r="C233" s="87">
        <f ca="1">Counts!J24</f>
        <v>1</v>
      </c>
      <c r="D233" s="87">
        <f>Counts!K24</f>
        <v>0</v>
      </c>
    </row>
    <row r="234" spans="1:4">
      <c r="A234" s="87" t="str">
        <f>Counts!H25</f>
        <v>Value</v>
      </c>
      <c r="B234" s="87">
        <f>Counts!I25</f>
        <v>0</v>
      </c>
      <c r="C234" s="87">
        <f>Counts!J25</f>
        <v>0</v>
      </c>
      <c r="D234" s="87">
        <f>Counts!K25</f>
        <v>0</v>
      </c>
    </row>
    <row r="235" spans="1:4">
      <c r="A235" s="87">
        <f>Counts!H26</f>
        <v>240</v>
      </c>
      <c r="B235" s="87">
        <f>Counts!I26</f>
        <v>0</v>
      </c>
      <c r="C235" s="87">
        <f>Counts!J26</f>
        <v>0</v>
      </c>
      <c r="D235" s="87">
        <f>Counts!K26</f>
        <v>0</v>
      </c>
    </row>
    <row r="236" spans="1:4">
      <c r="A236" s="87">
        <f>Counts!H27</f>
        <v>400</v>
      </c>
      <c r="B236" s="87">
        <f>Counts!I27</f>
        <v>0</v>
      </c>
      <c r="C236" s="87">
        <f>Counts!J27</f>
        <v>0</v>
      </c>
      <c r="D236" s="87">
        <f>Counts!K27</f>
        <v>0</v>
      </c>
    </row>
    <row r="237" spans="1:4">
      <c r="A237" s="87">
        <f>Counts!H28</f>
        <v>80</v>
      </c>
      <c r="B237" s="87">
        <f>Counts!I28</f>
        <v>0</v>
      </c>
      <c r="C237" s="87">
        <f>Counts!J28</f>
        <v>0</v>
      </c>
      <c r="D237" s="87">
        <f>Counts!K28</f>
        <v>0</v>
      </c>
    </row>
    <row r="241" spans="1:4">
      <c r="A241" s="126" t="s">
        <v>1586</v>
      </c>
      <c r="B241" s="126"/>
      <c r="C241" s="126"/>
      <c r="D241" s="126"/>
    </row>
    <row r="242" spans="1:4">
      <c r="A242" s="125" t="s">
        <v>1587</v>
      </c>
      <c r="B242" s="125"/>
      <c r="C242" s="125"/>
      <c r="D242" s="125"/>
    </row>
    <row r="243" spans="1:4">
      <c r="A243" s="119" t="s">
        <v>1588</v>
      </c>
      <c r="B243" s="119" t="s">
        <v>1287</v>
      </c>
    </row>
    <row r="244" spans="1:4">
      <c r="A244" s="87" t="str">
        <f>Settings!A75</f>
        <v>RLN2MA</v>
      </c>
      <c r="B244" s="87">
        <f>SUMPRODUCT(--ISNUMBER(SEARCH(A244,Summary!$H$5:$H$241)),--ISNUMBER(Summary!$A$5:$A$241),--(Summary!$A$5:$A$241&gt;=IF(set_from="",0,set_from)),--(Summary!$A$5:$A$241&lt;IF(set_to="",2958465,set_to+1)))</f>
        <v>21</v>
      </c>
    </row>
    <row r="245" spans="1:4">
      <c r="A245" s="87" t="str">
        <f>Settings!A76</f>
        <v>RLN3MA</v>
      </c>
      <c r="B245" s="87">
        <f>SUMPRODUCT(--ISNUMBER(SEARCH(A245,Summary!$H$5:$H$241)),--ISNUMBER(Summary!$A$5:$A$241),--(Summary!$A$5:$A$241&gt;=IF(set_from="",0,set_from)),--(Summary!$A$5:$A$241&lt;IF(set_to="",2958465,set_to+1)))</f>
        <v>32</v>
      </c>
    </row>
    <row r="246" spans="1:4">
      <c r="A246" s="87" t="str">
        <f>Settings!A77</f>
        <v>RLN4MA</v>
      </c>
      <c r="B246" s="87">
        <f>SUMPRODUCT(--ISNUMBER(SEARCH(A246,Summary!$H$5:$H$241)),--ISNUMBER(Summary!$A$5:$A$241),--(Summary!$A$5:$A$241&gt;=IF(set_from="",0,set_from)),--(Summary!$A$5:$A$241&lt;IF(set_to="",2958465,set_to+1)))</f>
        <v>3</v>
      </c>
    </row>
    <row r="247" spans="1:4">
      <c r="A247" s="87" t="str">
        <f>Settings!A78</f>
        <v>RMN4MA</v>
      </c>
      <c r="B247" s="87">
        <f>SUMPRODUCT(--ISNUMBER(SEARCH(A247,Summary!$H$5:$H$241)),--ISNUMBER(Summary!$A$5:$A$241),--(Summary!$A$5:$A$241&gt;=IF(set_from="",0,set_from)),--(Summary!$A$5:$A$241&lt;IF(set_to="",2958465,set_to+1)))</f>
        <v>14</v>
      </c>
    </row>
    <row r="248" spans="1:4">
      <c r="A248" s="87" t="str">
        <f>Settings!A79</f>
        <v>RMN3MA</v>
      </c>
      <c r="B248" s="87">
        <f>SUMPRODUCT(--ISNUMBER(SEARCH(A248,Summary!$H$5:$H$241)),--ISNUMBER(Summary!$A$5:$A$241),--(Summary!$A$5:$A$241&gt;=IF(set_from="",0,set_from)),--(Summary!$A$5:$A$241&lt;IF(set_to="",2958465,set_to+1)))</f>
        <v>6</v>
      </c>
    </row>
    <row r="249" spans="1:4">
      <c r="A249" s="87" t="str">
        <f>Settings!A80</f>
        <v>RMN5MA</v>
      </c>
      <c r="B249" s="87">
        <f>SUMPRODUCT(--ISNUMBER(SEARCH(A249,Summary!$H$5:$H$241)),--ISNUMBER(Summary!$A$5:$A$241),--(Summary!$A$5:$A$241&gt;=IF(set_from="",0,set_from)),--(Summary!$A$5:$A$241&lt;IF(set_to="",2958465,set_to+1)))</f>
        <v>4</v>
      </c>
    </row>
    <row r="253" spans="1:4">
      <c r="A253" s="126" t="s">
        <v>1589</v>
      </c>
      <c r="B253" s="126"/>
      <c r="C253" s="126"/>
    </row>
    <row r="254" spans="1:4">
      <c r="A254" s="125" t="s">
        <v>1590</v>
      </c>
      <c r="B254" s="125"/>
      <c r="C254" s="125"/>
    </row>
    <row r="255" spans="1:4">
      <c r="A255" s="119" t="s">
        <v>1591</v>
      </c>
      <c r="B255" s="119" t="s">
        <v>1592</v>
      </c>
    </row>
    <row r="256" spans="1:4">
      <c r="A256" s="87" t="s">
        <v>1593</v>
      </c>
      <c r="B256" s="87" t="str">
        <f>"Issues by root cause  ("&amp;$B$262&amp;")"</f>
        <v>Issues by root cause  (Jun 1 to Jul 15)</v>
      </c>
    </row>
    <row r="257" spans="1:8">
      <c r="A257" s="87" t="s">
        <v>1594</v>
      </c>
      <c r="B257" s="87" t="s">
        <v>1498</v>
      </c>
    </row>
    <row r="258" spans="1:8">
      <c r="A258" s="87" t="s">
        <v>1595</v>
      </c>
      <c r="B258" s="87" t="str">
        <f>"Issues after clean point  ("&amp;$B$262&amp;")"</f>
        <v>Issues after clean point  (Jun 1 to Jul 15)</v>
      </c>
    </row>
    <row r="259" spans="1:8">
      <c r="A259" s="87" t="s">
        <v>1596</v>
      </c>
      <c r="B259" s="87" t="s">
        <v>1501</v>
      </c>
    </row>
    <row r="260" spans="1:8">
      <c r="A260" s="87" t="s">
        <v>1597</v>
      </c>
      <c r="B260" s="87" t="str">
        <f>"Issues by root cause - after vs before clean point  ("&amp;$B$262&amp;")"</f>
        <v>Issues by root cause - after vs before clean point  (Jun 1 to Jul 15)</v>
      </c>
    </row>
    <row r="261" spans="1:8">
      <c r="A261" s="87" t="s">
        <v>1598</v>
      </c>
      <c r="B261" s="87" t="str">
        <f>"Issues by case nomenclature ("&amp;$B$262&amp;")"</f>
        <v>Issues by case nomenclature (Jun 1 to Jul 15)</v>
      </c>
    </row>
    <row r="262" spans="1:8">
      <c r="B262" s="87" t="str">
        <f>IF(AND(N(set_from)=0,N(set_to)=0),"All data",IF(N(set_from)=0,"...",TEXT(set_from,"mmm d"))&amp;" to "&amp;IF(N(set_to)=0,"...",TEXT(set_to,"mmm d")))</f>
        <v>Jun 1 to Jul 15</v>
      </c>
    </row>
    <row r="266" spans="1:8">
      <c r="A266" s="126" t="s">
        <v>1641</v>
      </c>
      <c r="B266" s="127"/>
      <c r="C266" s="127"/>
      <c r="D266" s="127"/>
      <c r="E266" s="127"/>
      <c r="F266" s="127"/>
      <c r="G266" s="127"/>
      <c r="H266" s="127"/>
    </row>
    <row r="267" spans="1:8">
      <c r="A267" s="125" t="s">
        <v>1642</v>
      </c>
      <c r="B267" s="127"/>
      <c r="C267" s="127"/>
      <c r="D267" s="127"/>
      <c r="E267" s="127"/>
      <c r="F267" s="127"/>
      <c r="G267" s="127"/>
      <c r="H267" s="127"/>
    </row>
    <row r="269" spans="1:8">
      <c r="A269" s="87" t="s">
        <v>1643</v>
      </c>
      <c r="B269" s="87" t="str">
        <f>Settings!A76</f>
        <v>RLN3MA</v>
      </c>
    </row>
    <row r="271" spans="1:8">
      <c r="A271" s="119" t="s">
        <v>1139</v>
      </c>
      <c r="B271" s="119" t="s">
        <v>1257</v>
      </c>
      <c r="C271" s="119" t="s">
        <v>1281</v>
      </c>
      <c r="D271" s="119" t="s">
        <v>1574</v>
      </c>
    </row>
    <row r="272" spans="1:8">
      <c r="A272" s="87" t="str">
        <f>Settings!A4</f>
        <v>Ref. leak/ Low charge</v>
      </c>
      <c r="B272" s="87" t="str">
        <f>Settings!B4</f>
        <v>Ref. leak/ Low charge</v>
      </c>
      <c r="C272" s="87">
        <f>IF(A272="","",SUMPRODUCT((Summary!$E$5:$E$241=A272)*ISNUMBER(SEARCH($B$269,Summary!$H$5:$H$241))*ISNUMBER(Summary!$A$5:$A$241)*(Summary!$A$5:$A$241&gt;=IF(set_from="",0,set_from))*(Summary!$A$5:$A$241&lt;IF(set_to="",2958465,set_to+1))))</f>
        <v>0</v>
      </c>
      <c r="D272" s="87">
        <f>IF(A272="","",SUMPRODUCT((Summary!$E$5:$E$241=A272)*(Summary!$G$5:$G$241="Yes")*ISNUMBER(SEARCH($B$269,Summary!$H$5:$H$241))*ISNUMBER(Summary!$A$5:$A$241)*(Summary!$A$5:$A$241&gt;=IF(set_from="",0,set_from))*(Summary!$A$5:$A$241&lt;IF(set_to="",2958465,set_to+1))))</f>
        <v>0</v>
      </c>
    </row>
    <row r="273" spans="1:4">
      <c r="A273" s="87" t="str">
        <f>Settings!A5</f>
        <v>Door Torque</v>
      </c>
      <c r="B273" s="87" t="str">
        <f>Settings!B5</f>
        <v>Doors</v>
      </c>
      <c r="C273" s="87">
        <f>IF(A273="","",SUMPRODUCT((Summary!$E$5:$E$241=A273)*ISNUMBER(SEARCH($B$269,Summary!$H$5:$H$241))*ISNUMBER(Summary!$A$5:$A$241)*(Summary!$A$5:$A$241&gt;=IF(set_from="",0,set_from))*(Summary!$A$5:$A$241&lt;IF(set_to="",2958465,set_to+1))))</f>
        <v>2</v>
      </c>
      <c r="D273" s="87">
        <f>IF(A273="","",SUMPRODUCT((Summary!$E$5:$E$241=A273)*(Summary!$G$5:$G$241="Yes")*ISNUMBER(SEARCH($B$269,Summary!$H$5:$H$241))*ISNUMBER(Summary!$A$5:$A$241)*(Summary!$A$5:$A$241&gt;=IF(set_from="",0,set_from))*(Summary!$A$5:$A$241&lt;IF(set_to="",2958465,set_to+1))))</f>
        <v>0</v>
      </c>
    </row>
    <row r="274" spans="1:4">
      <c r="A274" s="87" t="str">
        <f>Settings!A6</f>
        <v>Door Gasket</v>
      </c>
      <c r="B274" s="87" t="str">
        <f>Settings!B6</f>
        <v>Doors</v>
      </c>
      <c r="C274" s="87">
        <f>IF(A274="","",SUMPRODUCT((Summary!$E$5:$E$241=A274)*ISNUMBER(SEARCH($B$269,Summary!$H$5:$H$241))*ISNUMBER(Summary!$A$5:$A$241)*(Summary!$A$5:$A$241&gt;=IF(set_from="",0,set_from))*(Summary!$A$5:$A$241&lt;IF(set_to="",2958465,set_to+1))))</f>
        <v>1</v>
      </c>
      <c r="D274" s="87">
        <f>IF(A274="","",SUMPRODUCT((Summary!$E$5:$E$241=A274)*(Summary!$G$5:$G$241="Yes")*ISNUMBER(SEARCH($B$269,Summary!$H$5:$H$241))*ISNUMBER(Summary!$A$5:$A$241)*(Summary!$A$5:$A$241&gt;=IF(set_from="",0,set_from))*(Summary!$A$5:$A$241&lt;IF(set_to="",2958465,set_to+1))))</f>
        <v>0</v>
      </c>
    </row>
    <row r="275" spans="1:4">
      <c r="A275" s="87" t="str">
        <f>Settings!A7</f>
        <v>Door frame heater</v>
      </c>
      <c r="B275" s="87" t="str">
        <f>Settings!B7</f>
        <v>Doors</v>
      </c>
      <c r="C275" s="87">
        <f>IF(A275="","",SUMPRODUCT((Summary!$E$5:$E$241=A275)*ISNUMBER(SEARCH($B$269,Summary!$H$5:$H$241))*ISNUMBER(Summary!$A$5:$A$241)*(Summary!$A$5:$A$241&gt;=IF(set_from="",0,set_from))*(Summary!$A$5:$A$241&lt;IF(set_to="",2958465,set_to+1))))</f>
        <v>3</v>
      </c>
      <c r="D275" s="87">
        <f>IF(A275="","",SUMPRODUCT((Summary!$E$5:$E$241=A275)*(Summary!$G$5:$G$241="Yes")*ISNUMBER(SEARCH($B$269,Summary!$H$5:$H$241))*ISNUMBER(Summary!$A$5:$A$241)*(Summary!$A$5:$A$241&gt;=IF(set_from="",0,set_from))*(Summary!$A$5:$A$241&lt;IF(set_to="",2958465,set_to+1))))</f>
        <v>0</v>
      </c>
    </row>
    <row r="276" spans="1:4">
      <c r="A276" s="87" t="str">
        <f>Settings!A8</f>
        <v>Door Torsion rod</v>
      </c>
      <c r="B276" s="87" t="str">
        <f>Settings!B8</f>
        <v>Doors</v>
      </c>
      <c r="C276" s="87">
        <f>IF(A276="","",SUMPRODUCT((Summary!$E$5:$E$241=A276)*ISNUMBER(SEARCH($B$269,Summary!$H$5:$H$241))*ISNUMBER(Summary!$A$5:$A$241)*(Summary!$A$5:$A$241&gt;=IF(set_from="",0,set_from))*(Summary!$A$5:$A$241&lt;IF(set_to="",2958465,set_to+1))))</f>
        <v>0</v>
      </c>
      <c r="D276" s="87">
        <f>IF(A276="","",SUMPRODUCT((Summary!$E$5:$E$241=A276)*(Summary!$G$5:$G$241="Yes")*ISNUMBER(SEARCH($B$269,Summary!$H$5:$H$241))*ISNUMBER(Summary!$A$5:$A$241)*(Summary!$A$5:$A$241&gt;=IF(set_from="",0,set_from))*(Summary!$A$5:$A$241&lt;IF(set_to="",2958465,set_to+1))))</f>
        <v>0</v>
      </c>
    </row>
    <row r="277" spans="1:4">
      <c r="A277" s="87" t="str">
        <f>Settings!A9</f>
        <v>Door not closed (Overnight)</v>
      </c>
      <c r="B277" s="87" t="str">
        <f>Settings!B9</f>
        <v>Doors</v>
      </c>
      <c r="C277" s="87">
        <f>IF(A277="","",SUMPRODUCT((Summary!$E$5:$E$241=A277)*ISNUMBER(SEARCH($B$269,Summary!$H$5:$H$241))*ISNUMBER(Summary!$A$5:$A$241)*(Summary!$A$5:$A$241&gt;=IF(set_from="",0,set_from))*(Summary!$A$5:$A$241&lt;IF(set_to="",2958465,set_to+1))))</f>
        <v>5</v>
      </c>
      <c r="D277" s="87">
        <f>IF(A277="","",SUMPRODUCT((Summary!$E$5:$E$241=A277)*(Summary!$G$5:$G$241="Yes")*ISNUMBER(SEARCH($B$269,Summary!$H$5:$H$241))*ISNUMBER(Summary!$A$5:$A$241)*(Summary!$A$5:$A$241&gt;=IF(set_from="",0,set_from))*(Summary!$A$5:$A$241&lt;IF(set_to="",2958465,set_to+1))))</f>
        <v>1</v>
      </c>
    </row>
    <row r="278" spans="1:4">
      <c r="A278" s="87" t="str">
        <f>Settings!A10</f>
        <v>Door - general</v>
      </c>
      <c r="B278" s="87" t="str">
        <f>Settings!B10</f>
        <v>Doors</v>
      </c>
      <c r="C278" s="87">
        <f>IF(A278="","",SUMPRODUCT((Summary!$E$5:$E$241=A278)*ISNUMBER(SEARCH($B$269,Summary!$H$5:$H$241))*ISNUMBER(Summary!$A$5:$A$241)*(Summary!$A$5:$A$241&gt;=IF(set_from="",0,set_from))*(Summary!$A$5:$A$241&lt;IF(set_to="",2958465,set_to+1))))</f>
        <v>0</v>
      </c>
      <c r="D278" s="87">
        <f>IF(A278="","",SUMPRODUCT((Summary!$E$5:$E$241=A278)*(Summary!$G$5:$G$241="Yes")*ISNUMBER(SEARCH($B$269,Summary!$H$5:$H$241))*ISNUMBER(Summary!$A$5:$A$241)*(Summary!$A$5:$A$241&gt;=IF(set_from="",0,set_from))*(Summary!$A$5:$A$241&lt;IF(set_to="",2958465,set_to+1))))</f>
        <v>0</v>
      </c>
    </row>
    <row r="279" spans="1:4">
      <c r="A279" s="87" t="str">
        <f>Settings!A11</f>
        <v>Drain tube blocked</v>
      </c>
      <c r="B279" s="87" t="str">
        <f>Settings!B11</f>
        <v>Drain tube blocked</v>
      </c>
      <c r="C279" s="87">
        <f>IF(A279="","",SUMPRODUCT((Summary!$E$5:$E$241=A279)*ISNUMBER(SEARCH($B$269,Summary!$H$5:$H$241))*ISNUMBER(Summary!$A$5:$A$241)*(Summary!$A$5:$A$241&gt;=IF(set_from="",0,set_from))*(Summary!$A$5:$A$241&lt;IF(set_to="",2958465,set_to+1))))</f>
        <v>2</v>
      </c>
      <c r="D279" s="87">
        <f>IF(A279="","",SUMPRODUCT((Summary!$E$5:$E$241=A279)*(Summary!$G$5:$G$241="Yes")*ISNUMBER(SEARCH($B$269,Summary!$H$5:$H$241))*ISNUMBER(Summary!$A$5:$A$241)*(Summary!$A$5:$A$241&gt;=IF(set_from="",0,set_from))*(Summary!$A$5:$A$241&lt;IF(set_to="",2958465,set_to+1))))</f>
        <v>0</v>
      </c>
    </row>
    <row r="280" spans="1:4">
      <c r="A280" s="87" t="str">
        <f>Settings!A12</f>
        <v>Wrong / Loose wiring</v>
      </c>
      <c r="B280" s="87" t="str">
        <f>Settings!B12</f>
        <v>Wrong / Loose wiring</v>
      </c>
      <c r="C280" s="87">
        <f>IF(A280="","",SUMPRODUCT((Summary!$E$5:$E$241=A280)*ISNUMBER(SEARCH($B$269,Summary!$H$5:$H$241))*ISNUMBER(Summary!$A$5:$A$241)*(Summary!$A$5:$A$241&gt;=IF(set_from="",0,set_from))*(Summary!$A$5:$A$241&lt;IF(set_to="",2958465,set_to+1))))</f>
        <v>2</v>
      </c>
      <c r="D280" s="87">
        <f>IF(A280="","",SUMPRODUCT((Summary!$E$5:$E$241=A280)*(Summary!$G$5:$G$241="Yes")*ISNUMBER(SEARCH($B$269,Summary!$H$5:$H$241))*ISNUMBER(Summary!$A$5:$A$241)*(Summary!$A$5:$A$241&gt;=IF(set_from="",0,set_from))*(Summary!$A$5:$A$241&lt;IF(set_to="",2958465,set_to+1))))</f>
        <v>2</v>
      </c>
    </row>
    <row r="281" spans="1:4">
      <c r="A281" s="87" t="str">
        <f>Settings!A13</f>
        <v>Communication problem</v>
      </c>
      <c r="B281" s="87" t="str">
        <f>Settings!B13</f>
        <v>Communication problem</v>
      </c>
      <c r="C281" s="87">
        <f>IF(A281="","",SUMPRODUCT((Summary!$E$5:$E$241=A281)*ISNUMBER(SEARCH($B$269,Summary!$H$5:$H$241))*ISNUMBER(Summary!$A$5:$A$241)*(Summary!$A$5:$A$241&gt;=IF(set_from="",0,set_from))*(Summary!$A$5:$A$241&lt;IF(set_to="",2958465,set_to+1))))</f>
        <v>0</v>
      </c>
      <c r="D281" s="87">
        <f>IF(A281="","",SUMPRODUCT((Summary!$E$5:$E$241=A281)*(Summary!$G$5:$G$241="Yes")*ISNUMBER(SEARCH($B$269,Summary!$H$5:$H$241))*ISNUMBER(Summary!$A$5:$A$241)*(Summary!$A$5:$A$241&gt;=IF(set_from="",0,set_from))*(Summary!$A$5:$A$241&lt;IF(set_to="",2958465,set_to+1))))</f>
        <v>0</v>
      </c>
    </row>
    <row r="282" spans="1:4">
      <c r="A282" s="87" t="str">
        <f>Settings!A14</f>
        <v>High Store RH</v>
      </c>
      <c r="B282" s="87" t="str">
        <f>Settings!B14</f>
        <v>High Store RH</v>
      </c>
      <c r="C282" s="87">
        <f>IF(A282="","",SUMPRODUCT((Summary!$E$5:$E$241=A282)*ISNUMBER(SEARCH($B$269,Summary!$H$5:$H$241))*ISNUMBER(Summary!$A$5:$A$241)*(Summary!$A$5:$A$241&gt;=IF(set_from="",0,set_from))*(Summary!$A$5:$A$241&lt;IF(set_to="",2958465,set_to+1))))</f>
        <v>5</v>
      </c>
      <c r="D282" s="87">
        <f>IF(A282="","",SUMPRODUCT((Summary!$E$5:$E$241=A282)*(Summary!$G$5:$G$241="Yes")*ISNUMBER(SEARCH($B$269,Summary!$H$5:$H$241))*ISNUMBER(Summary!$A$5:$A$241)*(Summary!$A$5:$A$241&gt;=IF(set_from="",0,set_from))*(Summary!$A$5:$A$241&lt;IF(set_to="",2958465,set_to+1))))</f>
        <v>2</v>
      </c>
    </row>
    <row r="283" spans="1:4">
      <c r="A283" s="87" t="str">
        <f>Settings!A15</f>
        <v>Enclosure Seal</v>
      </c>
      <c r="B283" s="87" t="str">
        <f>Settings!B15</f>
        <v>Enclosure Seal</v>
      </c>
      <c r="C283" s="87">
        <f>IF(A283="","",SUMPRODUCT((Summary!$E$5:$E$241=A283)*ISNUMBER(SEARCH($B$269,Summary!$H$5:$H$241))*ISNUMBER(Summary!$A$5:$A$241)*(Summary!$A$5:$A$241&gt;=IF(set_from="",0,set_from))*(Summary!$A$5:$A$241&lt;IF(set_to="",2958465,set_to+1))))</f>
        <v>0</v>
      </c>
      <c r="D283" s="87">
        <f>IF(A283="","",SUMPRODUCT((Summary!$E$5:$E$241=A283)*(Summary!$G$5:$G$241="Yes")*ISNUMBER(SEARCH($B$269,Summary!$H$5:$H$241))*ISNUMBER(Summary!$A$5:$A$241)*(Summary!$A$5:$A$241&gt;=IF(set_from="",0,set_from))*(Summary!$A$5:$A$241&lt;IF(set_to="",2958465,set_to+1))))</f>
        <v>0</v>
      </c>
    </row>
    <row r="284" spans="1:4">
      <c r="A284" s="87" t="str">
        <f>Settings!A16</f>
        <v>Component Failure</v>
      </c>
      <c r="B284" s="87" t="str">
        <f>Settings!B16</f>
        <v>Component Failure</v>
      </c>
      <c r="C284" s="87">
        <f>IF(A284="","",SUMPRODUCT((Summary!$E$5:$E$241=A284)*ISNUMBER(SEARCH($B$269,Summary!$H$5:$H$241))*ISNUMBER(Summary!$A$5:$A$241)*(Summary!$A$5:$A$241&gt;=IF(set_from="",0,set_from))*(Summary!$A$5:$A$241&lt;IF(set_to="",2958465,set_to+1))))</f>
        <v>0</v>
      </c>
      <c r="D284" s="87">
        <f>IF(A284="","",SUMPRODUCT((Summary!$E$5:$E$241=A284)*(Summary!$G$5:$G$241="Yes")*ISNUMBER(SEARCH($B$269,Summary!$H$5:$H$241))*ISNUMBER(Summary!$A$5:$A$241)*(Summary!$A$5:$A$241&gt;=IF(set_from="",0,set_from))*(Summary!$A$5:$A$241&lt;IF(set_to="",2958465,set_to+1))))</f>
        <v>0</v>
      </c>
    </row>
    <row r="285" spans="1:4">
      <c r="A285" s="87" t="str">
        <f>Settings!A17</f>
        <v>Defrost Sync</v>
      </c>
      <c r="B285" s="87" t="str">
        <f>Settings!B17</f>
        <v>Defrost Sync</v>
      </c>
      <c r="C285" s="87">
        <f>IF(A285="","",SUMPRODUCT((Summary!$E$5:$E$241=A285)*ISNUMBER(SEARCH($B$269,Summary!$H$5:$H$241))*ISNUMBER(Summary!$A$5:$A$241)*(Summary!$A$5:$A$241&gt;=IF(set_from="",0,set_from))*(Summary!$A$5:$A$241&lt;IF(set_to="",2958465,set_to+1))))</f>
        <v>0</v>
      </c>
      <c r="D285" s="87">
        <f>IF(A285="","",SUMPRODUCT((Summary!$E$5:$E$241=A285)*(Summary!$G$5:$G$241="Yes")*ISNUMBER(SEARCH($B$269,Summary!$H$5:$H$241))*ISNUMBER(Summary!$A$5:$A$241)*(Summary!$A$5:$A$241&gt;=IF(set_from="",0,set_from))*(Summary!$A$5:$A$241&lt;IF(set_to="",2958465,set_to+1))))</f>
        <v>0</v>
      </c>
    </row>
    <row r="286" spans="1:4">
      <c r="A286" s="87" t="str">
        <f>Settings!A18</f>
        <v>False Alarm</v>
      </c>
      <c r="B286" s="87" t="str">
        <f>Settings!B18</f>
        <v>False Alarm</v>
      </c>
      <c r="C286" s="87">
        <f>IF(A286="","",SUMPRODUCT((Summary!$E$5:$E$241=A286)*ISNUMBER(SEARCH($B$269,Summary!$H$5:$H$241))*ISNUMBER(Summary!$A$5:$A$241)*(Summary!$A$5:$A$241&gt;=IF(set_from="",0,set_from))*(Summary!$A$5:$A$241&lt;IF(set_to="",2958465,set_to+1))))</f>
        <v>4</v>
      </c>
      <c r="D286" s="87">
        <f>IF(A286="","",SUMPRODUCT((Summary!$E$5:$E$241=A286)*(Summary!$G$5:$G$241="Yes")*ISNUMBER(SEARCH($B$269,Summary!$H$5:$H$241))*ISNUMBER(Summary!$A$5:$A$241)*(Summary!$A$5:$A$241&gt;=IF(set_from="",0,set_from))*(Summary!$A$5:$A$241&lt;IF(set_to="",2958465,set_to+1))))</f>
        <v>2</v>
      </c>
    </row>
    <row r="287" spans="1:4">
      <c r="A287" s="87" t="str">
        <f>Settings!A19</f>
        <v>Setpoint change</v>
      </c>
      <c r="B287" s="87" t="str">
        <f>Settings!B19</f>
        <v>Setpoint change</v>
      </c>
      <c r="C287" s="87">
        <f>IF(A287="","",SUMPRODUCT((Summary!$E$5:$E$241=A287)*ISNUMBER(SEARCH($B$269,Summary!$H$5:$H$241))*ISNUMBER(Summary!$A$5:$A$241)*(Summary!$A$5:$A$241&gt;=IF(set_from="",0,set_from))*(Summary!$A$5:$A$241&lt;IF(set_to="",2958465,set_to+1))))</f>
        <v>0</v>
      </c>
      <c r="D287" s="87">
        <f>IF(A287="","",SUMPRODUCT((Summary!$E$5:$E$241=A287)*(Summary!$G$5:$G$241="Yes")*ISNUMBER(SEARCH($B$269,Summary!$H$5:$H$241))*ISNUMBER(Summary!$A$5:$A$241)*(Summary!$A$5:$A$241&gt;=IF(set_from="",0,set_from))*(Summary!$A$5:$A$241&lt;IF(set_to="",2958465,set_to+1))))</f>
        <v>0</v>
      </c>
    </row>
    <row r="288" spans="1:4">
      <c r="A288" s="87" t="str">
        <f>Settings!A20</f>
        <v>Overstocking</v>
      </c>
      <c r="B288" s="87" t="str">
        <f>Settings!B20</f>
        <v>Overstocking</v>
      </c>
      <c r="C288" s="87">
        <f>IF(A288="","",SUMPRODUCT((Summary!$E$5:$E$241=A288)*ISNUMBER(SEARCH($B$269,Summary!$H$5:$H$241))*ISNUMBER(Summary!$A$5:$A$241)*(Summary!$A$5:$A$241&gt;=IF(set_from="",0,set_from))*(Summary!$A$5:$A$241&lt;IF(set_to="",2958465,set_to+1))))</f>
        <v>2</v>
      </c>
      <c r="D288" s="87">
        <f>IF(A288="","",SUMPRODUCT((Summary!$E$5:$E$241=A288)*(Summary!$G$5:$G$241="Yes")*ISNUMBER(SEARCH($B$269,Summary!$H$5:$H$241))*ISNUMBER(Summary!$A$5:$A$241)*(Summary!$A$5:$A$241&gt;=IF(set_from="",0,set_from))*(Summary!$A$5:$A$241&lt;IF(set_to="",2958465,set_to+1))))</f>
        <v>2</v>
      </c>
    </row>
    <row r="289" spans="1:4">
      <c r="A289" s="87" t="str">
        <f>Settings!A21</f>
        <v>Case End Seal</v>
      </c>
      <c r="B289" s="87" t="str">
        <f>Settings!B21</f>
        <v>Case End Seal</v>
      </c>
      <c r="C289" s="87">
        <f>IF(A289="","",SUMPRODUCT((Summary!$E$5:$E$241=A289)*ISNUMBER(SEARCH($B$269,Summary!$H$5:$H$241))*ISNUMBER(Summary!$A$5:$A$241)*(Summary!$A$5:$A$241&gt;=IF(set_from="",0,set_from))*(Summary!$A$5:$A$241&lt;IF(set_to="",2958465,set_to+1))))</f>
        <v>0</v>
      </c>
      <c r="D289" s="87">
        <f>IF(A289="","",SUMPRODUCT((Summary!$E$5:$E$241=A289)*(Summary!$G$5:$G$241="Yes")*ISNUMBER(SEARCH($B$269,Summary!$H$5:$H$241))*ISNUMBER(Summary!$A$5:$A$241)*(Summary!$A$5:$A$241&gt;=IF(set_from="",0,set_from))*(Summary!$A$5:$A$241&lt;IF(set_to="",2958465,set_to+1))))</f>
        <v>0</v>
      </c>
    </row>
    <row r="290" spans="1:4">
      <c r="A290" s="87" t="str">
        <f>Settings!A22</f>
        <v>Return Air blocked</v>
      </c>
      <c r="B290" s="87" t="str">
        <f>Settings!B22</f>
        <v>Return Air blocked</v>
      </c>
      <c r="C290" s="87">
        <f>IF(A290="","",SUMPRODUCT((Summary!$E$5:$E$241=A290)*ISNUMBER(SEARCH($B$269,Summary!$H$5:$H$241))*ISNUMBER(Summary!$A$5:$A$241)*(Summary!$A$5:$A$241&gt;=IF(set_from="",0,set_from))*(Summary!$A$5:$A$241&lt;IF(set_to="",2958465,set_to+1))))</f>
        <v>0</v>
      </c>
      <c r="D290" s="87">
        <f>IF(A290="","",SUMPRODUCT((Summary!$E$5:$E$241=A290)*(Summary!$G$5:$G$241="Yes")*ISNUMBER(SEARCH($B$269,Summary!$H$5:$H$241))*ISNUMBER(Summary!$A$5:$A$241)*(Summary!$A$5:$A$241&gt;=IF(set_from="",0,set_from))*(Summary!$A$5:$A$241&lt;IF(set_to="",2958465,set_to+1))))</f>
        <v>0</v>
      </c>
    </row>
    <row r="291" spans="1:4">
      <c r="A291" s="87" t="str">
        <f>Settings!A23</f>
        <v>Unidentified air leak</v>
      </c>
      <c r="B291" s="87" t="str">
        <f>Settings!B23</f>
        <v>Unidentified air leak</v>
      </c>
      <c r="C291" s="87">
        <f>IF(A291="","",SUMPRODUCT((Summary!$E$5:$E$241=A291)*ISNUMBER(SEARCH($B$269,Summary!$H$5:$H$241))*ISNUMBER(Summary!$A$5:$A$241)*(Summary!$A$5:$A$241&gt;=IF(set_from="",0,set_from))*(Summary!$A$5:$A$241&lt;IF(set_to="",2958465,set_to+1))))</f>
        <v>1</v>
      </c>
      <c r="D291" s="87">
        <f>IF(A291="","",SUMPRODUCT((Summary!$E$5:$E$241=A291)*(Summary!$G$5:$G$241="Yes")*ISNUMBER(SEARCH($B$269,Summary!$H$5:$H$241))*ISNUMBER(Summary!$A$5:$A$241)*(Summary!$A$5:$A$241&gt;=IF(set_from="",0,set_from))*(Summary!$A$5:$A$241&lt;IF(set_to="",2958465,set_to+1))))</f>
        <v>0</v>
      </c>
    </row>
    <row r="292" spans="1:4">
      <c r="A292" s="87" t="str">
        <f>Settings!A24</f>
        <v>Freedom</v>
      </c>
      <c r="B292" s="87" t="str">
        <f>Settings!B24</f>
        <v>Freedom</v>
      </c>
      <c r="C292" s="87">
        <f>IF(A292="","",SUMPRODUCT((Summary!$E$5:$E$241=A292)*ISNUMBER(SEARCH($B$269,Summary!$H$5:$H$241))*ISNUMBER(Summary!$A$5:$A$241)*(Summary!$A$5:$A$241&gt;=IF(set_from="",0,set_from))*(Summary!$A$5:$A$241&lt;IF(set_to="",2958465,set_to+1))))</f>
        <v>0</v>
      </c>
      <c r="D292" s="87">
        <f>IF(A292="","",SUMPRODUCT((Summary!$E$5:$E$241=A292)*(Summary!$G$5:$G$241="Yes")*ISNUMBER(SEARCH($B$269,Summary!$H$5:$H$241))*ISNUMBER(Summary!$A$5:$A$241)*(Summary!$A$5:$A$241&gt;=IF(set_from="",0,set_from))*(Summary!$A$5:$A$241&lt;IF(set_to="",2958465,set_to+1))))</f>
        <v>0</v>
      </c>
    </row>
    <row r="293" spans="1:4">
      <c r="A293" s="87" t="str">
        <f>Settings!A25</f>
        <v>Heavy case load</v>
      </c>
      <c r="B293" s="87" t="str">
        <f>Settings!B25</f>
        <v>Heavy case load</v>
      </c>
      <c r="C293" s="87">
        <f>IF(A293="","",SUMPRODUCT((Summary!$E$5:$E$241=A293)*ISNUMBER(SEARCH($B$269,Summary!$H$5:$H$241))*ISNUMBER(Summary!$A$5:$A$241)*(Summary!$A$5:$A$241&gt;=IF(set_from="",0,set_from))*(Summary!$A$5:$A$241&lt;IF(set_to="",2958465,set_to+1))))</f>
        <v>0</v>
      </c>
      <c r="D293" s="87">
        <f>IF(A293="","",SUMPRODUCT((Summary!$E$5:$E$241=A293)*(Summary!$G$5:$G$241="Yes")*ISNUMBER(SEARCH($B$269,Summary!$H$5:$H$241))*ISNUMBER(Summary!$A$5:$A$241)*(Summary!$A$5:$A$241&gt;=IF(set_from="",0,set_from))*(Summary!$A$5:$A$241&lt;IF(set_to="",2958465,set_to+1))))</f>
        <v>0</v>
      </c>
    </row>
    <row r="294" spans="1:4">
      <c r="A294" s="87" t="str">
        <f>Settings!A26</f>
        <v>DG Installation issue</v>
      </c>
      <c r="B294" s="87" t="str">
        <f>Settings!B26</f>
        <v>DG Installation issue</v>
      </c>
      <c r="C294" s="87">
        <f>IF(A294="","",SUMPRODUCT((Summary!$E$5:$E$241=A294)*ISNUMBER(SEARCH($B$269,Summary!$H$5:$H$241))*ISNUMBER(Summary!$A$5:$A$241)*(Summary!$A$5:$A$241&gt;=IF(set_from="",0,set_from))*(Summary!$A$5:$A$241&lt;IF(set_to="",2958465,set_to+1))))</f>
        <v>2</v>
      </c>
      <c r="D294" s="87">
        <f>IF(A294="","",SUMPRODUCT((Summary!$E$5:$E$241=A294)*(Summary!$G$5:$G$241="Yes")*ISNUMBER(SEARCH($B$269,Summary!$H$5:$H$241))*ISNUMBER(Summary!$A$5:$A$241)*(Summary!$A$5:$A$241&gt;=IF(set_from="",0,set_from))*(Summary!$A$5:$A$241&lt;IF(set_to="",2958465,set_to+1))))</f>
        <v>0</v>
      </c>
    </row>
    <row r="295" spans="1:4">
      <c r="A295" s="87" t="str">
        <f>Settings!A27</f>
        <v>Unknown</v>
      </c>
      <c r="B295" s="87" t="str">
        <f>Settings!B27</f>
        <v>Unknown</v>
      </c>
      <c r="C295" s="87">
        <f>IF(A295="","",SUMPRODUCT((Summary!$E$5:$E$241=A295)*ISNUMBER(SEARCH($B$269,Summary!$H$5:$H$241))*ISNUMBER(Summary!$A$5:$A$241)*(Summary!$A$5:$A$241&gt;=IF(set_from="",0,set_from))*(Summary!$A$5:$A$241&lt;IF(set_to="",2958465,set_to+1))))</f>
        <v>2</v>
      </c>
      <c r="D295" s="87">
        <f>IF(A295="","",SUMPRODUCT((Summary!$E$5:$E$241=A295)*(Summary!$G$5:$G$241="Yes")*ISNUMBER(SEARCH($B$269,Summary!$H$5:$H$241))*ISNUMBER(Summary!$A$5:$A$241)*(Summary!$A$5:$A$241&gt;=IF(set_from="",0,set_from))*(Summary!$A$5:$A$241&lt;IF(set_to="",2958465,set_to+1))))</f>
        <v>0</v>
      </c>
    </row>
    <row r="296" spans="1:4">
      <c r="A296" s="87" t="str">
        <f>Settings!A28</f>
        <v>Program change - Hussmann</v>
      </c>
      <c r="B296" s="87" t="str">
        <f>Settings!B28</f>
        <v>Program change - Hussmann</v>
      </c>
      <c r="C296" s="87">
        <f>IF(A296="","",SUMPRODUCT((Summary!$E$5:$E$241=A296)*ISNUMBER(SEARCH($B$269,Summary!$H$5:$H$241))*ISNUMBER(Summary!$A$5:$A$241)*(Summary!$A$5:$A$241&gt;=IF(set_from="",0,set_from))*(Summary!$A$5:$A$241&lt;IF(set_to="",2958465,set_to+1))))</f>
        <v>0</v>
      </c>
      <c r="D296" s="87">
        <f>IF(A296="","",SUMPRODUCT((Summary!$E$5:$E$241=A296)*(Summary!$G$5:$G$241="Yes")*ISNUMBER(SEARCH($B$269,Summary!$H$5:$H$241))*ISNUMBER(Summary!$A$5:$A$241)*(Summary!$A$5:$A$241&gt;=IF(set_from="",0,set_from))*(Summary!$A$5:$A$241&lt;IF(set_to="",2958465,set_to+1))))</f>
        <v>0</v>
      </c>
    </row>
    <row r="297" spans="1:4">
      <c r="A297" s="87" t="str">
        <f>Settings!A29</f>
        <v>Wrong program</v>
      </c>
      <c r="B297" s="87" t="str">
        <f>Settings!B29</f>
        <v>Wrong program</v>
      </c>
      <c r="C297" s="87">
        <f>IF(A297="","",SUMPRODUCT((Summary!$E$5:$E$241=A297)*ISNUMBER(SEARCH($B$269,Summary!$H$5:$H$241))*ISNUMBER(Summary!$A$5:$A$241)*(Summary!$A$5:$A$241&gt;=IF(set_from="",0,set_from))*(Summary!$A$5:$A$241&lt;IF(set_to="",2958465,set_to+1))))</f>
        <v>1</v>
      </c>
      <c r="D297" s="87">
        <f>IF(A297="","",SUMPRODUCT((Summary!$E$5:$E$241=A297)*(Summary!$G$5:$G$241="Yes")*ISNUMBER(SEARCH($B$269,Summary!$H$5:$H$241))*ISNUMBER(Summary!$A$5:$A$241)*(Summary!$A$5:$A$241&gt;=IF(set_from="",0,set_from))*(Summary!$A$5:$A$241&lt;IF(set_to="",2958465,set_to+1))))</f>
        <v>0</v>
      </c>
    </row>
    <row r="298" spans="1:4">
      <c r="A298" s="87">
        <f>Settings!A30</f>
        <v>0</v>
      </c>
      <c r="B298" s="87">
        <f>Settings!B30</f>
        <v>0</v>
      </c>
      <c r="C298" s="87">
        <f>IF(A298="","",SUMPRODUCT((Summary!$E$5:$E$241=A298)*ISNUMBER(SEARCH($B$269,Summary!$H$5:$H$241))*ISNUMBER(Summary!$A$5:$A$241)*(Summary!$A$5:$A$241&gt;=IF(set_from="",0,set_from))*(Summary!$A$5:$A$241&lt;IF(set_to="",2958465,set_to+1))))</f>
        <v>0</v>
      </c>
      <c r="D298" s="87">
        <f>IF(A298="","",SUMPRODUCT((Summary!$E$5:$E$241=A298)*(Summary!$G$5:$G$241="Yes")*ISNUMBER(SEARCH($B$269,Summary!$H$5:$H$241))*ISNUMBER(Summary!$A$5:$A$241)*(Summary!$A$5:$A$241&gt;=IF(set_from="",0,set_from))*(Summary!$A$5:$A$241&lt;IF(set_to="",2958465,set_to+1))))</f>
        <v>0</v>
      </c>
    </row>
    <row r="299" spans="1:4">
      <c r="A299" s="87">
        <f>Settings!A31</f>
        <v>0</v>
      </c>
      <c r="B299" s="87">
        <f>Settings!B31</f>
        <v>0</v>
      </c>
      <c r="C299" s="87">
        <f>IF(A299="","",SUMPRODUCT((Summary!$E$5:$E$241=A299)*ISNUMBER(SEARCH($B$269,Summary!$H$5:$H$241))*ISNUMBER(Summary!$A$5:$A$241)*(Summary!$A$5:$A$241&gt;=IF(set_from="",0,set_from))*(Summary!$A$5:$A$241&lt;IF(set_to="",2958465,set_to+1))))</f>
        <v>0</v>
      </c>
      <c r="D299" s="87">
        <f>IF(A299="","",SUMPRODUCT((Summary!$E$5:$E$241=A299)*(Summary!$G$5:$G$241="Yes")*ISNUMBER(SEARCH($B$269,Summary!$H$5:$H$241))*ISNUMBER(Summary!$A$5:$A$241)*(Summary!$A$5:$A$241&gt;=IF(set_from="",0,set_from))*(Summary!$A$5:$A$241&lt;IF(set_to="",2958465,set_to+1))))</f>
        <v>0</v>
      </c>
    </row>
    <row r="300" spans="1:4">
      <c r="A300" s="87">
        <f>Settings!A32</f>
        <v>0</v>
      </c>
      <c r="B300" s="87">
        <f>Settings!B32</f>
        <v>0</v>
      </c>
      <c r="C300" s="87">
        <f>IF(A300="","",SUMPRODUCT((Summary!$E$5:$E$241=A300)*ISNUMBER(SEARCH($B$269,Summary!$H$5:$H$241))*ISNUMBER(Summary!$A$5:$A$241)*(Summary!$A$5:$A$241&gt;=IF(set_from="",0,set_from))*(Summary!$A$5:$A$241&lt;IF(set_to="",2958465,set_to+1))))</f>
        <v>0</v>
      </c>
      <c r="D300" s="87">
        <f>IF(A300="","",SUMPRODUCT((Summary!$E$5:$E$241=A300)*(Summary!$G$5:$G$241="Yes")*ISNUMBER(SEARCH($B$269,Summary!$H$5:$H$241))*ISNUMBER(Summary!$A$5:$A$241)*(Summary!$A$5:$A$241&gt;=IF(set_from="",0,set_from))*(Summary!$A$5:$A$241&lt;IF(set_to="",2958465,set_to+1))))</f>
        <v>0</v>
      </c>
    </row>
    <row r="301" spans="1:4">
      <c r="A301" s="87">
        <f>Settings!A33</f>
        <v>0</v>
      </c>
      <c r="B301" s="87">
        <f>Settings!B33</f>
        <v>0</v>
      </c>
      <c r="C301" s="87">
        <f>IF(A301="","",SUMPRODUCT((Summary!$E$5:$E$241=A301)*ISNUMBER(SEARCH($B$269,Summary!$H$5:$H$241))*ISNUMBER(Summary!$A$5:$A$241)*(Summary!$A$5:$A$241&gt;=IF(set_from="",0,set_from))*(Summary!$A$5:$A$241&lt;IF(set_to="",2958465,set_to+1))))</f>
        <v>0</v>
      </c>
      <c r="D301" s="87">
        <f>IF(A301="","",SUMPRODUCT((Summary!$E$5:$E$241=A301)*(Summary!$G$5:$G$241="Yes")*ISNUMBER(SEARCH($B$269,Summary!$H$5:$H$241))*ISNUMBER(Summary!$A$5:$A$241)*(Summary!$A$5:$A$241&gt;=IF(set_from="",0,set_from))*(Summary!$A$5:$A$241&lt;IF(set_to="",2958465,set_to+1))))</f>
        <v>0</v>
      </c>
    </row>
    <row r="302" spans="1:4">
      <c r="A302" s="87">
        <f>Settings!A34</f>
        <v>0</v>
      </c>
      <c r="B302" s="87">
        <f>Settings!B34</f>
        <v>0</v>
      </c>
      <c r="C302" s="87">
        <f>IF(A302="","",SUMPRODUCT((Summary!$E$5:$E$241=A302)*ISNUMBER(SEARCH($B$269,Summary!$H$5:$H$241))*ISNUMBER(Summary!$A$5:$A$241)*(Summary!$A$5:$A$241&gt;=IF(set_from="",0,set_from))*(Summary!$A$5:$A$241&lt;IF(set_to="",2958465,set_to+1))))</f>
        <v>0</v>
      </c>
      <c r="D302" s="87">
        <f>IF(A302="","",SUMPRODUCT((Summary!$E$5:$E$241=A302)*(Summary!$G$5:$G$241="Yes")*ISNUMBER(SEARCH($B$269,Summary!$H$5:$H$241))*ISNUMBER(Summary!$A$5:$A$241)*(Summary!$A$5:$A$241&gt;=IF(set_from="",0,set_from))*(Summary!$A$5:$A$241&lt;IF(set_to="",2958465,set_to+1))))</f>
        <v>0</v>
      </c>
    </row>
    <row r="303" spans="1:4">
      <c r="A303" s="87">
        <f>Settings!A35</f>
        <v>0</v>
      </c>
      <c r="B303" s="87">
        <f>Settings!B35</f>
        <v>0</v>
      </c>
      <c r="C303" s="87">
        <f>IF(A303="","",SUMPRODUCT((Summary!$E$5:$E$241=A303)*ISNUMBER(SEARCH($B$269,Summary!$H$5:$H$241))*ISNUMBER(Summary!$A$5:$A$241)*(Summary!$A$5:$A$241&gt;=IF(set_from="",0,set_from))*(Summary!$A$5:$A$241&lt;IF(set_to="",2958465,set_to+1))))</f>
        <v>0</v>
      </c>
      <c r="D303" s="87">
        <f>IF(A303="","",SUMPRODUCT((Summary!$E$5:$E$241=A303)*(Summary!$G$5:$G$241="Yes")*ISNUMBER(SEARCH($B$269,Summary!$H$5:$H$241))*ISNUMBER(Summary!$A$5:$A$241)*(Summary!$A$5:$A$241&gt;=IF(set_from="",0,set_from))*(Summary!$A$5:$A$241&lt;IF(set_to="",2958465,set_to+1))))</f>
        <v>0</v>
      </c>
    </row>
    <row r="304" spans="1:4">
      <c r="A304" s="87">
        <f>Settings!A36</f>
        <v>0</v>
      </c>
      <c r="B304" s="87">
        <f>Settings!B36</f>
        <v>0</v>
      </c>
      <c r="C304" s="87">
        <f>IF(A304="","",SUMPRODUCT((Summary!$E$5:$E$241=A304)*ISNUMBER(SEARCH($B$269,Summary!$H$5:$H$241))*ISNUMBER(Summary!$A$5:$A$241)*(Summary!$A$5:$A$241&gt;=IF(set_from="",0,set_from))*(Summary!$A$5:$A$241&lt;IF(set_to="",2958465,set_to+1))))</f>
        <v>0</v>
      </c>
      <c r="D304" s="87">
        <f>IF(A304="","",SUMPRODUCT((Summary!$E$5:$E$241=A304)*(Summary!$G$5:$G$241="Yes")*ISNUMBER(SEARCH($B$269,Summary!$H$5:$H$241))*ISNUMBER(Summary!$A$5:$A$241)*(Summary!$A$5:$A$241&gt;=IF(set_from="",0,set_from))*(Summary!$A$5:$A$241&lt;IF(set_to="",2958465,set_to+1))))</f>
        <v>0</v>
      </c>
    </row>
    <row r="305" spans="1:4">
      <c r="A305" s="87">
        <f>Settings!A37</f>
        <v>0</v>
      </c>
      <c r="B305" s="87">
        <f>Settings!B37</f>
        <v>0</v>
      </c>
      <c r="C305" s="87">
        <f>IF(A305="","",SUMPRODUCT((Summary!$E$5:$E$241=A305)*ISNUMBER(SEARCH($B$269,Summary!$H$5:$H$241))*ISNUMBER(Summary!$A$5:$A$241)*(Summary!$A$5:$A$241&gt;=IF(set_from="",0,set_from))*(Summary!$A$5:$A$241&lt;IF(set_to="",2958465,set_to+1))))</f>
        <v>0</v>
      </c>
      <c r="D305" s="87">
        <f>IF(A305="","",SUMPRODUCT((Summary!$E$5:$E$241=A305)*(Summary!$G$5:$G$241="Yes")*ISNUMBER(SEARCH($B$269,Summary!$H$5:$H$241))*ISNUMBER(Summary!$A$5:$A$241)*(Summary!$A$5:$A$241&gt;=IF(set_from="",0,set_from))*(Summary!$A$5:$A$241&lt;IF(set_to="",2958465,set_to+1))))</f>
        <v>0</v>
      </c>
    </row>
    <row r="306" spans="1:4">
      <c r="A306" s="87">
        <f>Settings!A38</f>
        <v>0</v>
      </c>
      <c r="B306" s="87">
        <f>Settings!B38</f>
        <v>0</v>
      </c>
      <c r="C306" s="87">
        <f>IF(A306="","",SUMPRODUCT((Summary!$E$5:$E$241=A306)*ISNUMBER(SEARCH($B$269,Summary!$H$5:$H$241))*ISNUMBER(Summary!$A$5:$A$241)*(Summary!$A$5:$A$241&gt;=IF(set_from="",0,set_from))*(Summary!$A$5:$A$241&lt;IF(set_to="",2958465,set_to+1))))</f>
        <v>0</v>
      </c>
      <c r="D306" s="87">
        <f>IF(A306="","",SUMPRODUCT((Summary!$E$5:$E$241=A306)*(Summary!$G$5:$G$241="Yes")*ISNUMBER(SEARCH($B$269,Summary!$H$5:$H$241))*ISNUMBER(Summary!$A$5:$A$241)*(Summary!$A$5:$A$241&gt;=IF(set_from="",0,set_from))*(Summary!$A$5:$A$241&lt;IF(set_to="",2958465,set_to+1))))</f>
        <v>0</v>
      </c>
    </row>
    <row r="307" spans="1:4">
      <c r="A307" s="87">
        <f>Settings!A39</f>
        <v>0</v>
      </c>
      <c r="B307" s="87">
        <f>Settings!B39</f>
        <v>0</v>
      </c>
      <c r="C307" s="87">
        <f>IF(A307="","",SUMPRODUCT((Summary!$E$5:$E$241=A307)*ISNUMBER(SEARCH($B$269,Summary!$H$5:$H$241))*ISNUMBER(Summary!$A$5:$A$241)*(Summary!$A$5:$A$241&gt;=IF(set_from="",0,set_from))*(Summary!$A$5:$A$241&lt;IF(set_to="",2958465,set_to+1))))</f>
        <v>0</v>
      </c>
      <c r="D307" s="87">
        <f>IF(A307="","",SUMPRODUCT((Summary!$E$5:$E$241=A307)*(Summary!$G$5:$G$241="Yes")*ISNUMBER(SEARCH($B$269,Summary!$H$5:$H$241))*ISNUMBER(Summary!$A$5:$A$241)*(Summary!$A$5:$A$241&gt;=IF(set_from="",0,set_from))*(Summary!$A$5:$A$241&lt;IF(set_to="",2958465,set_to+1))))</f>
        <v>0</v>
      </c>
    </row>
    <row r="308" spans="1:4">
      <c r="A308" s="87">
        <f>Settings!A40</f>
        <v>0</v>
      </c>
      <c r="B308" s="87">
        <f>Settings!B40</f>
        <v>0</v>
      </c>
      <c r="C308" s="87">
        <f>IF(A308="","",SUMPRODUCT((Summary!$E$5:$E$241=A308)*ISNUMBER(SEARCH($B$269,Summary!$H$5:$H$241))*ISNUMBER(Summary!$A$5:$A$241)*(Summary!$A$5:$A$241&gt;=IF(set_from="",0,set_from))*(Summary!$A$5:$A$241&lt;IF(set_to="",2958465,set_to+1))))</f>
        <v>0</v>
      </c>
      <c r="D308" s="87">
        <f>IF(A308="","",SUMPRODUCT((Summary!$E$5:$E$241=A308)*(Summary!$G$5:$G$241="Yes")*ISNUMBER(SEARCH($B$269,Summary!$H$5:$H$241))*ISNUMBER(Summary!$A$5:$A$241)*(Summary!$A$5:$A$241&gt;=IF(set_from="",0,set_from))*(Summary!$A$5:$A$241&lt;IF(set_to="",2958465,set_to+1))))</f>
        <v>0</v>
      </c>
    </row>
    <row r="309" spans="1:4">
      <c r="A309" s="87">
        <f>Settings!A41</f>
        <v>0</v>
      </c>
      <c r="B309" s="87">
        <f>Settings!B41</f>
        <v>0</v>
      </c>
      <c r="C309" s="87">
        <f>IF(A309="","",SUMPRODUCT((Summary!$E$5:$E$241=A309)*ISNUMBER(SEARCH($B$269,Summary!$H$5:$H$241))*ISNUMBER(Summary!$A$5:$A$241)*(Summary!$A$5:$A$241&gt;=IF(set_from="",0,set_from))*(Summary!$A$5:$A$241&lt;IF(set_to="",2958465,set_to+1))))</f>
        <v>0</v>
      </c>
      <c r="D309" s="87">
        <f>IF(A309="","",SUMPRODUCT((Summary!$E$5:$E$241=A309)*(Summary!$G$5:$G$241="Yes")*ISNUMBER(SEARCH($B$269,Summary!$H$5:$H$241))*ISNUMBER(Summary!$A$5:$A$241)*(Summary!$A$5:$A$241&gt;=IF(set_from="",0,set_from))*(Summary!$A$5:$A$241&lt;IF(set_to="",2958465,set_to+1))))</f>
        <v>0</v>
      </c>
    </row>
    <row r="310" spans="1:4">
      <c r="A310" s="87">
        <f>Settings!A42</f>
        <v>0</v>
      </c>
      <c r="B310" s="87">
        <f>Settings!B42</f>
        <v>0</v>
      </c>
      <c r="C310" s="87">
        <f>IF(A310="","",SUMPRODUCT((Summary!$E$5:$E$241=A310)*ISNUMBER(SEARCH($B$269,Summary!$H$5:$H$241))*ISNUMBER(Summary!$A$5:$A$241)*(Summary!$A$5:$A$241&gt;=IF(set_from="",0,set_from))*(Summary!$A$5:$A$241&lt;IF(set_to="",2958465,set_to+1))))</f>
        <v>0</v>
      </c>
      <c r="D310" s="87">
        <f>IF(A310="","",SUMPRODUCT((Summary!$E$5:$E$241=A310)*(Summary!$G$5:$G$241="Yes")*ISNUMBER(SEARCH($B$269,Summary!$H$5:$H$241))*ISNUMBER(Summary!$A$5:$A$241)*(Summary!$A$5:$A$241&gt;=IF(set_from="",0,set_from))*(Summary!$A$5:$A$241&lt;IF(set_to="",2958465,set_to+1))))</f>
        <v>0</v>
      </c>
    </row>
    <row r="311" spans="1:4">
      <c r="A311" s="87">
        <f>Settings!A43</f>
        <v>0</v>
      </c>
      <c r="B311" s="87">
        <f>Settings!B43</f>
        <v>0</v>
      </c>
      <c r="C311" s="87">
        <f>IF(A311="","",SUMPRODUCT((Summary!$E$5:$E$241=A311)*ISNUMBER(SEARCH($B$269,Summary!$H$5:$H$241))*ISNUMBER(Summary!$A$5:$A$241)*(Summary!$A$5:$A$241&gt;=IF(set_from="",0,set_from))*(Summary!$A$5:$A$241&lt;IF(set_to="",2958465,set_to+1))))</f>
        <v>0</v>
      </c>
      <c r="D311" s="87">
        <f>IF(A311="","",SUMPRODUCT((Summary!$E$5:$E$241=A311)*(Summary!$G$5:$G$241="Yes")*ISNUMBER(SEARCH($B$269,Summary!$H$5:$H$241))*ISNUMBER(Summary!$A$5:$A$241)*(Summary!$A$5:$A$241&gt;=IF(set_from="",0,set_from))*(Summary!$A$5:$A$241&lt;IF(set_to="",2958465,set_to+1))))</f>
        <v>0</v>
      </c>
    </row>
    <row r="312" spans="1:4">
      <c r="A312" s="87">
        <f>Settings!A44</f>
        <v>0</v>
      </c>
      <c r="B312" s="87">
        <f>Settings!B44</f>
        <v>0</v>
      </c>
      <c r="C312" s="87">
        <f>IF(A312="","",SUMPRODUCT((Summary!$E$5:$E$241=A312)*ISNUMBER(SEARCH($B$269,Summary!$H$5:$H$241))*ISNUMBER(Summary!$A$5:$A$241)*(Summary!$A$5:$A$241&gt;=IF(set_from="",0,set_from))*(Summary!$A$5:$A$241&lt;IF(set_to="",2958465,set_to+1))))</f>
        <v>0</v>
      </c>
      <c r="D312" s="87">
        <f>IF(A312="","",SUMPRODUCT((Summary!$E$5:$E$241=A312)*(Summary!$G$5:$G$241="Yes")*ISNUMBER(SEARCH($B$269,Summary!$H$5:$H$241))*ISNUMBER(Summary!$A$5:$A$241)*(Summary!$A$5:$A$241&gt;=IF(set_from="",0,set_from))*(Summary!$A$5:$A$241&lt;IF(set_to="",2958465,set_to+1))))</f>
        <v>0</v>
      </c>
    </row>
    <row r="313" spans="1:4">
      <c r="A313" s="87">
        <f>Settings!A45</f>
        <v>0</v>
      </c>
      <c r="B313" s="87">
        <f>Settings!B45</f>
        <v>0</v>
      </c>
      <c r="C313" s="87">
        <f>IF(A313="","",SUMPRODUCT((Summary!$E$5:$E$241=A313)*ISNUMBER(SEARCH($B$269,Summary!$H$5:$H$241))*ISNUMBER(Summary!$A$5:$A$241)*(Summary!$A$5:$A$241&gt;=IF(set_from="",0,set_from))*(Summary!$A$5:$A$241&lt;IF(set_to="",2958465,set_to+1))))</f>
        <v>0</v>
      </c>
      <c r="D313" s="87">
        <f>IF(A313="","",SUMPRODUCT((Summary!$E$5:$E$241=A313)*(Summary!$G$5:$G$241="Yes")*ISNUMBER(SEARCH($B$269,Summary!$H$5:$H$241))*ISNUMBER(Summary!$A$5:$A$241)*(Summary!$A$5:$A$241&gt;=IF(set_from="",0,set_from))*(Summary!$A$5:$A$241&lt;IF(set_to="",2958465,set_to+1))))</f>
        <v>0</v>
      </c>
    </row>
    <row r="314" spans="1:4">
      <c r="A314" s="87">
        <f>Settings!A46</f>
        <v>0</v>
      </c>
      <c r="B314" s="87">
        <f>Settings!B46</f>
        <v>0</v>
      </c>
      <c r="C314" s="87">
        <f>IF(A314="","",SUMPRODUCT((Summary!$E$5:$E$241=A314)*ISNUMBER(SEARCH($B$269,Summary!$H$5:$H$241))*ISNUMBER(Summary!$A$5:$A$241)*(Summary!$A$5:$A$241&gt;=IF(set_from="",0,set_from))*(Summary!$A$5:$A$241&lt;IF(set_to="",2958465,set_to+1))))</f>
        <v>0</v>
      </c>
      <c r="D314" s="87">
        <f>IF(A314="","",SUMPRODUCT((Summary!$E$5:$E$241=A314)*(Summary!$G$5:$G$241="Yes")*ISNUMBER(SEARCH($B$269,Summary!$H$5:$H$241))*ISNUMBER(Summary!$A$5:$A$241)*(Summary!$A$5:$A$241&gt;=IF(set_from="",0,set_from))*(Summary!$A$5:$A$241&lt;IF(set_to="",2958465,set_to+1))))</f>
        <v>0</v>
      </c>
    </row>
    <row r="315" spans="1:4">
      <c r="A315" s="87">
        <f>Settings!A47</f>
        <v>0</v>
      </c>
      <c r="B315" s="87">
        <f>Settings!B47</f>
        <v>0</v>
      </c>
      <c r="C315" s="87">
        <f>IF(A315="","",SUMPRODUCT((Summary!$E$5:$E$241=A315)*ISNUMBER(SEARCH($B$269,Summary!$H$5:$H$241))*ISNUMBER(Summary!$A$5:$A$241)*(Summary!$A$5:$A$241&gt;=IF(set_from="",0,set_from))*(Summary!$A$5:$A$241&lt;IF(set_to="",2958465,set_to+1))))</f>
        <v>0</v>
      </c>
      <c r="D315" s="87">
        <f>IF(A315="","",SUMPRODUCT((Summary!$E$5:$E$241=A315)*(Summary!$G$5:$G$241="Yes")*ISNUMBER(SEARCH($B$269,Summary!$H$5:$H$241))*ISNUMBER(Summary!$A$5:$A$241)*(Summary!$A$5:$A$241&gt;=IF(set_from="",0,set_from))*(Summary!$A$5:$A$241&lt;IF(set_to="",2958465,set_to+1))))</f>
        <v>0</v>
      </c>
    </row>
    <row r="316" spans="1:4">
      <c r="A316" s="87">
        <f>Settings!A48</f>
        <v>0</v>
      </c>
      <c r="B316" s="87">
        <f>Settings!B48</f>
        <v>0</v>
      </c>
      <c r="C316" s="87">
        <f>IF(A316="","",SUMPRODUCT((Summary!$E$5:$E$241=A316)*ISNUMBER(SEARCH($B$269,Summary!$H$5:$H$241))*ISNUMBER(Summary!$A$5:$A$241)*(Summary!$A$5:$A$241&gt;=IF(set_from="",0,set_from))*(Summary!$A$5:$A$241&lt;IF(set_to="",2958465,set_to+1))))</f>
        <v>0</v>
      </c>
      <c r="D316" s="87">
        <f>IF(A316="","",SUMPRODUCT((Summary!$E$5:$E$241=A316)*(Summary!$G$5:$G$241="Yes")*ISNUMBER(SEARCH($B$269,Summary!$H$5:$H$241))*ISNUMBER(Summary!$A$5:$A$241)*(Summary!$A$5:$A$241&gt;=IF(set_from="",0,set_from))*(Summary!$A$5:$A$241&lt;IF(set_to="",2958465,set_to+1))))</f>
        <v>0</v>
      </c>
    </row>
    <row r="317" spans="1:4">
      <c r="A317" s="87">
        <f>Settings!A49</f>
        <v>0</v>
      </c>
      <c r="B317" s="87">
        <f>Settings!B49</f>
        <v>0</v>
      </c>
      <c r="C317" s="87">
        <f>IF(A317="","",SUMPRODUCT((Summary!$E$5:$E$241=A317)*ISNUMBER(SEARCH($B$269,Summary!$H$5:$H$241))*ISNUMBER(Summary!$A$5:$A$241)*(Summary!$A$5:$A$241&gt;=IF(set_from="",0,set_from))*(Summary!$A$5:$A$241&lt;IF(set_to="",2958465,set_to+1))))</f>
        <v>0</v>
      </c>
      <c r="D317" s="87">
        <f>IF(A317="","",SUMPRODUCT((Summary!$E$5:$E$241=A317)*(Summary!$G$5:$G$241="Yes")*ISNUMBER(SEARCH($B$269,Summary!$H$5:$H$241))*ISNUMBER(Summary!$A$5:$A$241)*(Summary!$A$5:$A$241&gt;=IF(set_from="",0,set_from))*(Summary!$A$5:$A$241&lt;IF(set_to="",2958465,set_to+1))))</f>
        <v>0</v>
      </c>
    </row>
    <row r="318" spans="1:4">
      <c r="A318" s="87">
        <f>Settings!A50</f>
        <v>0</v>
      </c>
      <c r="B318" s="87">
        <f>Settings!B50</f>
        <v>0</v>
      </c>
      <c r="C318" s="87">
        <f>IF(A318="","",SUMPRODUCT((Summary!$E$5:$E$241=A318)*ISNUMBER(SEARCH($B$269,Summary!$H$5:$H$241))*ISNUMBER(Summary!$A$5:$A$241)*(Summary!$A$5:$A$241&gt;=IF(set_from="",0,set_from))*(Summary!$A$5:$A$241&lt;IF(set_to="",2958465,set_to+1))))</f>
        <v>0</v>
      </c>
      <c r="D318" s="87">
        <f>IF(A318="","",SUMPRODUCT((Summary!$E$5:$E$241=A318)*(Summary!$G$5:$G$241="Yes")*ISNUMBER(SEARCH($B$269,Summary!$H$5:$H$241))*ISNUMBER(Summary!$A$5:$A$241)*(Summary!$A$5:$A$241&gt;=IF(set_from="",0,set_from))*(Summary!$A$5:$A$241&lt;IF(set_to="",2958465,set_to+1))))</f>
        <v>0</v>
      </c>
    </row>
    <row r="319" spans="1:4">
      <c r="A319" s="87">
        <f>Settings!A51</f>
        <v>0</v>
      </c>
      <c r="B319" s="87">
        <f>Settings!B51</f>
        <v>0</v>
      </c>
      <c r="C319" s="87">
        <f>IF(A319="","",SUMPRODUCT((Summary!$E$5:$E$241=A319)*ISNUMBER(SEARCH($B$269,Summary!$H$5:$H$241))*ISNUMBER(Summary!$A$5:$A$241)*(Summary!$A$5:$A$241&gt;=IF(set_from="",0,set_from))*(Summary!$A$5:$A$241&lt;IF(set_to="",2958465,set_to+1))))</f>
        <v>0</v>
      </c>
      <c r="D319" s="87">
        <f>IF(A319="","",SUMPRODUCT((Summary!$E$5:$E$241=A319)*(Summary!$G$5:$G$241="Yes")*ISNUMBER(SEARCH($B$269,Summary!$H$5:$H$241))*ISNUMBER(Summary!$A$5:$A$241)*(Summary!$A$5:$A$241&gt;=IF(set_from="",0,set_from))*(Summary!$A$5:$A$241&lt;IF(set_to="",2958465,set_to+1))))</f>
        <v>0</v>
      </c>
    </row>
    <row r="320" spans="1:4">
      <c r="A320" s="87">
        <f>Settings!A52</f>
        <v>0</v>
      </c>
      <c r="B320" s="87">
        <f>Settings!B52</f>
        <v>0</v>
      </c>
      <c r="C320" s="87">
        <f>IF(A320="","",SUMPRODUCT((Summary!$E$5:$E$241=A320)*ISNUMBER(SEARCH($B$269,Summary!$H$5:$H$241))*ISNUMBER(Summary!$A$5:$A$241)*(Summary!$A$5:$A$241&gt;=IF(set_from="",0,set_from))*(Summary!$A$5:$A$241&lt;IF(set_to="",2958465,set_to+1))))</f>
        <v>0</v>
      </c>
      <c r="D320" s="87">
        <f>IF(A320="","",SUMPRODUCT((Summary!$E$5:$E$241=A320)*(Summary!$G$5:$G$241="Yes")*ISNUMBER(SEARCH($B$269,Summary!$H$5:$H$241))*ISNUMBER(Summary!$A$5:$A$241)*(Summary!$A$5:$A$241&gt;=IF(set_from="",0,set_from))*(Summary!$A$5:$A$241&lt;IF(set_to="",2958465,set_to+1))))</f>
        <v>0</v>
      </c>
    </row>
    <row r="321" spans="1:5">
      <c r="A321" s="87">
        <f>Settings!A53</f>
        <v>0</v>
      </c>
      <c r="B321" s="87">
        <f>Settings!B53</f>
        <v>0</v>
      </c>
      <c r="C321" s="87">
        <f>IF(A321="","",SUMPRODUCT((Summary!$E$5:$E$241=A321)*ISNUMBER(SEARCH($B$269,Summary!$H$5:$H$241))*ISNUMBER(Summary!$A$5:$A$241)*(Summary!$A$5:$A$241&gt;=IF(set_from="",0,set_from))*(Summary!$A$5:$A$241&lt;IF(set_to="",2958465,set_to+1))))</f>
        <v>0</v>
      </c>
      <c r="D321" s="87">
        <f>IF(A321="","",SUMPRODUCT((Summary!$E$5:$E$241=A321)*(Summary!$G$5:$G$241="Yes")*ISNUMBER(SEARCH($B$269,Summary!$H$5:$H$241))*ISNUMBER(Summary!$A$5:$A$241)*(Summary!$A$5:$A$241&gt;=IF(set_from="",0,set_from))*(Summary!$A$5:$A$241&lt;IF(set_to="",2958465,set_to+1))))</f>
        <v>0</v>
      </c>
    </row>
    <row r="322" spans="1:5">
      <c r="A322" s="87">
        <f>Settings!A54</f>
        <v>0</v>
      </c>
      <c r="B322" s="87">
        <f>Settings!B54</f>
        <v>0</v>
      </c>
      <c r="C322" s="87">
        <f>IF(A322="","",SUMPRODUCT((Summary!$E$5:$E$241=A322)*ISNUMBER(SEARCH($B$269,Summary!$H$5:$H$241))*ISNUMBER(Summary!$A$5:$A$241)*(Summary!$A$5:$A$241&gt;=IF(set_from="",0,set_from))*(Summary!$A$5:$A$241&lt;IF(set_to="",2958465,set_to+1))))</f>
        <v>0</v>
      </c>
      <c r="D322" s="87">
        <f>IF(A322="","",SUMPRODUCT((Summary!$E$5:$E$241=A322)*(Summary!$G$5:$G$241="Yes")*ISNUMBER(SEARCH($B$269,Summary!$H$5:$H$241))*ISNUMBER(Summary!$A$5:$A$241)*(Summary!$A$5:$A$241&gt;=IF(set_from="",0,set_from))*(Summary!$A$5:$A$241&lt;IF(set_to="",2958465,set_to+1))))</f>
        <v>0</v>
      </c>
    </row>
    <row r="323" spans="1:5">
      <c r="A323" s="87">
        <f>Settings!A55</f>
        <v>0</v>
      </c>
      <c r="B323" s="87">
        <f>Settings!B55</f>
        <v>0</v>
      </c>
      <c r="C323" s="87">
        <f>IF(A323="","",SUMPRODUCT((Summary!$E$5:$E$241=A323)*ISNUMBER(SEARCH($B$269,Summary!$H$5:$H$241))*ISNUMBER(Summary!$A$5:$A$241)*(Summary!$A$5:$A$241&gt;=IF(set_from="",0,set_from))*(Summary!$A$5:$A$241&lt;IF(set_to="",2958465,set_to+1))))</f>
        <v>0</v>
      </c>
      <c r="D323" s="87">
        <f>IF(A323="","",SUMPRODUCT((Summary!$E$5:$E$241=A323)*(Summary!$G$5:$G$241="Yes")*ISNUMBER(SEARCH($B$269,Summary!$H$5:$H$241))*ISNUMBER(Summary!$A$5:$A$241)*(Summary!$A$5:$A$241&gt;=IF(set_from="",0,set_from))*(Summary!$A$5:$A$241&lt;IF(set_to="",2958465,set_to+1))))</f>
        <v>0</v>
      </c>
    </row>
    <row r="324" spans="1:5">
      <c r="A324" s="87">
        <f>Settings!A56</f>
        <v>0</v>
      </c>
      <c r="B324" s="87">
        <f>Settings!B56</f>
        <v>0</v>
      </c>
      <c r="C324" s="87">
        <f>IF(A324="","",SUMPRODUCT((Summary!$E$5:$E$241=A324)*ISNUMBER(SEARCH($B$269,Summary!$H$5:$H$241))*ISNUMBER(Summary!$A$5:$A$241)*(Summary!$A$5:$A$241&gt;=IF(set_from="",0,set_from))*(Summary!$A$5:$A$241&lt;IF(set_to="",2958465,set_to+1))))</f>
        <v>0</v>
      </c>
      <c r="D324" s="87">
        <f>IF(A324="","",SUMPRODUCT((Summary!$E$5:$E$241=A324)*(Summary!$G$5:$G$241="Yes")*ISNUMBER(SEARCH($B$269,Summary!$H$5:$H$241))*ISNUMBER(Summary!$A$5:$A$241)*(Summary!$A$5:$A$241&gt;=IF(set_from="",0,set_from))*(Summary!$A$5:$A$241&lt;IF(set_to="",2958465,set_to+1))))</f>
        <v>0</v>
      </c>
    </row>
    <row r="325" spans="1:5">
      <c r="A325" s="87">
        <f>Settings!A57</f>
        <v>0</v>
      </c>
      <c r="B325" s="87">
        <f>Settings!B57</f>
        <v>0</v>
      </c>
      <c r="C325" s="87">
        <f>IF(A325="","",SUMPRODUCT((Summary!$E$5:$E$241=A325)*ISNUMBER(SEARCH($B$269,Summary!$H$5:$H$241))*ISNUMBER(Summary!$A$5:$A$241)*(Summary!$A$5:$A$241&gt;=IF(set_from="",0,set_from))*(Summary!$A$5:$A$241&lt;IF(set_to="",2958465,set_to+1))))</f>
        <v>0</v>
      </c>
      <c r="D325" s="87">
        <f>IF(A325="","",SUMPRODUCT((Summary!$E$5:$E$241=A325)*(Summary!$G$5:$G$241="Yes")*ISNUMBER(SEARCH($B$269,Summary!$H$5:$H$241))*ISNUMBER(Summary!$A$5:$A$241)*(Summary!$A$5:$A$241&gt;=IF(set_from="",0,set_from))*(Summary!$A$5:$A$241&lt;IF(set_to="",2958465,set_to+1))))</f>
        <v>0</v>
      </c>
    </row>
    <row r="326" spans="1:5">
      <c r="A326" s="87">
        <f>Settings!A58</f>
        <v>0</v>
      </c>
      <c r="B326" s="87">
        <f>Settings!B58</f>
        <v>0</v>
      </c>
      <c r="C326" s="87">
        <f>IF(A326="","",SUMPRODUCT((Summary!$E$5:$E$241=A326)*ISNUMBER(SEARCH($B$269,Summary!$H$5:$H$241))*ISNUMBER(Summary!$A$5:$A$241)*(Summary!$A$5:$A$241&gt;=IF(set_from="",0,set_from))*(Summary!$A$5:$A$241&lt;IF(set_to="",2958465,set_to+1))))</f>
        <v>0</v>
      </c>
      <c r="D326" s="87">
        <f>IF(A326="","",SUMPRODUCT((Summary!$E$5:$E$241=A326)*(Summary!$G$5:$G$241="Yes")*ISNUMBER(SEARCH($B$269,Summary!$H$5:$H$241))*ISNUMBER(Summary!$A$5:$A$241)*(Summary!$A$5:$A$241&gt;=IF(set_from="",0,set_from))*(Summary!$A$5:$A$241&lt;IF(set_to="",2958465,set_to+1))))</f>
        <v>0</v>
      </c>
    </row>
    <row r="327" spans="1:5">
      <c r="A327" s="87">
        <f>Settings!A59</f>
        <v>0</v>
      </c>
      <c r="B327" s="87">
        <f>Settings!B59</f>
        <v>0</v>
      </c>
      <c r="C327" s="87">
        <f>IF(A327="","",SUMPRODUCT((Summary!$E$5:$E$241=A327)*ISNUMBER(SEARCH($B$269,Summary!$H$5:$H$241))*ISNUMBER(Summary!$A$5:$A$241)*(Summary!$A$5:$A$241&gt;=IF(set_from="",0,set_from))*(Summary!$A$5:$A$241&lt;IF(set_to="",2958465,set_to+1))))</f>
        <v>0</v>
      </c>
      <c r="D327" s="87">
        <f>IF(A327="","",SUMPRODUCT((Summary!$E$5:$E$241=A327)*(Summary!$G$5:$G$241="Yes")*ISNUMBER(SEARCH($B$269,Summary!$H$5:$H$241))*ISNUMBER(Summary!$A$5:$A$241)*(Summary!$A$5:$A$241&gt;=IF(set_from="",0,set_from))*(Summary!$A$5:$A$241&lt;IF(set_to="",2958465,set_to+1))))</f>
        <v>0</v>
      </c>
    </row>
    <row r="330" spans="1:5">
      <c r="A330" s="119" t="s">
        <v>1257</v>
      </c>
      <c r="B330" s="119" t="s">
        <v>1281</v>
      </c>
      <c r="C330" s="119" t="s">
        <v>1574</v>
      </c>
      <c r="D330" s="119" t="s">
        <v>1561</v>
      </c>
      <c r="E330" s="119" t="s">
        <v>1644</v>
      </c>
    </row>
    <row r="331" spans="1:5">
      <c r="A331" s="87" t="str">
        <f t="shared" ref="A331:A355" si="2">A36</f>
        <v>Ref. leak/ Low charge</v>
      </c>
      <c r="B331" s="87">
        <f t="shared" ref="B331:B355" si="3">IF(A331="","",SUMIF($B$272:$B$327,A331,$C$272:$C$327))</f>
        <v>0</v>
      </c>
      <c r="C331" s="87">
        <f t="shared" ref="C331:C355" si="4">IF(A331="","",SUMIF($B$272:$B$327,A331,$D$272:$D$327))</f>
        <v>0</v>
      </c>
      <c r="D331" s="87">
        <f>IF(A331="","",B331+(25/set_tiebreakDivisor))</f>
        <v>2.5000000000000001E-4</v>
      </c>
    </row>
    <row r="332" spans="1:5">
      <c r="A332" s="87" t="str">
        <f t="shared" si="2"/>
        <v>Doors</v>
      </c>
      <c r="B332" s="87">
        <f t="shared" si="3"/>
        <v>11</v>
      </c>
      <c r="C332" s="87">
        <f t="shared" si="4"/>
        <v>1</v>
      </c>
      <c r="D332" s="87">
        <f>IF(A332="","",B332+(24/set_tiebreakDivisor))</f>
        <v>11.00024</v>
      </c>
    </row>
    <row r="333" spans="1:5">
      <c r="A333" s="87" t="str">
        <f t="shared" si="2"/>
        <v>Drain tube blocked</v>
      </c>
      <c r="B333" s="87">
        <f t="shared" si="3"/>
        <v>2</v>
      </c>
      <c r="C333" s="87">
        <f t="shared" si="4"/>
        <v>0</v>
      </c>
      <c r="D333" s="87">
        <f>IF(A333="","",B333+(23/set_tiebreakDivisor))</f>
        <v>2.0002300000000002</v>
      </c>
    </row>
    <row r="334" spans="1:5">
      <c r="A334" s="87" t="str">
        <f t="shared" si="2"/>
        <v>Wrong / Loose wiring</v>
      </c>
      <c r="B334" s="87">
        <f t="shared" si="3"/>
        <v>2</v>
      </c>
      <c r="C334" s="87">
        <f t="shared" si="4"/>
        <v>2</v>
      </c>
      <c r="D334" s="87">
        <f>IF(A334="","",B334+(22/set_tiebreakDivisor))</f>
        <v>2.0002200000000001</v>
      </c>
    </row>
    <row r="335" spans="1:5">
      <c r="A335" s="87" t="str">
        <f t="shared" si="2"/>
        <v>Communication problem</v>
      </c>
      <c r="B335" s="87">
        <f t="shared" si="3"/>
        <v>0</v>
      </c>
      <c r="C335" s="87">
        <f t="shared" si="4"/>
        <v>0</v>
      </c>
      <c r="D335" s="87">
        <f>IF(A335="","",B335+(21/set_tiebreakDivisor))</f>
        <v>2.1000000000000001E-4</v>
      </c>
    </row>
    <row r="336" spans="1:5">
      <c r="A336" s="87" t="str">
        <f t="shared" si="2"/>
        <v>High Store RH</v>
      </c>
      <c r="B336" s="87">
        <f t="shared" si="3"/>
        <v>5</v>
      </c>
      <c r="C336" s="87">
        <f t="shared" si="4"/>
        <v>2</v>
      </c>
      <c r="D336" s="87">
        <f>IF(A336="","",B336+(20/set_tiebreakDivisor))</f>
        <v>5.0002000000000004</v>
      </c>
    </row>
    <row r="337" spans="1:4">
      <c r="A337" s="87" t="str">
        <f t="shared" si="2"/>
        <v>Enclosure Seal</v>
      </c>
      <c r="B337" s="87">
        <f t="shared" si="3"/>
        <v>0</v>
      </c>
      <c r="C337" s="87">
        <f t="shared" si="4"/>
        <v>0</v>
      </c>
      <c r="D337" s="87">
        <f>IF(A337="","",B337+(19/set_tiebreakDivisor))</f>
        <v>1.9000000000000001E-4</v>
      </c>
    </row>
    <row r="338" spans="1:4">
      <c r="A338" s="87" t="str">
        <f t="shared" si="2"/>
        <v>Component Failure</v>
      </c>
      <c r="B338" s="87">
        <f t="shared" si="3"/>
        <v>0</v>
      </c>
      <c r="C338" s="87">
        <f t="shared" si="4"/>
        <v>0</v>
      </c>
      <c r="D338" s="87">
        <f>IF(A338="","",B338+(18/set_tiebreakDivisor))</f>
        <v>1.8000000000000001E-4</v>
      </c>
    </row>
    <row r="339" spans="1:4">
      <c r="A339" s="87" t="str">
        <f t="shared" si="2"/>
        <v>Defrost Sync</v>
      </c>
      <c r="B339" s="87">
        <f t="shared" si="3"/>
        <v>0</v>
      </c>
      <c r="C339" s="87">
        <f t="shared" si="4"/>
        <v>0</v>
      </c>
      <c r="D339" s="87">
        <f>IF(A339="","",B339+(17/set_tiebreakDivisor))</f>
        <v>1.7000000000000001E-4</v>
      </c>
    </row>
    <row r="340" spans="1:4">
      <c r="A340" s="87" t="str">
        <f t="shared" si="2"/>
        <v>False Alarm</v>
      </c>
      <c r="B340" s="87">
        <f t="shared" si="3"/>
        <v>4</v>
      </c>
      <c r="C340" s="87">
        <f t="shared" si="4"/>
        <v>2</v>
      </c>
      <c r="D340" s="87">
        <f>IF(A340="","",B340+(16/set_tiebreakDivisor))</f>
        <v>4.0001600000000002</v>
      </c>
    </row>
    <row r="341" spans="1:4">
      <c r="A341" s="87" t="str">
        <f t="shared" si="2"/>
        <v>Setpoint change</v>
      </c>
      <c r="B341" s="87">
        <f t="shared" si="3"/>
        <v>0</v>
      </c>
      <c r="C341" s="87">
        <f t="shared" si="4"/>
        <v>0</v>
      </c>
      <c r="D341" s="87">
        <f>IF(A341="","",B341+(15/set_tiebreakDivisor))</f>
        <v>1.4999999999999999E-4</v>
      </c>
    </row>
    <row r="342" spans="1:4">
      <c r="A342" s="87" t="str">
        <f t="shared" si="2"/>
        <v>Overstocking</v>
      </c>
      <c r="B342" s="87">
        <f t="shared" si="3"/>
        <v>2</v>
      </c>
      <c r="C342" s="87">
        <f t="shared" si="4"/>
        <v>2</v>
      </c>
      <c r="D342" s="87">
        <f>IF(A342="","",B342+(14/set_tiebreakDivisor))</f>
        <v>2.00014</v>
      </c>
    </row>
    <row r="343" spans="1:4">
      <c r="A343" s="87" t="str">
        <f t="shared" si="2"/>
        <v>Case End Seal</v>
      </c>
      <c r="B343" s="87">
        <f t="shared" si="3"/>
        <v>0</v>
      </c>
      <c r="C343" s="87">
        <f t="shared" si="4"/>
        <v>0</v>
      </c>
      <c r="D343" s="87">
        <f>IF(A343="","",B343+(13/set_tiebreakDivisor))</f>
        <v>1.2999999999999999E-4</v>
      </c>
    </row>
    <row r="344" spans="1:4">
      <c r="A344" s="87" t="str">
        <f t="shared" si="2"/>
        <v>Return Air blocked</v>
      </c>
      <c r="B344" s="87">
        <f t="shared" si="3"/>
        <v>0</v>
      </c>
      <c r="C344" s="87">
        <f t="shared" si="4"/>
        <v>0</v>
      </c>
      <c r="D344" s="87">
        <f>IF(A344="","",B344+(12/set_tiebreakDivisor))</f>
        <v>1.2E-4</v>
      </c>
    </row>
    <row r="345" spans="1:4">
      <c r="A345" s="87" t="str">
        <f t="shared" si="2"/>
        <v>Unidentified air leak</v>
      </c>
      <c r="B345" s="87">
        <f t="shared" si="3"/>
        <v>1</v>
      </c>
      <c r="C345" s="87">
        <f t="shared" si="4"/>
        <v>0</v>
      </c>
      <c r="D345" s="87">
        <f>IF(A345="","",B345+(11/set_tiebreakDivisor))</f>
        <v>1.0001100000000001</v>
      </c>
    </row>
    <row r="346" spans="1:4">
      <c r="A346" s="87" t="str">
        <f t="shared" si="2"/>
        <v>Freedom</v>
      </c>
      <c r="B346" s="87">
        <f t="shared" si="3"/>
        <v>0</v>
      </c>
      <c r="C346" s="87">
        <f t="shared" si="4"/>
        <v>0</v>
      </c>
      <c r="D346" s="87">
        <f>IF(A346="","",B346+(10/set_tiebreakDivisor))</f>
        <v>1E-4</v>
      </c>
    </row>
    <row r="347" spans="1:4">
      <c r="A347" s="87" t="str">
        <f t="shared" si="2"/>
        <v>Heavy case load</v>
      </c>
      <c r="B347" s="87">
        <f t="shared" si="3"/>
        <v>0</v>
      </c>
      <c r="C347" s="87">
        <f t="shared" si="4"/>
        <v>0</v>
      </c>
      <c r="D347" s="87">
        <f>IF(A347="","",B347+(9/set_tiebreakDivisor))</f>
        <v>9.0000000000000006E-5</v>
      </c>
    </row>
    <row r="348" spans="1:4">
      <c r="A348" s="87" t="str">
        <f t="shared" si="2"/>
        <v>DG Installation issue</v>
      </c>
      <c r="B348" s="87">
        <f t="shared" si="3"/>
        <v>2</v>
      </c>
      <c r="C348" s="87">
        <f t="shared" si="4"/>
        <v>0</v>
      </c>
      <c r="D348" s="87">
        <f>IF(A348="","",B348+(8/set_tiebreakDivisor))</f>
        <v>2.0000800000000001</v>
      </c>
    </row>
    <row r="349" spans="1:4">
      <c r="A349" s="87" t="str">
        <f t="shared" si="2"/>
        <v>Unknown</v>
      </c>
      <c r="B349" s="87">
        <f t="shared" si="3"/>
        <v>2</v>
      </c>
      <c r="C349" s="87">
        <f t="shared" si="4"/>
        <v>0</v>
      </c>
      <c r="D349" s="87">
        <f>IF(A349="","",B349+(7/set_tiebreakDivisor))</f>
        <v>2.00007</v>
      </c>
    </row>
    <row r="350" spans="1:4">
      <c r="A350" s="87" t="str">
        <f t="shared" si="2"/>
        <v>Program change - Hussmann</v>
      </c>
      <c r="B350" s="87">
        <f t="shared" si="3"/>
        <v>0</v>
      </c>
      <c r="C350" s="87">
        <f t="shared" si="4"/>
        <v>0</v>
      </c>
      <c r="D350" s="87">
        <f>IF(A350="","",B350+(6/set_tiebreakDivisor))</f>
        <v>6.0000000000000002E-5</v>
      </c>
    </row>
    <row r="351" spans="1:4">
      <c r="A351" s="87" t="str">
        <f t="shared" si="2"/>
        <v>Wrong program</v>
      </c>
      <c r="B351" s="87">
        <f t="shared" si="3"/>
        <v>1</v>
      </c>
      <c r="C351" s="87">
        <f t="shared" si="4"/>
        <v>0</v>
      </c>
      <c r="D351" s="87">
        <f>IF(A351="","",B351+(5/set_tiebreakDivisor))</f>
        <v>1.0000500000000001</v>
      </c>
    </row>
    <row r="352" spans="1:4">
      <c r="A352" s="87" t="str">
        <f t="shared" si="2"/>
        <v/>
      </c>
      <c r="B352" s="87" t="str">
        <f t="shared" si="3"/>
        <v/>
      </c>
      <c r="C352" s="87" t="str">
        <f t="shared" si="4"/>
        <v/>
      </c>
      <c r="D352" s="87" t="str">
        <f>IF(A352="","",B352+(4/set_tiebreakDivisor))</f>
        <v/>
      </c>
    </row>
    <row r="353" spans="1:4">
      <c r="A353" s="87" t="str">
        <f t="shared" si="2"/>
        <v/>
      </c>
      <c r="B353" s="87" t="str">
        <f t="shared" si="3"/>
        <v/>
      </c>
      <c r="C353" s="87" t="str">
        <f t="shared" si="4"/>
        <v/>
      </c>
      <c r="D353" s="87" t="str">
        <f>IF(A353="","",B353+(3/set_tiebreakDivisor))</f>
        <v/>
      </c>
    </row>
    <row r="354" spans="1:4">
      <c r="A354" s="87" t="str">
        <f t="shared" si="2"/>
        <v/>
      </c>
      <c r="B354" s="87" t="str">
        <f t="shared" si="3"/>
        <v/>
      </c>
      <c r="C354" s="87" t="str">
        <f t="shared" si="4"/>
        <v/>
      </c>
      <c r="D354" s="87" t="str">
        <f>IF(A354="","",B354+(2/set_tiebreakDivisor))</f>
        <v/>
      </c>
    </row>
    <row r="355" spans="1:4">
      <c r="A355" s="87" t="str">
        <f t="shared" si="2"/>
        <v/>
      </c>
      <c r="B355" s="87" t="str">
        <f t="shared" si="3"/>
        <v/>
      </c>
      <c r="C355" s="87" t="str">
        <f t="shared" si="4"/>
        <v/>
      </c>
      <c r="D355" s="87" t="str">
        <f>IF(A355="","",B355+(1/set_tiebreakDivisor))</f>
        <v/>
      </c>
    </row>
    <row r="358" spans="1:4">
      <c r="A358" s="119" t="s">
        <v>1569</v>
      </c>
      <c r="B358" s="119" t="s">
        <v>1574</v>
      </c>
      <c r="C358" s="119" t="s">
        <v>1575</v>
      </c>
      <c r="D358" s="119" t="s">
        <v>1281</v>
      </c>
    </row>
    <row r="359" spans="1:4">
      <c r="A359" s="87" t="str">
        <f>IFERROR(INDEX($A$331:$A$355,MATCH(LARGE($D$331:$D$355,1),$D$331:$D$355,0)),"")</f>
        <v>Doors</v>
      </c>
      <c r="B359" s="87">
        <f t="shared" ref="B359:B383" si="5">IF(A359="","",INDEX($C$331:$C$355,MATCH(A359,$A$331:$A$355,0)))</f>
        <v>1</v>
      </c>
      <c r="C359" s="87">
        <f t="shared" ref="C359:C383" si="6">IF(A359="","",INDEX($B$331:$B$355,MATCH(A359,$A$331:$A$355,0))-B359)</f>
        <v>10</v>
      </c>
      <c r="D359" s="87">
        <f t="shared" ref="D359:D383" si="7">IF(A359="","",B359+C359)</f>
        <v>11</v>
      </c>
    </row>
    <row r="360" spans="1:4">
      <c r="A360" s="87" t="str">
        <f>IFERROR(INDEX($A$331:$A$355,MATCH(LARGE($D$331:$D$355,2),$D$331:$D$355,0)),"")</f>
        <v>High Store RH</v>
      </c>
      <c r="B360" s="87">
        <f t="shared" si="5"/>
        <v>2</v>
      </c>
      <c r="C360" s="87">
        <f t="shared" si="6"/>
        <v>3</v>
      </c>
      <c r="D360" s="87">
        <f t="shared" si="7"/>
        <v>5</v>
      </c>
    </row>
    <row r="361" spans="1:4">
      <c r="A361" s="87" t="str">
        <f>IFERROR(INDEX($A$331:$A$355,MATCH(LARGE($D$331:$D$355,3),$D$331:$D$355,0)),"")</f>
        <v>False Alarm</v>
      </c>
      <c r="B361" s="87">
        <f t="shared" si="5"/>
        <v>2</v>
      </c>
      <c r="C361" s="87">
        <f t="shared" si="6"/>
        <v>2</v>
      </c>
      <c r="D361" s="87">
        <f t="shared" si="7"/>
        <v>4</v>
      </c>
    </row>
    <row r="362" spans="1:4">
      <c r="A362" s="87" t="str">
        <f>IFERROR(INDEX($A$331:$A$355,MATCH(LARGE($D$331:$D$355,4),$D$331:$D$355,0)),"")</f>
        <v>Drain tube blocked</v>
      </c>
      <c r="B362" s="87">
        <f t="shared" si="5"/>
        <v>0</v>
      </c>
      <c r="C362" s="87">
        <f t="shared" si="6"/>
        <v>2</v>
      </c>
      <c r="D362" s="87">
        <f t="shared" si="7"/>
        <v>2</v>
      </c>
    </row>
    <row r="363" spans="1:4">
      <c r="A363" s="87" t="str">
        <f>IFERROR(INDEX($A$331:$A$355,MATCH(LARGE($D$331:$D$355,5),$D$331:$D$355,0)),"")</f>
        <v>Wrong / Loose wiring</v>
      </c>
      <c r="B363" s="87">
        <f t="shared" si="5"/>
        <v>2</v>
      </c>
      <c r="C363" s="87">
        <f t="shared" si="6"/>
        <v>0</v>
      </c>
      <c r="D363" s="87">
        <f t="shared" si="7"/>
        <v>2</v>
      </c>
    </row>
    <row r="364" spans="1:4">
      <c r="A364" s="87" t="str">
        <f>IFERROR(INDEX($A$331:$A$355,MATCH(LARGE($D$331:$D$355,6),$D$331:$D$355,0)),"")</f>
        <v>Overstocking</v>
      </c>
      <c r="B364" s="87">
        <f t="shared" si="5"/>
        <v>2</v>
      </c>
      <c r="C364" s="87">
        <f t="shared" si="6"/>
        <v>0</v>
      </c>
      <c r="D364" s="87">
        <f t="shared" si="7"/>
        <v>2</v>
      </c>
    </row>
    <row r="365" spans="1:4">
      <c r="A365" s="87" t="str">
        <f>IFERROR(INDEX($A$331:$A$355,MATCH(LARGE($D$331:$D$355,7),$D$331:$D$355,0)),"")</f>
        <v>DG Installation issue</v>
      </c>
      <c r="B365" s="87">
        <f t="shared" si="5"/>
        <v>0</v>
      </c>
      <c r="C365" s="87">
        <f t="shared" si="6"/>
        <v>2</v>
      </c>
      <c r="D365" s="87">
        <f t="shared" si="7"/>
        <v>2</v>
      </c>
    </row>
    <row r="366" spans="1:4">
      <c r="A366" s="87" t="str">
        <f>IFERROR(INDEX($A$331:$A$355,MATCH(LARGE($D$331:$D$355,8),$D$331:$D$355,0)),"")</f>
        <v>Unknown</v>
      </c>
      <c r="B366" s="87">
        <f t="shared" si="5"/>
        <v>0</v>
      </c>
      <c r="C366" s="87">
        <f t="shared" si="6"/>
        <v>2</v>
      </c>
      <c r="D366" s="87">
        <f t="shared" si="7"/>
        <v>2</v>
      </c>
    </row>
    <row r="367" spans="1:4">
      <c r="A367" s="87" t="str">
        <f>IFERROR(INDEX($A$331:$A$355,MATCH(LARGE($D$331:$D$355,9),$D$331:$D$355,0)),"")</f>
        <v>Unidentified air leak</v>
      </c>
      <c r="B367" s="87">
        <f t="shared" si="5"/>
        <v>0</v>
      </c>
      <c r="C367" s="87">
        <f t="shared" si="6"/>
        <v>1</v>
      </c>
      <c r="D367" s="87">
        <f t="shared" si="7"/>
        <v>1</v>
      </c>
    </row>
    <row r="368" spans="1:4">
      <c r="A368" s="87" t="str">
        <f>IFERROR(INDEX($A$331:$A$355,MATCH(LARGE($D$331:$D$355,10),$D$331:$D$355,0)),"")</f>
        <v>Wrong program</v>
      </c>
      <c r="B368" s="87">
        <f t="shared" si="5"/>
        <v>0</v>
      </c>
      <c r="C368" s="87">
        <f t="shared" si="6"/>
        <v>1</v>
      </c>
      <c r="D368" s="87">
        <f t="shared" si="7"/>
        <v>1</v>
      </c>
    </row>
    <row r="369" spans="1:4">
      <c r="A369" s="87" t="str">
        <f>IFERROR(INDEX($A$331:$A$355,MATCH(LARGE($D$331:$D$355,11),$D$331:$D$355,0)),"")</f>
        <v>Ref. leak/ Low charge</v>
      </c>
      <c r="B369" s="87">
        <f t="shared" si="5"/>
        <v>0</v>
      </c>
      <c r="C369" s="87">
        <f t="shared" si="6"/>
        <v>0</v>
      </c>
      <c r="D369" s="87">
        <f t="shared" si="7"/>
        <v>0</v>
      </c>
    </row>
    <row r="370" spans="1:4">
      <c r="A370" s="87" t="str">
        <f>IFERROR(INDEX($A$331:$A$355,MATCH(LARGE($D$331:$D$355,12),$D$331:$D$355,0)),"")</f>
        <v>Communication problem</v>
      </c>
      <c r="B370" s="87">
        <f t="shared" si="5"/>
        <v>0</v>
      </c>
      <c r="C370" s="87">
        <f t="shared" si="6"/>
        <v>0</v>
      </c>
      <c r="D370" s="87">
        <f t="shared" si="7"/>
        <v>0</v>
      </c>
    </row>
    <row r="371" spans="1:4">
      <c r="A371" s="87" t="str">
        <f>IFERROR(INDEX($A$331:$A$355,MATCH(LARGE($D$331:$D$355,13),$D$331:$D$355,0)),"")</f>
        <v>Enclosure Seal</v>
      </c>
      <c r="B371" s="87">
        <f t="shared" si="5"/>
        <v>0</v>
      </c>
      <c r="C371" s="87">
        <f t="shared" si="6"/>
        <v>0</v>
      </c>
      <c r="D371" s="87">
        <f t="shared" si="7"/>
        <v>0</v>
      </c>
    </row>
    <row r="372" spans="1:4">
      <c r="A372" s="87" t="str">
        <f>IFERROR(INDEX($A$331:$A$355,MATCH(LARGE($D$331:$D$355,14),$D$331:$D$355,0)),"")</f>
        <v>Component Failure</v>
      </c>
      <c r="B372" s="87">
        <f t="shared" si="5"/>
        <v>0</v>
      </c>
      <c r="C372" s="87">
        <f t="shared" si="6"/>
        <v>0</v>
      </c>
      <c r="D372" s="87">
        <f t="shared" si="7"/>
        <v>0</v>
      </c>
    </row>
    <row r="373" spans="1:4">
      <c r="A373" s="87" t="str">
        <f>IFERROR(INDEX($A$331:$A$355,MATCH(LARGE($D$331:$D$355,15),$D$331:$D$355,0)),"")</f>
        <v>Defrost Sync</v>
      </c>
      <c r="B373" s="87">
        <f t="shared" si="5"/>
        <v>0</v>
      </c>
      <c r="C373" s="87">
        <f t="shared" si="6"/>
        <v>0</v>
      </c>
      <c r="D373" s="87">
        <f t="shared" si="7"/>
        <v>0</v>
      </c>
    </row>
    <row r="374" spans="1:4">
      <c r="A374" s="87" t="str">
        <f>IFERROR(INDEX($A$331:$A$355,MATCH(LARGE($D$331:$D$355,16),$D$331:$D$355,0)),"")</f>
        <v>Setpoint change</v>
      </c>
      <c r="B374" s="87">
        <f t="shared" si="5"/>
        <v>0</v>
      </c>
      <c r="C374" s="87">
        <f t="shared" si="6"/>
        <v>0</v>
      </c>
      <c r="D374" s="87">
        <f t="shared" si="7"/>
        <v>0</v>
      </c>
    </row>
    <row r="375" spans="1:4">
      <c r="A375" s="87" t="str">
        <f>IFERROR(INDEX($A$331:$A$355,MATCH(LARGE($D$331:$D$355,17),$D$331:$D$355,0)),"")</f>
        <v>Case End Seal</v>
      </c>
      <c r="B375" s="87">
        <f t="shared" si="5"/>
        <v>0</v>
      </c>
      <c r="C375" s="87">
        <f t="shared" si="6"/>
        <v>0</v>
      </c>
      <c r="D375" s="87">
        <f t="shared" si="7"/>
        <v>0</v>
      </c>
    </row>
    <row r="376" spans="1:4">
      <c r="A376" s="87" t="str">
        <f>IFERROR(INDEX($A$331:$A$355,MATCH(LARGE($D$331:$D$355,18),$D$331:$D$355,0)),"")</f>
        <v>Return Air blocked</v>
      </c>
      <c r="B376" s="87">
        <f t="shared" si="5"/>
        <v>0</v>
      </c>
      <c r="C376" s="87">
        <f t="shared" si="6"/>
        <v>0</v>
      </c>
      <c r="D376" s="87">
        <f t="shared" si="7"/>
        <v>0</v>
      </c>
    </row>
    <row r="377" spans="1:4">
      <c r="A377" s="87" t="str">
        <f>IFERROR(INDEX($A$331:$A$355,MATCH(LARGE($D$331:$D$355,19),$D$331:$D$355,0)),"")</f>
        <v>Freedom</v>
      </c>
      <c r="B377" s="87">
        <f t="shared" si="5"/>
        <v>0</v>
      </c>
      <c r="C377" s="87">
        <f t="shared" si="6"/>
        <v>0</v>
      </c>
      <c r="D377" s="87">
        <f t="shared" si="7"/>
        <v>0</v>
      </c>
    </row>
    <row r="378" spans="1:4">
      <c r="A378" s="87" t="str">
        <f>IFERROR(INDEX($A$331:$A$355,MATCH(LARGE($D$331:$D$355,20),$D$331:$D$355,0)),"")</f>
        <v>Heavy case load</v>
      </c>
      <c r="B378" s="87">
        <f t="shared" si="5"/>
        <v>0</v>
      </c>
      <c r="C378" s="87">
        <f t="shared" si="6"/>
        <v>0</v>
      </c>
      <c r="D378" s="87">
        <f t="shared" si="7"/>
        <v>0</v>
      </c>
    </row>
    <row r="379" spans="1:4">
      <c r="A379" s="87" t="str">
        <f>IFERROR(INDEX($A$331:$A$355,MATCH(LARGE($D$331:$D$355,21),$D$331:$D$355,0)),"")</f>
        <v>Program change - Hussmann</v>
      </c>
      <c r="B379" s="87">
        <f t="shared" si="5"/>
        <v>0</v>
      </c>
      <c r="C379" s="87">
        <f t="shared" si="6"/>
        <v>0</v>
      </c>
      <c r="D379" s="87">
        <f t="shared" si="7"/>
        <v>0</v>
      </c>
    </row>
    <row r="380" spans="1:4">
      <c r="A380" s="87" t="str">
        <f>IFERROR(INDEX($A$331:$A$355,MATCH(LARGE($D$331:$D$355,22),$D$331:$D$355,0)),"")</f>
        <v/>
      </c>
      <c r="B380" s="87" t="str">
        <f t="shared" si="5"/>
        <v/>
      </c>
      <c r="C380" s="87" t="str">
        <f t="shared" si="6"/>
        <v/>
      </c>
      <c r="D380" s="87" t="str">
        <f t="shared" si="7"/>
        <v/>
      </c>
    </row>
    <row r="381" spans="1:4">
      <c r="A381" s="87" t="str">
        <f>IFERROR(INDEX($A$331:$A$355,MATCH(LARGE($D$331:$D$355,23),$D$331:$D$355,0)),"")</f>
        <v/>
      </c>
      <c r="B381" s="87" t="str">
        <f t="shared" si="5"/>
        <v/>
      </c>
      <c r="C381" s="87" t="str">
        <f t="shared" si="6"/>
        <v/>
      </c>
      <c r="D381" s="87" t="str">
        <f t="shared" si="7"/>
        <v/>
      </c>
    </row>
    <row r="382" spans="1:4">
      <c r="A382" s="87" t="str">
        <f>IFERROR(INDEX($A$331:$A$355,MATCH(LARGE($D$331:$D$355,24),$D$331:$D$355,0)),"")</f>
        <v/>
      </c>
      <c r="B382" s="87" t="str">
        <f t="shared" si="5"/>
        <v/>
      </c>
      <c r="C382" s="87" t="str">
        <f t="shared" si="6"/>
        <v/>
      </c>
      <c r="D382" s="87" t="str">
        <f t="shared" si="7"/>
        <v/>
      </c>
    </row>
    <row r="383" spans="1:4">
      <c r="A383" s="87" t="str">
        <f>IFERROR(INDEX($A$331:$A$355,MATCH(LARGE($D$331:$D$355,25),$D$331:$D$355,0)),"")</f>
        <v/>
      </c>
      <c r="B383" s="87" t="str">
        <f t="shared" si="5"/>
        <v/>
      </c>
      <c r="C383" s="87" t="str">
        <f t="shared" si="6"/>
        <v/>
      </c>
      <c r="D383" s="87" t="str">
        <f t="shared" si="7"/>
        <v/>
      </c>
    </row>
    <row r="386" spans="1:26">
      <c r="A386" s="119" t="s">
        <v>1569</v>
      </c>
      <c r="B386" s="119" t="str">
        <f>IF($A359="","",$A359)</f>
        <v>Doors</v>
      </c>
      <c r="C386" s="119" t="str">
        <f>IF($A360="","",$A360)</f>
        <v>High Store RH</v>
      </c>
      <c r="D386" s="119" t="str">
        <f>IF($A361="","",$A361)</f>
        <v>False Alarm</v>
      </c>
      <c r="E386" s="119" t="str">
        <f>IF($A362="","",$A362)</f>
        <v>Drain tube blocked</v>
      </c>
      <c r="F386" s="119" t="str">
        <f>IF($A363="","",$A363)</f>
        <v>Wrong / Loose wiring</v>
      </c>
      <c r="G386" s="119" t="str">
        <f>IF($A364="","",$A364)</f>
        <v>Overstocking</v>
      </c>
      <c r="H386" s="119" t="str">
        <f>IF($A365="","",$A365)</f>
        <v>DG Installation issue</v>
      </c>
      <c r="I386" s="119" t="str">
        <f>IF($A366="","",$A366)</f>
        <v>Unknown</v>
      </c>
      <c r="J386" s="119" t="str">
        <f>IF($A367="","",$A367)</f>
        <v>Unidentified air leak</v>
      </c>
      <c r="K386" s="119" t="str">
        <f>IF($A368="","",$A368)</f>
        <v>Wrong program</v>
      </c>
      <c r="L386" s="119" t="str">
        <f>IF($A369="","",$A369)</f>
        <v>Ref. leak/ Low charge</v>
      </c>
      <c r="M386" s="119" t="str">
        <f>IF($A370="","",$A370)</f>
        <v>Communication problem</v>
      </c>
      <c r="N386" s="119" t="str">
        <f>IF($A371="","",$A371)</f>
        <v>Enclosure Seal</v>
      </c>
      <c r="O386" s="119" t="str">
        <f>IF($A372="","",$A372)</f>
        <v>Component Failure</v>
      </c>
      <c r="P386" s="119" t="str">
        <f>IF($A373="","",$A373)</f>
        <v>Defrost Sync</v>
      </c>
      <c r="Q386" s="119" t="str">
        <f>IF($A374="","",$A374)</f>
        <v>Setpoint change</v>
      </c>
      <c r="R386" s="119" t="str">
        <f>IF($A375="","",$A375)</f>
        <v>Case End Seal</v>
      </c>
      <c r="S386" s="119" t="str">
        <f>IF($A376="","",$A376)</f>
        <v>Return Air blocked</v>
      </c>
      <c r="T386" s="119" t="str">
        <f>IF($A377="","",$A377)</f>
        <v>Freedom</v>
      </c>
      <c r="U386" s="119" t="str">
        <f>IF($A378="","",$A378)</f>
        <v>Heavy case load</v>
      </c>
      <c r="V386" s="119" t="str">
        <f>IF($A379="","",$A379)</f>
        <v>Program change - Hussmann</v>
      </c>
      <c r="W386" s="119" t="str">
        <f>IF($A380="","",$A380)</f>
        <v/>
      </c>
      <c r="X386" s="119" t="str">
        <f>IF($A381="","",$A381)</f>
        <v/>
      </c>
      <c r="Y386" s="119" t="str">
        <f>IF($A382="","",$A382)</f>
        <v/>
      </c>
      <c r="Z386" s="119" t="str">
        <f>IF($A383="","",$A383)</f>
        <v/>
      </c>
    </row>
    <row r="387" spans="1:26">
      <c r="A387" s="87" t="str">
        <f>A359</f>
        <v>Doors</v>
      </c>
      <c r="B387" s="87">
        <f>B359</f>
        <v>1</v>
      </c>
      <c r="C387" s="87">
        <v>0</v>
      </c>
      <c r="D387" s="87">
        <v>0</v>
      </c>
      <c r="E387" s="87">
        <v>0</v>
      </c>
      <c r="F387" s="87">
        <v>0</v>
      </c>
      <c r="G387" s="87">
        <v>0</v>
      </c>
      <c r="H387" s="87">
        <v>0</v>
      </c>
      <c r="I387" s="87">
        <v>0</v>
      </c>
      <c r="J387" s="87">
        <v>0</v>
      </c>
      <c r="K387" s="87">
        <v>0</v>
      </c>
      <c r="L387" s="87">
        <v>0</v>
      </c>
      <c r="M387" s="87">
        <v>0</v>
      </c>
      <c r="N387" s="87">
        <v>0</v>
      </c>
      <c r="O387" s="87">
        <v>0</v>
      </c>
      <c r="P387" s="87">
        <v>0</v>
      </c>
      <c r="Q387" s="87">
        <v>0</v>
      </c>
      <c r="R387" s="87">
        <v>0</v>
      </c>
      <c r="S387" s="87">
        <v>0</v>
      </c>
      <c r="T387" s="87">
        <v>0</v>
      </c>
      <c r="U387" s="87">
        <v>0</v>
      </c>
      <c r="V387" s="87">
        <v>0</v>
      </c>
      <c r="W387" s="87">
        <v>0</v>
      </c>
      <c r="X387" s="87">
        <v>0</v>
      </c>
      <c r="Y387" s="87">
        <v>0</v>
      </c>
      <c r="Z387" s="87">
        <v>0</v>
      </c>
    </row>
    <row r="388" spans="1:26">
      <c r="A388" s="87" t="str">
        <f t="shared" ref="A388:A411" si="8">A360</f>
        <v>High Store RH</v>
      </c>
      <c r="B388" s="87">
        <v>0</v>
      </c>
      <c r="C388" s="87">
        <f>B360</f>
        <v>2</v>
      </c>
      <c r="D388" s="87">
        <v>0</v>
      </c>
      <c r="E388" s="87">
        <v>0</v>
      </c>
      <c r="F388" s="87">
        <v>0</v>
      </c>
      <c r="G388" s="87">
        <v>0</v>
      </c>
      <c r="H388" s="87">
        <v>0</v>
      </c>
      <c r="I388" s="87">
        <v>0</v>
      </c>
      <c r="J388" s="87">
        <v>0</v>
      </c>
      <c r="K388" s="87">
        <v>0</v>
      </c>
      <c r="L388" s="87">
        <v>0</v>
      </c>
      <c r="M388" s="87">
        <v>0</v>
      </c>
      <c r="N388" s="87">
        <v>0</v>
      </c>
      <c r="O388" s="87">
        <v>0</v>
      </c>
      <c r="P388" s="87">
        <v>0</v>
      </c>
      <c r="Q388" s="87">
        <v>0</v>
      </c>
      <c r="R388" s="87">
        <v>0</v>
      </c>
      <c r="S388" s="87">
        <v>0</v>
      </c>
      <c r="T388" s="87">
        <v>0</v>
      </c>
      <c r="U388" s="87">
        <v>0</v>
      </c>
      <c r="V388" s="87">
        <v>0</v>
      </c>
      <c r="W388" s="87">
        <v>0</v>
      </c>
      <c r="X388" s="87">
        <v>0</v>
      </c>
      <c r="Y388" s="87">
        <v>0</v>
      </c>
      <c r="Z388" s="87">
        <v>0</v>
      </c>
    </row>
    <row r="389" spans="1:26">
      <c r="A389" s="87" t="str">
        <f t="shared" si="8"/>
        <v>False Alarm</v>
      </c>
      <c r="B389" s="87">
        <v>0</v>
      </c>
      <c r="C389" s="87">
        <v>0</v>
      </c>
      <c r="D389" s="87">
        <f>B361</f>
        <v>2</v>
      </c>
      <c r="E389" s="87">
        <v>0</v>
      </c>
      <c r="F389" s="87">
        <v>0</v>
      </c>
      <c r="G389" s="87">
        <v>0</v>
      </c>
      <c r="H389" s="87">
        <v>0</v>
      </c>
      <c r="I389" s="87">
        <v>0</v>
      </c>
      <c r="J389" s="87">
        <v>0</v>
      </c>
      <c r="K389" s="87">
        <v>0</v>
      </c>
      <c r="L389" s="87">
        <v>0</v>
      </c>
      <c r="M389" s="87">
        <v>0</v>
      </c>
      <c r="N389" s="87">
        <v>0</v>
      </c>
      <c r="O389" s="87">
        <v>0</v>
      </c>
      <c r="P389" s="87">
        <v>0</v>
      </c>
      <c r="Q389" s="87">
        <v>0</v>
      </c>
      <c r="R389" s="87">
        <v>0</v>
      </c>
      <c r="S389" s="87">
        <v>0</v>
      </c>
      <c r="T389" s="87">
        <v>0</v>
      </c>
      <c r="U389" s="87">
        <v>0</v>
      </c>
      <c r="V389" s="87">
        <v>0</v>
      </c>
      <c r="W389" s="87">
        <v>0</v>
      </c>
      <c r="X389" s="87">
        <v>0</v>
      </c>
      <c r="Y389" s="87">
        <v>0</v>
      </c>
      <c r="Z389" s="87">
        <v>0</v>
      </c>
    </row>
    <row r="390" spans="1:26">
      <c r="A390" s="87" t="str">
        <f t="shared" si="8"/>
        <v>Drain tube blocked</v>
      </c>
      <c r="B390" s="87">
        <v>0</v>
      </c>
      <c r="C390" s="87">
        <v>0</v>
      </c>
      <c r="D390" s="87">
        <v>0</v>
      </c>
      <c r="E390" s="87">
        <f>B362</f>
        <v>0</v>
      </c>
      <c r="F390" s="87">
        <v>0</v>
      </c>
      <c r="G390" s="87">
        <v>0</v>
      </c>
      <c r="H390" s="87">
        <v>0</v>
      </c>
      <c r="I390" s="87">
        <v>0</v>
      </c>
      <c r="J390" s="87">
        <v>0</v>
      </c>
      <c r="K390" s="87">
        <v>0</v>
      </c>
      <c r="L390" s="87">
        <v>0</v>
      </c>
      <c r="M390" s="87">
        <v>0</v>
      </c>
      <c r="N390" s="87">
        <v>0</v>
      </c>
      <c r="O390" s="87">
        <v>0</v>
      </c>
      <c r="P390" s="87">
        <v>0</v>
      </c>
      <c r="Q390" s="87">
        <v>0</v>
      </c>
      <c r="R390" s="87">
        <v>0</v>
      </c>
      <c r="S390" s="87">
        <v>0</v>
      </c>
      <c r="T390" s="87">
        <v>0</v>
      </c>
      <c r="U390" s="87">
        <v>0</v>
      </c>
      <c r="V390" s="87">
        <v>0</v>
      </c>
      <c r="W390" s="87">
        <v>0</v>
      </c>
      <c r="X390" s="87">
        <v>0</v>
      </c>
      <c r="Y390" s="87">
        <v>0</v>
      </c>
      <c r="Z390" s="87">
        <v>0</v>
      </c>
    </row>
    <row r="391" spans="1:26">
      <c r="A391" s="87" t="str">
        <f t="shared" si="8"/>
        <v>Wrong / Loose wiring</v>
      </c>
      <c r="B391" s="87">
        <v>0</v>
      </c>
      <c r="C391" s="87">
        <v>0</v>
      </c>
      <c r="D391" s="87">
        <v>0</v>
      </c>
      <c r="E391" s="87">
        <v>0</v>
      </c>
      <c r="F391" s="87">
        <f>B363</f>
        <v>2</v>
      </c>
      <c r="G391" s="87">
        <v>0</v>
      </c>
      <c r="H391" s="87">
        <v>0</v>
      </c>
      <c r="I391" s="87">
        <v>0</v>
      </c>
      <c r="J391" s="87">
        <v>0</v>
      </c>
      <c r="K391" s="87">
        <v>0</v>
      </c>
      <c r="L391" s="87">
        <v>0</v>
      </c>
      <c r="M391" s="87">
        <v>0</v>
      </c>
      <c r="N391" s="87">
        <v>0</v>
      </c>
      <c r="O391" s="87">
        <v>0</v>
      </c>
      <c r="P391" s="87">
        <v>0</v>
      </c>
      <c r="Q391" s="87">
        <v>0</v>
      </c>
      <c r="R391" s="87">
        <v>0</v>
      </c>
      <c r="S391" s="87">
        <v>0</v>
      </c>
      <c r="T391" s="87">
        <v>0</v>
      </c>
      <c r="U391" s="87">
        <v>0</v>
      </c>
      <c r="V391" s="87">
        <v>0</v>
      </c>
      <c r="W391" s="87">
        <v>0</v>
      </c>
      <c r="X391" s="87">
        <v>0</v>
      </c>
      <c r="Y391" s="87">
        <v>0</v>
      </c>
      <c r="Z391" s="87">
        <v>0</v>
      </c>
    </row>
    <row r="392" spans="1:26">
      <c r="A392" s="87" t="str">
        <f t="shared" si="8"/>
        <v>Overstocking</v>
      </c>
      <c r="B392" s="87">
        <v>0</v>
      </c>
      <c r="C392" s="87">
        <v>0</v>
      </c>
      <c r="D392" s="87">
        <v>0</v>
      </c>
      <c r="E392" s="87">
        <v>0</v>
      </c>
      <c r="F392" s="87">
        <v>0</v>
      </c>
      <c r="G392" s="87">
        <f>B364</f>
        <v>2</v>
      </c>
      <c r="H392" s="87">
        <v>0</v>
      </c>
      <c r="I392" s="87">
        <v>0</v>
      </c>
      <c r="J392" s="87">
        <v>0</v>
      </c>
      <c r="K392" s="87">
        <v>0</v>
      </c>
      <c r="L392" s="87">
        <v>0</v>
      </c>
      <c r="M392" s="87">
        <v>0</v>
      </c>
      <c r="N392" s="87">
        <v>0</v>
      </c>
      <c r="O392" s="87">
        <v>0</v>
      </c>
      <c r="P392" s="87">
        <v>0</v>
      </c>
      <c r="Q392" s="87">
        <v>0</v>
      </c>
      <c r="R392" s="87">
        <v>0</v>
      </c>
      <c r="S392" s="87">
        <v>0</v>
      </c>
      <c r="T392" s="87">
        <v>0</v>
      </c>
      <c r="U392" s="87">
        <v>0</v>
      </c>
      <c r="V392" s="87">
        <v>0</v>
      </c>
      <c r="W392" s="87">
        <v>0</v>
      </c>
      <c r="X392" s="87">
        <v>0</v>
      </c>
      <c r="Y392" s="87">
        <v>0</v>
      </c>
      <c r="Z392" s="87">
        <v>0</v>
      </c>
    </row>
    <row r="393" spans="1:26">
      <c r="A393" s="87" t="str">
        <f t="shared" si="8"/>
        <v>DG Installation issue</v>
      </c>
      <c r="B393" s="87">
        <v>0</v>
      </c>
      <c r="C393" s="87">
        <v>0</v>
      </c>
      <c r="D393" s="87">
        <v>0</v>
      </c>
      <c r="E393" s="87">
        <v>0</v>
      </c>
      <c r="F393" s="87">
        <v>0</v>
      </c>
      <c r="G393" s="87">
        <v>0</v>
      </c>
      <c r="H393" s="87">
        <f>B365</f>
        <v>0</v>
      </c>
      <c r="I393" s="87">
        <v>0</v>
      </c>
      <c r="J393" s="87">
        <v>0</v>
      </c>
      <c r="K393" s="87">
        <v>0</v>
      </c>
      <c r="L393" s="87">
        <v>0</v>
      </c>
      <c r="M393" s="87">
        <v>0</v>
      </c>
      <c r="N393" s="87">
        <v>0</v>
      </c>
      <c r="O393" s="87">
        <v>0</v>
      </c>
      <c r="P393" s="87">
        <v>0</v>
      </c>
      <c r="Q393" s="87">
        <v>0</v>
      </c>
      <c r="R393" s="87">
        <v>0</v>
      </c>
      <c r="S393" s="87">
        <v>0</v>
      </c>
      <c r="T393" s="87">
        <v>0</v>
      </c>
      <c r="U393" s="87">
        <v>0</v>
      </c>
      <c r="V393" s="87">
        <v>0</v>
      </c>
      <c r="W393" s="87">
        <v>0</v>
      </c>
      <c r="X393" s="87">
        <v>0</v>
      </c>
      <c r="Y393" s="87">
        <v>0</v>
      </c>
      <c r="Z393" s="87">
        <v>0</v>
      </c>
    </row>
    <row r="394" spans="1:26">
      <c r="A394" s="87" t="str">
        <f t="shared" si="8"/>
        <v>Unknown</v>
      </c>
      <c r="B394" s="87">
        <v>0</v>
      </c>
      <c r="C394" s="87">
        <v>0</v>
      </c>
      <c r="D394" s="87">
        <v>0</v>
      </c>
      <c r="E394" s="87">
        <v>0</v>
      </c>
      <c r="F394" s="87">
        <v>0</v>
      </c>
      <c r="G394" s="87">
        <v>0</v>
      </c>
      <c r="H394" s="87">
        <v>0</v>
      </c>
      <c r="I394" s="87">
        <f>B366</f>
        <v>0</v>
      </c>
      <c r="J394" s="87">
        <v>0</v>
      </c>
      <c r="K394" s="87">
        <v>0</v>
      </c>
      <c r="L394" s="87">
        <v>0</v>
      </c>
      <c r="M394" s="87">
        <v>0</v>
      </c>
      <c r="N394" s="87">
        <v>0</v>
      </c>
      <c r="O394" s="87">
        <v>0</v>
      </c>
      <c r="P394" s="87">
        <v>0</v>
      </c>
      <c r="Q394" s="87">
        <v>0</v>
      </c>
      <c r="R394" s="87">
        <v>0</v>
      </c>
      <c r="S394" s="87">
        <v>0</v>
      </c>
      <c r="T394" s="87">
        <v>0</v>
      </c>
      <c r="U394" s="87">
        <v>0</v>
      </c>
      <c r="V394" s="87">
        <v>0</v>
      </c>
      <c r="W394" s="87">
        <v>0</v>
      </c>
      <c r="X394" s="87">
        <v>0</v>
      </c>
      <c r="Y394" s="87">
        <v>0</v>
      </c>
      <c r="Z394" s="87">
        <v>0</v>
      </c>
    </row>
    <row r="395" spans="1:26">
      <c r="A395" s="87" t="str">
        <f t="shared" si="8"/>
        <v>Unidentified air leak</v>
      </c>
      <c r="B395" s="87">
        <v>0</v>
      </c>
      <c r="C395" s="87">
        <v>0</v>
      </c>
      <c r="D395" s="87">
        <v>0</v>
      </c>
      <c r="E395" s="87">
        <v>0</v>
      </c>
      <c r="F395" s="87">
        <v>0</v>
      </c>
      <c r="G395" s="87">
        <v>0</v>
      </c>
      <c r="H395" s="87">
        <v>0</v>
      </c>
      <c r="I395" s="87">
        <v>0</v>
      </c>
      <c r="J395" s="87">
        <f>B367</f>
        <v>0</v>
      </c>
      <c r="K395" s="87">
        <v>0</v>
      </c>
      <c r="L395" s="87">
        <v>0</v>
      </c>
      <c r="M395" s="87">
        <v>0</v>
      </c>
      <c r="N395" s="87">
        <v>0</v>
      </c>
      <c r="O395" s="87">
        <v>0</v>
      </c>
      <c r="P395" s="87">
        <v>0</v>
      </c>
      <c r="Q395" s="87">
        <v>0</v>
      </c>
      <c r="R395" s="87">
        <v>0</v>
      </c>
      <c r="S395" s="87">
        <v>0</v>
      </c>
      <c r="T395" s="87">
        <v>0</v>
      </c>
      <c r="U395" s="87">
        <v>0</v>
      </c>
      <c r="V395" s="87">
        <v>0</v>
      </c>
      <c r="W395" s="87">
        <v>0</v>
      </c>
      <c r="X395" s="87">
        <v>0</v>
      </c>
      <c r="Y395" s="87">
        <v>0</v>
      </c>
      <c r="Z395" s="87">
        <v>0</v>
      </c>
    </row>
    <row r="396" spans="1:26">
      <c r="A396" s="87" t="str">
        <f t="shared" si="8"/>
        <v>Wrong program</v>
      </c>
      <c r="B396" s="87">
        <v>0</v>
      </c>
      <c r="C396" s="87">
        <v>0</v>
      </c>
      <c r="D396" s="87">
        <v>0</v>
      </c>
      <c r="E396" s="87">
        <v>0</v>
      </c>
      <c r="F396" s="87">
        <v>0</v>
      </c>
      <c r="G396" s="87">
        <v>0</v>
      </c>
      <c r="H396" s="87">
        <v>0</v>
      </c>
      <c r="I396" s="87">
        <v>0</v>
      </c>
      <c r="J396" s="87">
        <v>0</v>
      </c>
      <c r="K396" s="87">
        <f>B368</f>
        <v>0</v>
      </c>
      <c r="L396" s="87">
        <v>0</v>
      </c>
      <c r="M396" s="87">
        <v>0</v>
      </c>
      <c r="N396" s="87">
        <v>0</v>
      </c>
      <c r="O396" s="87">
        <v>0</v>
      </c>
      <c r="P396" s="87">
        <v>0</v>
      </c>
      <c r="Q396" s="87">
        <v>0</v>
      </c>
      <c r="R396" s="87">
        <v>0</v>
      </c>
      <c r="S396" s="87">
        <v>0</v>
      </c>
      <c r="T396" s="87">
        <v>0</v>
      </c>
      <c r="U396" s="87">
        <v>0</v>
      </c>
      <c r="V396" s="87">
        <v>0</v>
      </c>
      <c r="W396" s="87">
        <v>0</v>
      </c>
      <c r="X396" s="87">
        <v>0</v>
      </c>
      <c r="Y396" s="87">
        <v>0</v>
      </c>
      <c r="Z396" s="87">
        <v>0</v>
      </c>
    </row>
    <row r="397" spans="1:26">
      <c r="A397" s="87" t="str">
        <f t="shared" si="8"/>
        <v>Ref. leak/ Low charge</v>
      </c>
      <c r="B397" s="87">
        <v>0</v>
      </c>
      <c r="C397" s="87">
        <v>0</v>
      </c>
      <c r="D397" s="87">
        <v>0</v>
      </c>
      <c r="E397" s="87">
        <v>0</v>
      </c>
      <c r="F397" s="87">
        <v>0</v>
      </c>
      <c r="G397" s="87">
        <v>0</v>
      </c>
      <c r="H397" s="87">
        <v>0</v>
      </c>
      <c r="I397" s="87">
        <v>0</v>
      </c>
      <c r="J397" s="87">
        <v>0</v>
      </c>
      <c r="K397" s="87">
        <v>0</v>
      </c>
      <c r="L397" s="87">
        <f>B369</f>
        <v>0</v>
      </c>
      <c r="M397" s="87">
        <v>0</v>
      </c>
      <c r="N397" s="87">
        <v>0</v>
      </c>
      <c r="O397" s="87">
        <v>0</v>
      </c>
      <c r="P397" s="87">
        <v>0</v>
      </c>
      <c r="Q397" s="87">
        <v>0</v>
      </c>
      <c r="R397" s="87">
        <v>0</v>
      </c>
      <c r="S397" s="87">
        <v>0</v>
      </c>
      <c r="T397" s="87">
        <v>0</v>
      </c>
      <c r="U397" s="87">
        <v>0</v>
      </c>
      <c r="V397" s="87">
        <v>0</v>
      </c>
      <c r="W397" s="87">
        <v>0</v>
      </c>
      <c r="X397" s="87">
        <v>0</v>
      </c>
      <c r="Y397" s="87">
        <v>0</v>
      </c>
      <c r="Z397" s="87">
        <v>0</v>
      </c>
    </row>
    <row r="398" spans="1:26">
      <c r="A398" s="87" t="str">
        <f t="shared" si="8"/>
        <v>Communication problem</v>
      </c>
      <c r="B398" s="87">
        <v>0</v>
      </c>
      <c r="C398" s="87">
        <v>0</v>
      </c>
      <c r="D398" s="87">
        <v>0</v>
      </c>
      <c r="E398" s="87">
        <v>0</v>
      </c>
      <c r="F398" s="87">
        <v>0</v>
      </c>
      <c r="G398" s="87">
        <v>0</v>
      </c>
      <c r="H398" s="87">
        <v>0</v>
      </c>
      <c r="I398" s="87">
        <v>0</v>
      </c>
      <c r="J398" s="87">
        <v>0</v>
      </c>
      <c r="K398" s="87">
        <v>0</v>
      </c>
      <c r="L398" s="87">
        <v>0</v>
      </c>
      <c r="M398" s="87">
        <f>B370</f>
        <v>0</v>
      </c>
      <c r="N398" s="87">
        <v>0</v>
      </c>
      <c r="O398" s="87">
        <v>0</v>
      </c>
      <c r="P398" s="87">
        <v>0</v>
      </c>
      <c r="Q398" s="87">
        <v>0</v>
      </c>
      <c r="R398" s="87">
        <v>0</v>
      </c>
      <c r="S398" s="87">
        <v>0</v>
      </c>
      <c r="T398" s="87">
        <v>0</v>
      </c>
      <c r="U398" s="87">
        <v>0</v>
      </c>
      <c r="V398" s="87">
        <v>0</v>
      </c>
      <c r="W398" s="87">
        <v>0</v>
      </c>
      <c r="X398" s="87">
        <v>0</v>
      </c>
      <c r="Y398" s="87">
        <v>0</v>
      </c>
      <c r="Z398" s="87">
        <v>0</v>
      </c>
    </row>
    <row r="399" spans="1:26">
      <c r="A399" s="87" t="str">
        <f t="shared" si="8"/>
        <v>Enclosure Seal</v>
      </c>
      <c r="B399" s="87">
        <v>0</v>
      </c>
      <c r="C399" s="87">
        <v>0</v>
      </c>
      <c r="D399" s="87">
        <v>0</v>
      </c>
      <c r="E399" s="87">
        <v>0</v>
      </c>
      <c r="F399" s="87">
        <v>0</v>
      </c>
      <c r="G399" s="87">
        <v>0</v>
      </c>
      <c r="H399" s="87">
        <v>0</v>
      </c>
      <c r="I399" s="87">
        <v>0</v>
      </c>
      <c r="J399" s="87">
        <v>0</v>
      </c>
      <c r="K399" s="87">
        <v>0</v>
      </c>
      <c r="L399" s="87">
        <v>0</v>
      </c>
      <c r="M399" s="87">
        <v>0</v>
      </c>
      <c r="N399" s="87">
        <f>B371</f>
        <v>0</v>
      </c>
      <c r="O399" s="87">
        <v>0</v>
      </c>
      <c r="P399" s="87">
        <v>0</v>
      </c>
      <c r="Q399" s="87">
        <v>0</v>
      </c>
      <c r="R399" s="87">
        <v>0</v>
      </c>
      <c r="S399" s="87">
        <v>0</v>
      </c>
      <c r="T399" s="87">
        <v>0</v>
      </c>
      <c r="U399" s="87">
        <v>0</v>
      </c>
      <c r="V399" s="87">
        <v>0</v>
      </c>
      <c r="W399" s="87">
        <v>0</v>
      </c>
      <c r="X399" s="87">
        <v>0</v>
      </c>
      <c r="Y399" s="87">
        <v>0</v>
      </c>
      <c r="Z399" s="87">
        <v>0</v>
      </c>
    </row>
    <row r="400" spans="1:26">
      <c r="A400" s="87" t="str">
        <f t="shared" si="8"/>
        <v>Component Failure</v>
      </c>
      <c r="B400" s="87">
        <v>0</v>
      </c>
      <c r="C400" s="87">
        <v>0</v>
      </c>
      <c r="D400" s="87">
        <v>0</v>
      </c>
      <c r="E400" s="87">
        <v>0</v>
      </c>
      <c r="F400" s="87">
        <v>0</v>
      </c>
      <c r="G400" s="87">
        <v>0</v>
      </c>
      <c r="H400" s="87">
        <v>0</v>
      </c>
      <c r="I400" s="87">
        <v>0</v>
      </c>
      <c r="J400" s="87">
        <v>0</v>
      </c>
      <c r="K400" s="87">
        <v>0</v>
      </c>
      <c r="L400" s="87">
        <v>0</v>
      </c>
      <c r="M400" s="87">
        <v>0</v>
      </c>
      <c r="N400" s="87">
        <v>0</v>
      </c>
      <c r="O400" s="87">
        <f>B372</f>
        <v>0</v>
      </c>
      <c r="P400" s="87">
        <v>0</v>
      </c>
      <c r="Q400" s="87">
        <v>0</v>
      </c>
      <c r="R400" s="87">
        <v>0</v>
      </c>
      <c r="S400" s="87">
        <v>0</v>
      </c>
      <c r="T400" s="87">
        <v>0</v>
      </c>
      <c r="U400" s="87">
        <v>0</v>
      </c>
      <c r="V400" s="87">
        <v>0</v>
      </c>
      <c r="W400" s="87">
        <v>0</v>
      </c>
      <c r="X400" s="87">
        <v>0</v>
      </c>
      <c r="Y400" s="87">
        <v>0</v>
      </c>
      <c r="Z400" s="87">
        <v>0</v>
      </c>
    </row>
    <row r="401" spans="1:26">
      <c r="A401" s="87" t="str">
        <f t="shared" si="8"/>
        <v>Defrost Sync</v>
      </c>
      <c r="B401" s="87">
        <v>0</v>
      </c>
      <c r="C401" s="87">
        <v>0</v>
      </c>
      <c r="D401" s="87">
        <v>0</v>
      </c>
      <c r="E401" s="87">
        <v>0</v>
      </c>
      <c r="F401" s="87">
        <v>0</v>
      </c>
      <c r="G401" s="87">
        <v>0</v>
      </c>
      <c r="H401" s="87">
        <v>0</v>
      </c>
      <c r="I401" s="87">
        <v>0</v>
      </c>
      <c r="J401" s="87">
        <v>0</v>
      </c>
      <c r="K401" s="87">
        <v>0</v>
      </c>
      <c r="L401" s="87">
        <v>0</v>
      </c>
      <c r="M401" s="87">
        <v>0</v>
      </c>
      <c r="N401" s="87">
        <v>0</v>
      </c>
      <c r="O401" s="87">
        <v>0</v>
      </c>
      <c r="P401" s="87">
        <f>B373</f>
        <v>0</v>
      </c>
      <c r="Q401" s="87">
        <v>0</v>
      </c>
      <c r="R401" s="87">
        <v>0</v>
      </c>
      <c r="S401" s="87">
        <v>0</v>
      </c>
      <c r="T401" s="87">
        <v>0</v>
      </c>
      <c r="U401" s="87">
        <v>0</v>
      </c>
      <c r="V401" s="87">
        <v>0</v>
      </c>
      <c r="W401" s="87">
        <v>0</v>
      </c>
      <c r="X401" s="87">
        <v>0</v>
      </c>
      <c r="Y401" s="87">
        <v>0</v>
      </c>
      <c r="Z401" s="87">
        <v>0</v>
      </c>
    </row>
    <row r="402" spans="1:26">
      <c r="A402" s="87" t="str">
        <f t="shared" si="8"/>
        <v>Setpoint change</v>
      </c>
      <c r="B402" s="87">
        <v>0</v>
      </c>
      <c r="C402" s="87">
        <v>0</v>
      </c>
      <c r="D402" s="87">
        <v>0</v>
      </c>
      <c r="E402" s="87">
        <v>0</v>
      </c>
      <c r="F402" s="87">
        <v>0</v>
      </c>
      <c r="G402" s="87">
        <v>0</v>
      </c>
      <c r="H402" s="87">
        <v>0</v>
      </c>
      <c r="I402" s="87">
        <v>0</v>
      </c>
      <c r="J402" s="87">
        <v>0</v>
      </c>
      <c r="K402" s="87">
        <v>0</v>
      </c>
      <c r="L402" s="87">
        <v>0</v>
      </c>
      <c r="M402" s="87">
        <v>0</v>
      </c>
      <c r="N402" s="87">
        <v>0</v>
      </c>
      <c r="O402" s="87">
        <v>0</v>
      </c>
      <c r="P402" s="87">
        <v>0</v>
      </c>
      <c r="Q402" s="87">
        <f>B374</f>
        <v>0</v>
      </c>
      <c r="R402" s="87">
        <v>0</v>
      </c>
      <c r="S402" s="87">
        <v>0</v>
      </c>
      <c r="T402" s="87">
        <v>0</v>
      </c>
      <c r="U402" s="87">
        <v>0</v>
      </c>
      <c r="V402" s="87">
        <v>0</v>
      </c>
      <c r="W402" s="87">
        <v>0</v>
      </c>
      <c r="X402" s="87">
        <v>0</v>
      </c>
      <c r="Y402" s="87">
        <v>0</v>
      </c>
      <c r="Z402" s="87">
        <v>0</v>
      </c>
    </row>
    <row r="403" spans="1:26">
      <c r="A403" s="87" t="str">
        <f t="shared" si="8"/>
        <v>Case End Seal</v>
      </c>
      <c r="B403" s="87">
        <v>0</v>
      </c>
      <c r="C403" s="87">
        <v>0</v>
      </c>
      <c r="D403" s="87">
        <v>0</v>
      </c>
      <c r="E403" s="87">
        <v>0</v>
      </c>
      <c r="F403" s="87">
        <v>0</v>
      </c>
      <c r="G403" s="87">
        <v>0</v>
      </c>
      <c r="H403" s="87">
        <v>0</v>
      </c>
      <c r="I403" s="87">
        <v>0</v>
      </c>
      <c r="J403" s="87">
        <v>0</v>
      </c>
      <c r="K403" s="87">
        <v>0</v>
      </c>
      <c r="L403" s="87">
        <v>0</v>
      </c>
      <c r="M403" s="87">
        <v>0</v>
      </c>
      <c r="N403" s="87">
        <v>0</v>
      </c>
      <c r="O403" s="87">
        <v>0</v>
      </c>
      <c r="P403" s="87">
        <v>0</v>
      </c>
      <c r="Q403" s="87">
        <v>0</v>
      </c>
      <c r="R403" s="87">
        <f>B375</f>
        <v>0</v>
      </c>
      <c r="S403" s="87">
        <v>0</v>
      </c>
      <c r="T403" s="87">
        <v>0</v>
      </c>
      <c r="U403" s="87">
        <v>0</v>
      </c>
      <c r="V403" s="87">
        <v>0</v>
      </c>
      <c r="W403" s="87">
        <v>0</v>
      </c>
      <c r="X403" s="87">
        <v>0</v>
      </c>
      <c r="Y403" s="87">
        <v>0</v>
      </c>
      <c r="Z403" s="87">
        <v>0</v>
      </c>
    </row>
    <row r="404" spans="1:26">
      <c r="A404" s="87" t="str">
        <f t="shared" si="8"/>
        <v>Return Air blocked</v>
      </c>
      <c r="B404" s="87">
        <v>0</v>
      </c>
      <c r="C404" s="87">
        <v>0</v>
      </c>
      <c r="D404" s="87">
        <v>0</v>
      </c>
      <c r="E404" s="87">
        <v>0</v>
      </c>
      <c r="F404" s="87">
        <v>0</v>
      </c>
      <c r="G404" s="87">
        <v>0</v>
      </c>
      <c r="H404" s="87">
        <v>0</v>
      </c>
      <c r="I404" s="87">
        <v>0</v>
      </c>
      <c r="J404" s="87">
        <v>0</v>
      </c>
      <c r="K404" s="87">
        <v>0</v>
      </c>
      <c r="L404" s="87">
        <v>0</v>
      </c>
      <c r="M404" s="87">
        <v>0</v>
      </c>
      <c r="N404" s="87">
        <v>0</v>
      </c>
      <c r="O404" s="87">
        <v>0</v>
      </c>
      <c r="P404" s="87">
        <v>0</v>
      </c>
      <c r="Q404" s="87">
        <v>0</v>
      </c>
      <c r="R404" s="87">
        <v>0</v>
      </c>
      <c r="S404" s="87">
        <f>B376</f>
        <v>0</v>
      </c>
      <c r="T404" s="87">
        <v>0</v>
      </c>
      <c r="U404" s="87">
        <v>0</v>
      </c>
      <c r="V404" s="87">
        <v>0</v>
      </c>
      <c r="W404" s="87">
        <v>0</v>
      </c>
      <c r="X404" s="87">
        <v>0</v>
      </c>
      <c r="Y404" s="87">
        <v>0</v>
      </c>
      <c r="Z404" s="87">
        <v>0</v>
      </c>
    </row>
    <row r="405" spans="1:26">
      <c r="A405" s="87" t="str">
        <f t="shared" si="8"/>
        <v>Freedom</v>
      </c>
      <c r="B405" s="87">
        <v>0</v>
      </c>
      <c r="C405" s="87">
        <v>0</v>
      </c>
      <c r="D405" s="87">
        <v>0</v>
      </c>
      <c r="E405" s="87">
        <v>0</v>
      </c>
      <c r="F405" s="87">
        <v>0</v>
      </c>
      <c r="G405" s="87">
        <v>0</v>
      </c>
      <c r="H405" s="87">
        <v>0</v>
      </c>
      <c r="I405" s="87">
        <v>0</v>
      </c>
      <c r="J405" s="87">
        <v>0</v>
      </c>
      <c r="K405" s="87">
        <v>0</v>
      </c>
      <c r="L405" s="87">
        <v>0</v>
      </c>
      <c r="M405" s="87">
        <v>0</v>
      </c>
      <c r="N405" s="87">
        <v>0</v>
      </c>
      <c r="O405" s="87">
        <v>0</v>
      </c>
      <c r="P405" s="87">
        <v>0</v>
      </c>
      <c r="Q405" s="87">
        <v>0</v>
      </c>
      <c r="R405" s="87">
        <v>0</v>
      </c>
      <c r="S405" s="87">
        <v>0</v>
      </c>
      <c r="T405" s="87">
        <f>B377</f>
        <v>0</v>
      </c>
      <c r="U405" s="87">
        <v>0</v>
      </c>
      <c r="V405" s="87">
        <v>0</v>
      </c>
      <c r="W405" s="87">
        <v>0</v>
      </c>
      <c r="X405" s="87">
        <v>0</v>
      </c>
      <c r="Y405" s="87">
        <v>0</v>
      </c>
      <c r="Z405" s="87">
        <v>0</v>
      </c>
    </row>
    <row r="406" spans="1:26">
      <c r="A406" s="87" t="str">
        <f t="shared" si="8"/>
        <v>Heavy case load</v>
      </c>
      <c r="B406" s="87">
        <v>0</v>
      </c>
      <c r="C406" s="87">
        <v>0</v>
      </c>
      <c r="D406" s="87">
        <v>0</v>
      </c>
      <c r="E406" s="87">
        <v>0</v>
      </c>
      <c r="F406" s="87">
        <v>0</v>
      </c>
      <c r="G406" s="87">
        <v>0</v>
      </c>
      <c r="H406" s="87">
        <v>0</v>
      </c>
      <c r="I406" s="87">
        <v>0</v>
      </c>
      <c r="J406" s="87">
        <v>0</v>
      </c>
      <c r="K406" s="87">
        <v>0</v>
      </c>
      <c r="L406" s="87">
        <v>0</v>
      </c>
      <c r="M406" s="87">
        <v>0</v>
      </c>
      <c r="N406" s="87">
        <v>0</v>
      </c>
      <c r="O406" s="87">
        <v>0</v>
      </c>
      <c r="P406" s="87">
        <v>0</v>
      </c>
      <c r="Q406" s="87">
        <v>0</v>
      </c>
      <c r="R406" s="87">
        <v>0</v>
      </c>
      <c r="S406" s="87">
        <v>0</v>
      </c>
      <c r="T406" s="87">
        <v>0</v>
      </c>
      <c r="U406" s="87">
        <f>B378</f>
        <v>0</v>
      </c>
      <c r="V406" s="87">
        <v>0</v>
      </c>
      <c r="W406" s="87">
        <v>0</v>
      </c>
      <c r="X406" s="87">
        <v>0</v>
      </c>
      <c r="Y406" s="87">
        <v>0</v>
      </c>
      <c r="Z406" s="87">
        <v>0</v>
      </c>
    </row>
    <row r="407" spans="1:26">
      <c r="A407" s="87" t="str">
        <f t="shared" si="8"/>
        <v>Program change - Hussmann</v>
      </c>
      <c r="B407" s="87">
        <v>0</v>
      </c>
      <c r="C407" s="87">
        <v>0</v>
      </c>
      <c r="D407" s="87">
        <v>0</v>
      </c>
      <c r="E407" s="87">
        <v>0</v>
      </c>
      <c r="F407" s="87">
        <v>0</v>
      </c>
      <c r="G407" s="87">
        <v>0</v>
      </c>
      <c r="H407" s="87">
        <v>0</v>
      </c>
      <c r="I407" s="87">
        <v>0</v>
      </c>
      <c r="J407" s="87">
        <v>0</v>
      </c>
      <c r="K407" s="87">
        <v>0</v>
      </c>
      <c r="L407" s="87">
        <v>0</v>
      </c>
      <c r="M407" s="87">
        <v>0</v>
      </c>
      <c r="N407" s="87">
        <v>0</v>
      </c>
      <c r="O407" s="87">
        <v>0</v>
      </c>
      <c r="P407" s="87">
        <v>0</v>
      </c>
      <c r="Q407" s="87">
        <v>0</v>
      </c>
      <c r="R407" s="87">
        <v>0</v>
      </c>
      <c r="S407" s="87">
        <v>0</v>
      </c>
      <c r="T407" s="87">
        <v>0</v>
      </c>
      <c r="U407" s="87">
        <v>0</v>
      </c>
      <c r="V407" s="87">
        <f>B379</f>
        <v>0</v>
      </c>
      <c r="W407" s="87">
        <v>0</v>
      </c>
      <c r="X407" s="87">
        <v>0</v>
      </c>
      <c r="Y407" s="87">
        <v>0</v>
      </c>
      <c r="Z407" s="87">
        <v>0</v>
      </c>
    </row>
    <row r="408" spans="1:26">
      <c r="A408" s="87" t="str">
        <f t="shared" si="8"/>
        <v/>
      </c>
      <c r="B408" s="87">
        <v>0</v>
      </c>
      <c r="C408" s="87">
        <v>0</v>
      </c>
      <c r="D408" s="87">
        <v>0</v>
      </c>
      <c r="E408" s="87">
        <v>0</v>
      </c>
      <c r="F408" s="87">
        <v>0</v>
      </c>
      <c r="G408" s="87">
        <v>0</v>
      </c>
      <c r="H408" s="87">
        <v>0</v>
      </c>
      <c r="I408" s="87">
        <v>0</v>
      </c>
      <c r="J408" s="87">
        <v>0</v>
      </c>
      <c r="K408" s="87">
        <v>0</v>
      </c>
      <c r="L408" s="87">
        <v>0</v>
      </c>
      <c r="M408" s="87">
        <v>0</v>
      </c>
      <c r="N408" s="87">
        <v>0</v>
      </c>
      <c r="O408" s="87">
        <v>0</v>
      </c>
      <c r="P408" s="87">
        <v>0</v>
      </c>
      <c r="Q408" s="87">
        <v>0</v>
      </c>
      <c r="R408" s="87">
        <v>0</v>
      </c>
      <c r="S408" s="87">
        <v>0</v>
      </c>
      <c r="T408" s="87">
        <v>0</v>
      </c>
      <c r="U408" s="87">
        <v>0</v>
      </c>
      <c r="V408" s="87">
        <v>0</v>
      </c>
      <c r="W408" s="87" t="str">
        <f>B380</f>
        <v/>
      </c>
      <c r="X408" s="87">
        <v>0</v>
      </c>
      <c r="Y408" s="87">
        <v>0</v>
      </c>
      <c r="Z408" s="87">
        <v>0</v>
      </c>
    </row>
    <row r="409" spans="1:26">
      <c r="A409" s="87" t="str">
        <f t="shared" si="8"/>
        <v/>
      </c>
      <c r="B409" s="87">
        <v>0</v>
      </c>
      <c r="C409" s="87">
        <v>0</v>
      </c>
      <c r="D409" s="87">
        <v>0</v>
      </c>
      <c r="E409" s="87">
        <v>0</v>
      </c>
      <c r="F409" s="87">
        <v>0</v>
      </c>
      <c r="G409" s="87">
        <v>0</v>
      </c>
      <c r="H409" s="87">
        <v>0</v>
      </c>
      <c r="I409" s="87">
        <v>0</v>
      </c>
      <c r="J409" s="87">
        <v>0</v>
      </c>
      <c r="K409" s="87">
        <v>0</v>
      </c>
      <c r="L409" s="87">
        <v>0</v>
      </c>
      <c r="M409" s="87">
        <v>0</v>
      </c>
      <c r="N409" s="87">
        <v>0</v>
      </c>
      <c r="O409" s="87">
        <v>0</v>
      </c>
      <c r="P409" s="87">
        <v>0</v>
      </c>
      <c r="Q409" s="87">
        <v>0</v>
      </c>
      <c r="R409" s="87">
        <v>0</v>
      </c>
      <c r="S409" s="87">
        <v>0</v>
      </c>
      <c r="T409" s="87">
        <v>0</v>
      </c>
      <c r="U409" s="87">
        <v>0</v>
      </c>
      <c r="V409" s="87">
        <v>0</v>
      </c>
      <c r="W409" s="87">
        <v>0</v>
      </c>
      <c r="X409" s="87" t="str">
        <f>B381</f>
        <v/>
      </c>
      <c r="Y409" s="87">
        <v>0</v>
      </c>
      <c r="Z409" s="87">
        <v>0</v>
      </c>
    </row>
    <row r="410" spans="1:26">
      <c r="A410" s="87" t="str">
        <f t="shared" si="8"/>
        <v/>
      </c>
      <c r="B410" s="87">
        <v>0</v>
      </c>
      <c r="C410" s="87">
        <v>0</v>
      </c>
      <c r="D410" s="87">
        <v>0</v>
      </c>
      <c r="E410" s="87">
        <v>0</v>
      </c>
      <c r="F410" s="87">
        <v>0</v>
      </c>
      <c r="G410" s="87">
        <v>0</v>
      </c>
      <c r="H410" s="87">
        <v>0</v>
      </c>
      <c r="I410" s="87">
        <v>0</v>
      </c>
      <c r="J410" s="87">
        <v>0</v>
      </c>
      <c r="K410" s="87">
        <v>0</v>
      </c>
      <c r="L410" s="87">
        <v>0</v>
      </c>
      <c r="M410" s="87">
        <v>0</v>
      </c>
      <c r="N410" s="87">
        <v>0</v>
      </c>
      <c r="O410" s="87">
        <v>0</v>
      </c>
      <c r="P410" s="87">
        <v>0</v>
      </c>
      <c r="Q410" s="87">
        <v>0</v>
      </c>
      <c r="R410" s="87">
        <v>0</v>
      </c>
      <c r="S410" s="87">
        <v>0</v>
      </c>
      <c r="T410" s="87">
        <v>0</v>
      </c>
      <c r="U410" s="87">
        <v>0</v>
      </c>
      <c r="V410" s="87">
        <v>0</v>
      </c>
      <c r="W410" s="87">
        <v>0</v>
      </c>
      <c r="X410" s="87">
        <v>0</v>
      </c>
      <c r="Y410" s="87" t="str">
        <f>B382</f>
        <v/>
      </c>
      <c r="Z410" s="87">
        <v>0</v>
      </c>
    </row>
    <row r="411" spans="1:26">
      <c r="A411" s="87" t="str">
        <f t="shared" si="8"/>
        <v/>
      </c>
      <c r="B411" s="87">
        <v>0</v>
      </c>
      <c r="C411" s="87">
        <v>0</v>
      </c>
      <c r="D411" s="87">
        <v>0</v>
      </c>
      <c r="E411" s="87">
        <v>0</v>
      </c>
      <c r="F411" s="87">
        <v>0</v>
      </c>
      <c r="G411" s="87">
        <v>0</v>
      </c>
      <c r="H411" s="87">
        <v>0</v>
      </c>
      <c r="I411" s="87">
        <v>0</v>
      </c>
      <c r="J411" s="87">
        <v>0</v>
      </c>
      <c r="K411" s="87">
        <v>0</v>
      </c>
      <c r="L411" s="87">
        <v>0</v>
      </c>
      <c r="M411" s="87">
        <v>0</v>
      </c>
      <c r="N411" s="87">
        <v>0</v>
      </c>
      <c r="O411" s="87">
        <v>0</v>
      </c>
      <c r="P411" s="87">
        <v>0</v>
      </c>
      <c r="Q411" s="87">
        <v>0</v>
      </c>
      <c r="R411" s="87">
        <v>0</v>
      </c>
      <c r="S411" s="87">
        <v>0</v>
      </c>
      <c r="T411" s="87">
        <v>0</v>
      </c>
      <c r="U411" s="87">
        <v>0</v>
      </c>
      <c r="V411" s="87">
        <v>0</v>
      </c>
      <c r="W411" s="87">
        <v>0</v>
      </c>
      <c r="X411" s="87">
        <v>0</v>
      </c>
      <c r="Y411" s="87">
        <v>0</v>
      </c>
      <c r="Z411" s="87" t="str">
        <f>B383</f>
        <v/>
      </c>
    </row>
    <row r="414" spans="1:26">
      <c r="A414" s="87" t="s">
        <v>1645</v>
      </c>
      <c r="B414" s="87" t="str">
        <f>"RLN3MA - issues after vs before clean point ("&amp;$B$262&amp;")"</f>
        <v>RLN3MA - issues after vs before clean point (Jun 1 to Jul 15)</v>
      </c>
    </row>
    <row r="421" spans="1:8">
      <c r="A421" s="126" t="s">
        <v>1646</v>
      </c>
      <c r="B421" s="127"/>
      <c r="C421" s="127"/>
      <c r="D421" s="127"/>
      <c r="E421" s="127"/>
      <c r="F421" s="127"/>
      <c r="G421" s="127"/>
      <c r="H421" s="127"/>
    </row>
    <row r="422" spans="1:8">
      <c r="A422" s="125" t="s">
        <v>1647</v>
      </c>
      <c r="B422" s="127"/>
      <c r="C422" s="127"/>
      <c r="D422" s="127"/>
      <c r="E422" s="127"/>
      <c r="F422" s="127"/>
      <c r="G422" s="127"/>
      <c r="H422" s="127"/>
    </row>
    <row r="424" spans="1:8">
      <c r="A424" s="87" t="s">
        <v>1643</v>
      </c>
      <c r="B424" s="87" t="str">
        <f>Settings!A75</f>
        <v>RLN2MA</v>
      </c>
    </row>
    <row r="426" spans="1:8">
      <c r="A426" s="119" t="s">
        <v>1139</v>
      </c>
      <c r="B426" s="119" t="s">
        <v>1257</v>
      </c>
      <c r="C426" s="119" t="s">
        <v>1281</v>
      </c>
      <c r="D426" s="119" t="s">
        <v>1574</v>
      </c>
    </row>
    <row r="427" spans="1:8">
      <c r="A427" s="87" t="str">
        <f>Settings!A4</f>
        <v>Ref. leak/ Low charge</v>
      </c>
      <c r="B427" s="87" t="str">
        <f>Settings!B4</f>
        <v>Ref. leak/ Low charge</v>
      </c>
      <c r="C427" s="87">
        <f>IF(A427="","",SUMPRODUCT((Summary!$E$5:$E$241=A427)*ISNUMBER(SEARCH($B$424,Summary!$H$5:$H$241))*ISNUMBER(Summary!$A$5:$A$241)*(Summary!$A$5:$A$241&gt;=IF(set_from="",0,set_from))*(Summary!$A$5:$A$241&lt;IF(set_to="",2958465,set_to+1))))</f>
        <v>0</v>
      </c>
      <c r="D427" s="87">
        <f>IF(A427="","",SUMPRODUCT((Summary!$E$5:$E$241=A427)*(Summary!$G$5:$G$241="Yes")*ISNUMBER(SEARCH($B$424,Summary!$H$5:$H$241))*ISNUMBER(Summary!$A$5:$A$241)*(Summary!$A$5:$A$241&gt;=IF(set_from="",0,set_from))*(Summary!$A$5:$A$241&lt;IF(set_to="",2958465,set_to+1))))</f>
        <v>0</v>
      </c>
    </row>
    <row r="428" spans="1:8">
      <c r="A428" s="87" t="str">
        <f>Settings!A5</f>
        <v>Door Torque</v>
      </c>
      <c r="B428" s="87" t="str">
        <f>Settings!B5</f>
        <v>Doors</v>
      </c>
      <c r="C428" s="87">
        <f>IF(A428="","",SUMPRODUCT((Summary!$E$5:$E$241=A428)*ISNUMBER(SEARCH($B$424,Summary!$H$5:$H$241))*ISNUMBER(Summary!$A$5:$A$241)*(Summary!$A$5:$A$241&gt;=IF(set_from="",0,set_from))*(Summary!$A$5:$A$241&lt;IF(set_to="",2958465,set_to+1))))</f>
        <v>3</v>
      </c>
      <c r="D428" s="87">
        <f>IF(A428="","",SUMPRODUCT((Summary!$E$5:$E$241=A428)*(Summary!$G$5:$G$241="Yes")*ISNUMBER(SEARCH($B$424,Summary!$H$5:$H$241))*ISNUMBER(Summary!$A$5:$A$241)*(Summary!$A$5:$A$241&gt;=IF(set_from="",0,set_from))*(Summary!$A$5:$A$241&lt;IF(set_to="",2958465,set_to+1))))</f>
        <v>0</v>
      </c>
    </row>
    <row r="429" spans="1:8">
      <c r="A429" s="87" t="str">
        <f>Settings!A6</f>
        <v>Door Gasket</v>
      </c>
      <c r="B429" s="87" t="str">
        <f>Settings!B6</f>
        <v>Doors</v>
      </c>
      <c r="C429" s="87">
        <f>IF(A429="","",SUMPRODUCT((Summary!$E$5:$E$241=A429)*ISNUMBER(SEARCH($B$424,Summary!$H$5:$H$241))*ISNUMBER(Summary!$A$5:$A$241)*(Summary!$A$5:$A$241&gt;=IF(set_from="",0,set_from))*(Summary!$A$5:$A$241&lt;IF(set_to="",2958465,set_to+1))))</f>
        <v>2</v>
      </c>
      <c r="D429" s="87">
        <f>IF(A429="","",SUMPRODUCT((Summary!$E$5:$E$241=A429)*(Summary!$G$5:$G$241="Yes")*ISNUMBER(SEARCH($B$424,Summary!$H$5:$H$241))*ISNUMBER(Summary!$A$5:$A$241)*(Summary!$A$5:$A$241&gt;=IF(set_from="",0,set_from))*(Summary!$A$5:$A$241&lt;IF(set_to="",2958465,set_to+1))))</f>
        <v>0</v>
      </c>
    </row>
    <row r="430" spans="1:8">
      <c r="A430" s="87" t="str">
        <f>Settings!A7</f>
        <v>Door frame heater</v>
      </c>
      <c r="B430" s="87" t="str">
        <f>Settings!B7</f>
        <v>Doors</v>
      </c>
      <c r="C430" s="87">
        <f>IF(A430="","",SUMPRODUCT((Summary!$E$5:$E$241=A430)*ISNUMBER(SEARCH($B$424,Summary!$H$5:$H$241))*ISNUMBER(Summary!$A$5:$A$241)*(Summary!$A$5:$A$241&gt;=IF(set_from="",0,set_from))*(Summary!$A$5:$A$241&lt;IF(set_to="",2958465,set_to+1))))</f>
        <v>0</v>
      </c>
      <c r="D430" s="87">
        <f>IF(A430="","",SUMPRODUCT((Summary!$E$5:$E$241=A430)*(Summary!$G$5:$G$241="Yes")*ISNUMBER(SEARCH($B$424,Summary!$H$5:$H$241))*ISNUMBER(Summary!$A$5:$A$241)*(Summary!$A$5:$A$241&gt;=IF(set_from="",0,set_from))*(Summary!$A$5:$A$241&lt;IF(set_to="",2958465,set_to+1))))</f>
        <v>0</v>
      </c>
    </row>
    <row r="431" spans="1:8">
      <c r="A431" s="87" t="str">
        <f>Settings!A8</f>
        <v>Door Torsion rod</v>
      </c>
      <c r="B431" s="87" t="str">
        <f>Settings!B8</f>
        <v>Doors</v>
      </c>
      <c r="C431" s="87">
        <f>IF(A431="","",SUMPRODUCT((Summary!$E$5:$E$241=A431)*ISNUMBER(SEARCH($B$424,Summary!$H$5:$H$241))*ISNUMBER(Summary!$A$5:$A$241)*(Summary!$A$5:$A$241&gt;=IF(set_from="",0,set_from))*(Summary!$A$5:$A$241&lt;IF(set_to="",2958465,set_to+1))))</f>
        <v>0</v>
      </c>
      <c r="D431" s="87">
        <f>IF(A431="","",SUMPRODUCT((Summary!$E$5:$E$241=A431)*(Summary!$G$5:$G$241="Yes")*ISNUMBER(SEARCH($B$424,Summary!$H$5:$H$241))*ISNUMBER(Summary!$A$5:$A$241)*(Summary!$A$5:$A$241&gt;=IF(set_from="",0,set_from))*(Summary!$A$5:$A$241&lt;IF(set_to="",2958465,set_to+1))))</f>
        <v>0</v>
      </c>
    </row>
    <row r="432" spans="1:8">
      <c r="A432" s="87" t="str">
        <f>Settings!A9</f>
        <v>Door not closed (Overnight)</v>
      </c>
      <c r="B432" s="87" t="str">
        <f>Settings!B9</f>
        <v>Doors</v>
      </c>
      <c r="C432" s="87">
        <f>IF(A432="","",SUMPRODUCT((Summary!$E$5:$E$241=A432)*ISNUMBER(SEARCH($B$424,Summary!$H$5:$H$241))*ISNUMBER(Summary!$A$5:$A$241)*(Summary!$A$5:$A$241&gt;=IF(set_from="",0,set_from))*(Summary!$A$5:$A$241&lt;IF(set_to="",2958465,set_to+1))))</f>
        <v>3</v>
      </c>
      <c r="D432" s="87">
        <f>IF(A432="","",SUMPRODUCT((Summary!$E$5:$E$241=A432)*(Summary!$G$5:$G$241="Yes")*ISNUMBER(SEARCH($B$424,Summary!$H$5:$H$241))*ISNUMBER(Summary!$A$5:$A$241)*(Summary!$A$5:$A$241&gt;=IF(set_from="",0,set_from))*(Summary!$A$5:$A$241&lt;IF(set_to="",2958465,set_to+1))))</f>
        <v>0</v>
      </c>
    </row>
    <row r="433" spans="1:4">
      <c r="A433" s="87" t="str">
        <f>Settings!A10</f>
        <v>Door - general</v>
      </c>
      <c r="B433" s="87" t="str">
        <f>Settings!B10</f>
        <v>Doors</v>
      </c>
      <c r="C433" s="87">
        <f>IF(A433="","",SUMPRODUCT((Summary!$E$5:$E$241=A433)*ISNUMBER(SEARCH($B$424,Summary!$H$5:$H$241))*ISNUMBER(Summary!$A$5:$A$241)*(Summary!$A$5:$A$241&gt;=IF(set_from="",0,set_from))*(Summary!$A$5:$A$241&lt;IF(set_to="",2958465,set_to+1))))</f>
        <v>0</v>
      </c>
      <c r="D433" s="87">
        <f>IF(A433="","",SUMPRODUCT((Summary!$E$5:$E$241=A433)*(Summary!$G$5:$G$241="Yes")*ISNUMBER(SEARCH($B$424,Summary!$H$5:$H$241))*ISNUMBER(Summary!$A$5:$A$241)*(Summary!$A$5:$A$241&gt;=IF(set_from="",0,set_from))*(Summary!$A$5:$A$241&lt;IF(set_to="",2958465,set_to+1))))</f>
        <v>0</v>
      </c>
    </row>
    <row r="434" spans="1:4">
      <c r="A434" s="87" t="str">
        <f>Settings!A11</f>
        <v>Drain tube blocked</v>
      </c>
      <c r="B434" s="87" t="str">
        <f>Settings!B11</f>
        <v>Drain tube blocked</v>
      </c>
      <c r="C434" s="87">
        <f>IF(A434="","",SUMPRODUCT((Summary!$E$5:$E$241=A434)*ISNUMBER(SEARCH($B$424,Summary!$H$5:$H$241))*ISNUMBER(Summary!$A$5:$A$241)*(Summary!$A$5:$A$241&gt;=IF(set_from="",0,set_from))*(Summary!$A$5:$A$241&lt;IF(set_to="",2958465,set_to+1))))</f>
        <v>0</v>
      </c>
      <c r="D434" s="87">
        <f>IF(A434="","",SUMPRODUCT((Summary!$E$5:$E$241=A434)*(Summary!$G$5:$G$241="Yes")*ISNUMBER(SEARCH($B$424,Summary!$H$5:$H$241))*ISNUMBER(Summary!$A$5:$A$241)*(Summary!$A$5:$A$241&gt;=IF(set_from="",0,set_from))*(Summary!$A$5:$A$241&lt;IF(set_to="",2958465,set_to+1))))</f>
        <v>0</v>
      </c>
    </row>
    <row r="435" spans="1:4">
      <c r="A435" s="87" t="str">
        <f>Settings!A12</f>
        <v>Wrong / Loose wiring</v>
      </c>
      <c r="B435" s="87" t="str">
        <f>Settings!B12</f>
        <v>Wrong / Loose wiring</v>
      </c>
      <c r="C435" s="87">
        <f>IF(A435="","",SUMPRODUCT((Summary!$E$5:$E$241=A435)*ISNUMBER(SEARCH($B$424,Summary!$H$5:$H$241))*ISNUMBER(Summary!$A$5:$A$241)*(Summary!$A$5:$A$241&gt;=IF(set_from="",0,set_from))*(Summary!$A$5:$A$241&lt;IF(set_to="",2958465,set_to+1))))</f>
        <v>0</v>
      </c>
      <c r="D435" s="87">
        <f>IF(A435="","",SUMPRODUCT((Summary!$E$5:$E$241=A435)*(Summary!$G$5:$G$241="Yes")*ISNUMBER(SEARCH($B$424,Summary!$H$5:$H$241))*ISNUMBER(Summary!$A$5:$A$241)*(Summary!$A$5:$A$241&gt;=IF(set_from="",0,set_from))*(Summary!$A$5:$A$241&lt;IF(set_to="",2958465,set_to+1))))</f>
        <v>0</v>
      </c>
    </row>
    <row r="436" spans="1:4">
      <c r="A436" s="87" t="str">
        <f>Settings!A13</f>
        <v>Communication problem</v>
      </c>
      <c r="B436" s="87" t="str">
        <f>Settings!B13</f>
        <v>Communication problem</v>
      </c>
      <c r="C436" s="87">
        <f>IF(A436="","",SUMPRODUCT((Summary!$E$5:$E$241=A436)*ISNUMBER(SEARCH($B$424,Summary!$H$5:$H$241))*ISNUMBER(Summary!$A$5:$A$241)*(Summary!$A$5:$A$241&gt;=IF(set_from="",0,set_from))*(Summary!$A$5:$A$241&lt;IF(set_to="",2958465,set_to+1))))</f>
        <v>3</v>
      </c>
      <c r="D436" s="87">
        <f>IF(A436="","",SUMPRODUCT((Summary!$E$5:$E$241=A436)*(Summary!$G$5:$G$241="Yes")*ISNUMBER(SEARCH($B$424,Summary!$H$5:$H$241))*ISNUMBER(Summary!$A$5:$A$241)*(Summary!$A$5:$A$241&gt;=IF(set_from="",0,set_from))*(Summary!$A$5:$A$241&lt;IF(set_to="",2958465,set_to+1))))</f>
        <v>0</v>
      </c>
    </row>
    <row r="437" spans="1:4">
      <c r="A437" s="87" t="str">
        <f>Settings!A14</f>
        <v>High Store RH</v>
      </c>
      <c r="B437" s="87" t="str">
        <f>Settings!B14</f>
        <v>High Store RH</v>
      </c>
      <c r="C437" s="87">
        <f>IF(A437="","",SUMPRODUCT((Summary!$E$5:$E$241=A437)*ISNUMBER(SEARCH($B$424,Summary!$H$5:$H$241))*ISNUMBER(Summary!$A$5:$A$241)*(Summary!$A$5:$A$241&gt;=IF(set_from="",0,set_from))*(Summary!$A$5:$A$241&lt;IF(set_to="",2958465,set_to+1))))</f>
        <v>3</v>
      </c>
      <c r="D437" s="87">
        <f>IF(A437="","",SUMPRODUCT((Summary!$E$5:$E$241=A437)*(Summary!$G$5:$G$241="Yes")*ISNUMBER(SEARCH($B$424,Summary!$H$5:$H$241))*ISNUMBER(Summary!$A$5:$A$241)*(Summary!$A$5:$A$241&gt;=IF(set_from="",0,set_from))*(Summary!$A$5:$A$241&lt;IF(set_to="",2958465,set_to+1))))</f>
        <v>1</v>
      </c>
    </row>
    <row r="438" spans="1:4">
      <c r="A438" s="87" t="str">
        <f>Settings!A15</f>
        <v>Enclosure Seal</v>
      </c>
      <c r="B438" s="87" t="str">
        <f>Settings!B15</f>
        <v>Enclosure Seal</v>
      </c>
      <c r="C438" s="87">
        <f>IF(A438="","",SUMPRODUCT((Summary!$E$5:$E$241=A438)*ISNUMBER(SEARCH($B$424,Summary!$H$5:$H$241))*ISNUMBER(Summary!$A$5:$A$241)*(Summary!$A$5:$A$241&gt;=IF(set_from="",0,set_from))*(Summary!$A$5:$A$241&lt;IF(set_to="",2958465,set_to+1))))</f>
        <v>0</v>
      </c>
      <c r="D438" s="87">
        <f>IF(A438="","",SUMPRODUCT((Summary!$E$5:$E$241=A438)*(Summary!$G$5:$G$241="Yes")*ISNUMBER(SEARCH($B$424,Summary!$H$5:$H$241))*ISNUMBER(Summary!$A$5:$A$241)*(Summary!$A$5:$A$241&gt;=IF(set_from="",0,set_from))*(Summary!$A$5:$A$241&lt;IF(set_to="",2958465,set_to+1))))</f>
        <v>0</v>
      </c>
    </row>
    <row r="439" spans="1:4">
      <c r="A439" s="87" t="str">
        <f>Settings!A16</f>
        <v>Component Failure</v>
      </c>
      <c r="B439" s="87" t="str">
        <f>Settings!B16</f>
        <v>Component Failure</v>
      </c>
      <c r="C439" s="87">
        <f>IF(A439="","",SUMPRODUCT((Summary!$E$5:$E$241=A439)*ISNUMBER(SEARCH($B$424,Summary!$H$5:$H$241))*ISNUMBER(Summary!$A$5:$A$241)*(Summary!$A$5:$A$241&gt;=IF(set_from="",0,set_from))*(Summary!$A$5:$A$241&lt;IF(set_to="",2958465,set_to+1))))</f>
        <v>2</v>
      </c>
      <c r="D439" s="87">
        <f>IF(A439="","",SUMPRODUCT((Summary!$E$5:$E$241=A439)*(Summary!$G$5:$G$241="Yes")*ISNUMBER(SEARCH($B$424,Summary!$H$5:$H$241))*ISNUMBER(Summary!$A$5:$A$241)*(Summary!$A$5:$A$241&gt;=IF(set_from="",0,set_from))*(Summary!$A$5:$A$241&lt;IF(set_to="",2958465,set_to+1))))</f>
        <v>0</v>
      </c>
    </row>
    <row r="440" spans="1:4">
      <c r="A440" s="87" t="str">
        <f>Settings!A17</f>
        <v>Defrost Sync</v>
      </c>
      <c r="B440" s="87" t="str">
        <f>Settings!B17</f>
        <v>Defrost Sync</v>
      </c>
      <c r="C440" s="87">
        <f>IF(A440="","",SUMPRODUCT((Summary!$E$5:$E$241=A440)*ISNUMBER(SEARCH($B$424,Summary!$H$5:$H$241))*ISNUMBER(Summary!$A$5:$A$241)*(Summary!$A$5:$A$241&gt;=IF(set_from="",0,set_from))*(Summary!$A$5:$A$241&lt;IF(set_to="",2958465,set_to+1))))</f>
        <v>0</v>
      </c>
      <c r="D440" s="87">
        <f>IF(A440="","",SUMPRODUCT((Summary!$E$5:$E$241=A440)*(Summary!$G$5:$G$241="Yes")*ISNUMBER(SEARCH($B$424,Summary!$H$5:$H$241))*ISNUMBER(Summary!$A$5:$A$241)*(Summary!$A$5:$A$241&gt;=IF(set_from="",0,set_from))*(Summary!$A$5:$A$241&lt;IF(set_to="",2958465,set_to+1))))</f>
        <v>0</v>
      </c>
    </row>
    <row r="441" spans="1:4">
      <c r="A441" s="87" t="str">
        <f>Settings!A18</f>
        <v>False Alarm</v>
      </c>
      <c r="B441" s="87" t="str">
        <f>Settings!B18</f>
        <v>False Alarm</v>
      </c>
      <c r="C441" s="87">
        <f>IF(A441="","",SUMPRODUCT((Summary!$E$5:$E$241=A441)*ISNUMBER(SEARCH($B$424,Summary!$H$5:$H$241))*ISNUMBER(Summary!$A$5:$A$241)*(Summary!$A$5:$A$241&gt;=IF(set_from="",0,set_from))*(Summary!$A$5:$A$241&lt;IF(set_to="",2958465,set_to+1))))</f>
        <v>2</v>
      </c>
      <c r="D441" s="87">
        <f>IF(A441="","",SUMPRODUCT((Summary!$E$5:$E$241=A441)*(Summary!$G$5:$G$241="Yes")*ISNUMBER(SEARCH($B$424,Summary!$H$5:$H$241))*ISNUMBER(Summary!$A$5:$A$241)*(Summary!$A$5:$A$241&gt;=IF(set_from="",0,set_from))*(Summary!$A$5:$A$241&lt;IF(set_to="",2958465,set_to+1))))</f>
        <v>1</v>
      </c>
    </row>
    <row r="442" spans="1:4">
      <c r="A442" s="87" t="str">
        <f>Settings!A19</f>
        <v>Setpoint change</v>
      </c>
      <c r="B442" s="87" t="str">
        <f>Settings!B19</f>
        <v>Setpoint change</v>
      </c>
      <c r="C442" s="87">
        <f>IF(A442="","",SUMPRODUCT((Summary!$E$5:$E$241=A442)*ISNUMBER(SEARCH($B$424,Summary!$H$5:$H$241))*ISNUMBER(Summary!$A$5:$A$241)*(Summary!$A$5:$A$241&gt;=IF(set_from="",0,set_from))*(Summary!$A$5:$A$241&lt;IF(set_to="",2958465,set_to+1))))</f>
        <v>0</v>
      </c>
      <c r="D442" s="87">
        <f>IF(A442="","",SUMPRODUCT((Summary!$E$5:$E$241=A442)*(Summary!$G$5:$G$241="Yes")*ISNUMBER(SEARCH($B$424,Summary!$H$5:$H$241))*ISNUMBER(Summary!$A$5:$A$241)*(Summary!$A$5:$A$241&gt;=IF(set_from="",0,set_from))*(Summary!$A$5:$A$241&lt;IF(set_to="",2958465,set_to+1))))</f>
        <v>0</v>
      </c>
    </row>
    <row r="443" spans="1:4">
      <c r="A443" s="87" t="str">
        <f>Settings!A20</f>
        <v>Overstocking</v>
      </c>
      <c r="B443" s="87" t="str">
        <f>Settings!B20</f>
        <v>Overstocking</v>
      </c>
      <c r="C443" s="87">
        <f>IF(A443="","",SUMPRODUCT((Summary!$E$5:$E$241=A443)*ISNUMBER(SEARCH($B$424,Summary!$H$5:$H$241))*ISNUMBER(Summary!$A$5:$A$241)*(Summary!$A$5:$A$241&gt;=IF(set_from="",0,set_from))*(Summary!$A$5:$A$241&lt;IF(set_to="",2958465,set_to+1))))</f>
        <v>1</v>
      </c>
      <c r="D443" s="87">
        <f>IF(A443="","",SUMPRODUCT((Summary!$E$5:$E$241=A443)*(Summary!$G$5:$G$241="Yes")*ISNUMBER(SEARCH($B$424,Summary!$H$5:$H$241))*ISNUMBER(Summary!$A$5:$A$241)*(Summary!$A$5:$A$241&gt;=IF(set_from="",0,set_from))*(Summary!$A$5:$A$241&lt;IF(set_to="",2958465,set_to+1))))</f>
        <v>1</v>
      </c>
    </row>
    <row r="444" spans="1:4">
      <c r="A444" s="87" t="str">
        <f>Settings!A21</f>
        <v>Case End Seal</v>
      </c>
      <c r="B444" s="87" t="str">
        <f>Settings!B21</f>
        <v>Case End Seal</v>
      </c>
      <c r="C444" s="87">
        <f>IF(A444="","",SUMPRODUCT((Summary!$E$5:$E$241=A444)*ISNUMBER(SEARCH($B$424,Summary!$H$5:$H$241))*ISNUMBER(Summary!$A$5:$A$241)*(Summary!$A$5:$A$241&gt;=IF(set_from="",0,set_from))*(Summary!$A$5:$A$241&lt;IF(set_to="",2958465,set_to+1))))</f>
        <v>0</v>
      </c>
      <c r="D444" s="87">
        <f>IF(A444="","",SUMPRODUCT((Summary!$E$5:$E$241=A444)*(Summary!$G$5:$G$241="Yes")*ISNUMBER(SEARCH($B$424,Summary!$H$5:$H$241))*ISNUMBER(Summary!$A$5:$A$241)*(Summary!$A$5:$A$241&gt;=IF(set_from="",0,set_from))*(Summary!$A$5:$A$241&lt;IF(set_to="",2958465,set_to+1))))</f>
        <v>0</v>
      </c>
    </row>
    <row r="445" spans="1:4">
      <c r="A445" s="87" t="str">
        <f>Settings!A22</f>
        <v>Return Air blocked</v>
      </c>
      <c r="B445" s="87" t="str">
        <f>Settings!B22</f>
        <v>Return Air blocked</v>
      </c>
      <c r="C445" s="87">
        <f>IF(A445="","",SUMPRODUCT((Summary!$E$5:$E$241=A445)*ISNUMBER(SEARCH($B$424,Summary!$H$5:$H$241))*ISNUMBER(Summary!$A$5:$A$241)*(Summary!$A$5:$A$241&gt;=IF(set_from="",0,set_from))*(Summary!$A$5:$A$241&lt;IF(set_to="",2958465,set_to+1))))</f>
        <v>0</v>
      </c>
      <c r="D445" s="87">
        <f>IF(A445="","",SUMPRODUCT((Summary!$E$5:$E$241=A445)*(Summary!$G$5:$G$241="Yes")*ISNUMBER(SEARCH($B$424,Summary!$H$5:$H$241))*ISNUMBER(Summary!$A$5:$A$241)*(Summary!$A$5:$A$241&gt;=IF(set_from="",0,set_from))*(Summary!$A$5:$A$241&lt;IF(set_to="",2958465,set_to+1))))</f>
        <v>0</v>
      </c>
    </row>
    <row r="446" spans="1:4">
      <c r="A446" s="87" t="str">
        <f>Settings!A23</f>
        <v>Unidentified air leak</v>
      </c>
      <c r="B446" s="87" t="str">
        <f>Settings!B23</f>
        <v>Unidentified air leak</v>
      </c>
      <c r="C446" s="87">
        <f>IF(A446="","",SUMPRODUCT((Summary!$E$5:$E$241=A446)*ISNUMBER(SEARCH($B$424,Summary!$H$5:$H$241))*ISNUMBER(Summary!$A$5:$A$241)*(Summary!$A$5:$A$241&gt;=IF(set_from="",0,set_from))*(Summary!$A$5:$A$241&lt;IF(set_to="",2958465,set_to+1))))</f>
        <v>0</v>
      </c>
      <c r="D446" s="87">
        <f>IF(A446="","",SUMPRODUCT((Summary!$E$5:$E$241=A446)*(Summary!$G$5:$G$241="Yes")*ISNUMBER(SEARCH($B$424,Summary!$H$5:$H$241))*ISNUMBER(Summary!$A$5:$A$241)*(Summary!$A$5:$A$241&gt;=IF(set_from="",0,set_from))*(Summary!$A$5:$A$241&lt;IF(set_to="",2958465,set_to+1))))</f>
        <v>0</v>
      </c>
    </row>
    <row r="447" spans="1:4">
      <c r="A447" s="87" t="str">
        <f>Settings!A24</f>
        <v>Freedom</v>
      </c>
      <c r="B447" s="87" t="str">
        <f>Settings!B24</f>
        <v>Freedom</v>
      </c>
      <c r="C447" s="87">
        <f>IF(A447="","",SUMPRODUCT((Summary!$E$5:$E$241=A447)*ISNUMBER(SEARCH($B$424,Summary!$H$5:$H$241))*ISNUMBER(Summary!$A$5:$A$241)*(Summary!$A$5:$A$241&gt;=IF(set_from="",0,set_from))*(Summary!$A$5:$A$241&lt;IF(set_to="",2958465,set_to+1))))</f>
        <v>1</v>
      </c>
      <c r="D447" s="87">
        <f>IF(A447="","",SUMPRODUCT((Summary!$E$5:$E$241=A447)*(Summary!$G$5:$G$241="Yes")*ISNUMBER(SEARCH($B$424,Summary!$H$5:$H$241))*ISNUMBER(Summary!$A$5:$A$241)*(Summary!$A$5:$A$241&gt;=IF(set_from="",0,set_from))*(Summary!$A$5:$A$241&lt;IF(set_to="",2958465,set_to+1))))</f>
        <v>0</v>
      </c>
    </row>
    <row r="448" spans="1:4">
      <c r="A448" s="87" t="str">
        <f>Settings!A25</f>
        <v>Heavy case load</v>
      </c>
      <c r="B448" s="87" t="str">
        <f>Settings!B25</f>
        <v>Heavy case load</v>
      </c>
      <c r="C448" s="87">
        <f>IF(A448="","",SUMPRODUCT((Summary!$E$5:$E$241=A448)*ISNUMBER(SEARCH($B$424,Summary!$H$5:$H$241))*ISNUMBER(Summary!$A$5:$A$241)*(Summary!$A$5:$A$241&gt;=IF(set_from="",0,set_from))*(Summary!$A$5:$A$241&lt;IF(set_to="",2958465,set_to+1))))</f>
        <v>0</v>
      </c>
      <c r="D448" s="87">
        <f>IF(A448="","",SUMPRODUCT((Summary!$E$5:$E$241=A448)*(Summary!$G$5:$G$241="Yes")*ISNUMBER(SEARCH($B$424,Summary!$H$5:$H$241))*ISNUMBER(Summary!$A$5:$A$241)*(Summary!$A$5:$A$241&gt;=IF(set_from="",0,set_from))*(Summary!$A$5:$A$241&lt;IF(set_to="",2958465,set_to+1))))</f>
        <v>0</v>
      </c>
    </row>
    <row r="449" spans="1:4">
      <c r="A449" s="87" t="str">
        <f>Settings!A26</f>
        <v>DG Installation issue</v>
      </c>
      <c r="B449" s="87" t="str">
        <f>Settings!B26</f>
        <v>DG Installation issue</v>
      </c>
      <c r="C449" s="87">
        <f>IF(A449="","",SUMPRODUCT((Summary!$E$5:$E$241=A449)*ISNUMBER(SEARCH($B$424,Summary!$H$5:$H$241))*ISNUMBER(Summary!$A$5:$A$241)*(Summary!$A$5:$A$241&gt;=IF(set_from="",0,set_from))*(Summary!$A$5:$A$241&lt;IF(set_to="",2958465,set_to+1))))</f>
        <v>0</v>
      </c>
      <c r="D449" s="87">
        <f>IF(A449="","",SUMPRODUCT((Summary!$E$5:$E$241=A449)*(Summary!$G$5:$G$241="Yes")*ISNUMBER(SEARCH($B$424,Summary!$H$5:$H$241))*ISNUMBER(Summary!$A$5:$A$241)*(Summary!$A$5:$A$241&gt;=IF(set_from="",0,set_from))*(Summary!$A$5:$A$241&lt;IF(set_to="",2958465,set_to+1))))</f>
        <v>0</v>
      </c>
    </row>
    <row r="450" spans="1:4">
      <c r="A450" s="87" t="str">
        <f>Settings!A27</f>
        <v>Unknown</v>
      </c>
      <c r="B450" s="87" t="str">
        <f>Settings!B27</f>
        <v>Unknown</v>
      </c>
      <c r="C450" s="87">
        <f>IF(A450="","",SUMPRODUCT((Summary!$E$5:$E$241=A450)*ISNUMBER(SEARCH($B$424,Summary!$H$5:$H$241))*ISNUMBER(Summary!$A$5:$A$241)*(Summary!$A$5:$A$241&gt;=IF(set_from="",0,set_from))*(Summary!$A$5:$A$241&lt;IF(set_to="",2958465,set_to+1))))</f>
        <v>1</v>
      </c>
      <c r="D450" s="87">
        <f>IF(A450="","",SUMPRODUCT((Summary!$E$5:$E$241=A450)*(Summary!$G$5:$G$241="Yes")*ISNUMBER(SEARCH($B$424,Summary!$H$5:$H$241))*ISNUMBER(Summary!$A$5:$A$241)*(Summary!$A$5:$A$241&gt;=IF(set_from="",0,set_from))*(Summary!$A$5:$A$241&lt;IF(set_to="",2958465,set_to+1))))</f>
        <v>0</v>
      </c>
    </row>
    <row r="451" spans="1:4">
      <c r="A451" s="87" t="str">
        <f>Settings!A28</f>
        <v>Program change - Hussmann</v>
      </c>
      <c r="B451" s="87" t="str">
        <f>Settings!B28</f>
        <v>Program change - Hussmann</v>
      </c>
      <c r="C451" s="87">
        <f>IF(A451="","",SUMPRODUCT((Summary!$E$5:$E$241=A451)*ISNUMBER(SEARCH($B$424,Summary!$H$5:$H$241))*ISNUMBER(Summary!$A$5:$A$241)*(Summary!$A$5:$A$241&gt;=IF(set_from="",0,set_from))*(Summary!$A$5:$A$241&lt;IF(set_to="",2958465,set_to+1))))</f>
        <v>0</v>
      </c>
      <c r="D451" s="87">
        <f>IF(A451="","",SUMPRODUCT((Summary!$E$5:$E$241=A451)*(Summary!$G$5:$G$241="Yes")*ISNUMBER(SEARCH($B$424,Summary!$H$5:$H$241))*ISNUMBER(Summary!$A$5:$A$241)*(Summary!$A$5:$A$241&gt;=IF(set_from="",0,set_from))*(Summary!$A$5:$A$241&lt;IF(set_to="",2958465,set_to+1))))</f>
        <v>0</v>
      </c>
    </row>
    <row r="452" spans="1:4">
      <c r="A452" s="87" t="str">
        <f>Settings!A29</f>
        <v>Wrong program</v>
      </c>
      <c r="B452" s="87" t="str">
        <f>Settings!B29</f>
        <v>Wrong program</v>
      </c>
      <c r="C452" s="87">
        <f>IF(A452="","",SUMPRODUCT((Summary!$E$5:$E$241=A452)*ISNUMBER(SEARCH($B$424,Summary!$H$5:$H$241))*ISNUMBER(Summary!$A$5:$A$241)*(Summary!$A$5:$A$241&gt;=IF(set_from="",0,set_from))*(Summary!$A$5:$A$241&lt;IF(set_to="",2958465,set_to+1))))</f>
        <v>0</v>
      </c>
      <c r="D452" s="87">
        <f>IF(A452="","",SUMPRODUCT((Summary!$E$5:$E$241=A452)*(Summary!$G$5:$G$241="Yes")*ISNUMBER(SEARCH($B$424,Summary!$H$5:$H$241))*ISNUMBER(Summary!$A$5:$A$241)*(Summary!$A$5:$A$241&gt;=IF(set_from="",0,set_from))*(Summary!$A$5:$A$241&lt;IF(set_to="",2958465,set_to+1))))</f>
        <v>0</v>
      </c>
    </row>
    <row r="453" spans="1:4">
      <c r="A453" s="87">
        <f>Settings!A30</f>
        <v>0</v>
      </c>
      <c r="B453" s="87">
        <f>Settings!B30</f>
        <v>0</v>
      </c>
      <c r="C453" s="87">
        <f>IF(A453="","",SUMPRODUCT((Summary!$E$5:$E$241=A453)*ISNUMBER(SEARCH($B$424,Summary!$H$5:$H$241))*ISNUMBER(Summary!$A$5:$A$241)*(Summary!$A$5:$A$241&gt;=IF(set_from="",0,set_from))*(Summary!$A$5:$A$241&lt;IF(set_to="",2958465,set_to+1))))</f>
        <v>0</v>
      </c>
      <c r="D453" s="87">
        <f>IF(A453="","",SUMPRODUCT((Summary!$E$5:$E$241=A453)*(Summary!$G$5:$G$241="Yes")*ISNUMBER(SEARCH($B$424,Summary!$H$5:$H$241))*ISNUMBER(Summary!$A$5:$A$241)*(Summary!$A$5:$A$241&gt;=IF(set_from="",0,set_from))*(Summary!$A$5:$A$241&lt;IF(set_to="",2958465,set_to+1))))</f>
        <v>0</v>
      </c>
    </row>
    <row r="454" spans="1:4">
      <c r="A454" s="87">
        <f>Settings!A31</f>
        <v>0</v>
      </c>
      <c r="B454" s="87">
        <f>Settings!B31</f>
        <v>0</v>
      </c>
      <c r="C454" s="87">
        <f>IF(A454="","",SUMPRODUCT((Summary!$E$5:$E$241=A454)*ISNUMBER(SEARCH($B$424,Summary!$H$5:$H$241))*ISNUMBER(Summary!$A$5:$A$241)*(Summary!$A$5:$A$241&gt;=IF(set_from="",0,set_from))*(Summary!$A$5:$A$241&lt;IF(set_to="",2958465,set_to+1))))</f>
        <v>0</v>
      </c>
      <c r="D454" s="87">
        <f>IF(A454="","",SUMPRODUCT((Summary!$E$5:$E$241=A454)*(Summary!$G$5:$G$241="Yes")*ISNUMBER(SEARCH($B$424,Summary!$H$5:$H$241))*ISNUMBER(Summary!$A$5:$A$241)*(Summary!$A$5:$A$241&gt;=IF(set_from="",0,set_from))*(Summary!$A$5:$A$241&lt;IF(set_to="",2958465,set_to+1))))</f>
        <v>0</v>
      </c>
    </row>
    <row r="455" spans="1:4">
      <c r="A455" s="87">
        <f>Settings!A32</f>
        <v>0</v>
      </c>
      <c r="B455" s="87">
        <f>Settings!B32</f>
        <v>0</v>
      </c>
      <c r="C455" s="87">
        <f>IF(A455="","",SUMPRODUCT((Summary!$E$5:$E$241=A455)*ISNUMBER(SEARCH($B$424,Summary!$H$5:$H$241))*ISNUMBER(Summary!$A$5:$A$241)*(Summary!$A$5:$A$241&gt;=IF(set_from="",0,set_from))*(Summary!$A$5:$A$241&lt;IF(set_to="",2958465,set_to+1))))</f>
        <v>0</v>
      </c>
      <c r="D455" s="87">
        <f>IF(A455="","",SUMPRODUCT((Summary!$E$5:$E$241=A455)*(Summary!$G$5:$G$241="Yes")*ISNUMBER(SEARCH($B$424,Summary!$H$5:$H$241))*ISNUMBER(Summary!$A$5:$A$241)*(Summary!$A$5:$A$241&gt;=IF(set_from="",0,set_from))*(Summary!$A$5:$A$241&lt;IF(set_to="",2958465,set_to+1))))</f>
        <v>0</v>
      </c>
    </row>
    <row r="456" spans="1:4">
      <c r="A456" s="87">
        <f>Settings!A33</f>
        <v>0</v>
      </c>
      <c r="B456" s="87">
        <f>Settings!B33</f>
        <v>0</v>
      </c>
      <c r="C456" s="87">
        <f>IF(A456="","",SUMPRODUCT((Summary!$E$5:$E$241=A456)*ISNUMBER(SEARCH($B$424,Summary!$H$5:$H$241))*ISNUMBER(Summary!$A$5:$A$241)*(Summary!$A$5:$A$241&gt;=IF(set_from="",0,set_from))*(Summary!$A$5:$A$241&lt;IF(set_to="",2958465,set_to+1))))</f>
        <v>0</v>
      </c>
      <c r="D456" s="87">
        <f>IF(A456="","",SUMPRODUCT((Summary!$E$5:$E$241=A456)*(Summary!$G$5:$G$241="Yes")*ISNUMBER(SEARCH($B$424,Summary!$H$5:$H$241))*ISNUMBER(Summary!$A$5:$A$241)*(Summary!$A$5:$A$241&gt;=IF(set_from="",0,set_from))*(Summary!$A$5:$A$241&lt;IF(set_to="",2958465,set_to+1))))</f>
        <v>0</v>
      </c>
    </row>
    <row r="457" spans="1:4">
      <c r="A457" s="87">
        <f>Settings!A34</f>
        <v>0</v>
      </c>
      <c r="B457" s="87">
        <f>Settings!B34</f>
        <v>0</v>
      </c>
      <c r="C457" s="87">
        <f>IF(A457="","",SUMPRODUCT((Summary!$E$5:$E$241=A457)*ISNUMBER(SEARCH($B$424,Summary!$H$5:$H$241))*ISNUMBER(Summary!$A$5:$A$241)*(Summary!$A$5:$A$241&gt;=IF(set_from="",0,set_from))*(Summary!$A$5:$A$241&lt;IF(set_to="",2958465,set_to+1))))</f>
        <v>0</v>
      </c>
      <c r="D457" s="87">
        <f>IF(A457="","",SUMPRODUCT((Summary!$E$5:$E$241=A457)*(Summary!$G$5:$G$241="Yes")*ISNUMBER(SEARCH($B$424,Summary!$H$5:$H$241))*ISNUMBER(Summary!$A$5:$A$241)*(Summary!$A$5:$A$241&gt;=IF(set_from="",0,set_from))*(Summary!$A$5:$A$241&lt;IF(set_to="",2958465,set_to+1))))</f>
        <v>0</v>
      </c>
    </row>
    <row r="458" spans="1:4">
      <c r="A458" s="87">
        <f>Settings!A35</f>
        <v>0</v>
      </c>
      <c r="B458" s="87">
        <f>Settings!B35</f>
        <v>0</v>
      </c>
      <c r="C458" s="87">
        <f>IF(A458="","",SUMPRODUCT((Summary!$E$5:$E$241=A458)*ISNUMBER(SEARCH($B$424,Summary!$H$5:$H$241))*ISNUMBER(Summary!$A$5:$A$241)*(Summary!$A$5:$A$241&gt;=IF(set_from="",0,set_from))*(Summary!$A$5:$A$241&lt;IF(set_to="",2958465,set_to+1))))</f>
        <v>0</v>
      </c>
      <c r="D458" s="87">
        <f>IF(A458="","",SUMPRODUCT((Summary!$E$5:$E$241=A458)*(Summary!$G$5:$G$241="Yes")*ISNUMBER(SEARCH($B$424,Summary!$H$5:$H$241))*ISNUMBER(Summary!$A$5:$A$241)*(Summary!$A$5:$A$241&gt;=IF(set_from="",0,set_from))*(Summary!$A$5:$A$241&lt;IF(set_to="",2958465,set_to+1))))</f>
        <v>0</v>
      </c>
    </row>
    <row r="459" spans="1:4">
      <c r="A459" s="87">
        <f>Settings!A36</f>
        <v>0</v>
      </c>
      <c r="B459" s="87">
        <f>Settings!B36</f>
        <v>0</v>
      </c>
      <c r="C459" s="87">
        <f>IF(A459="","",SUMPRODUCT((Summary!$E$5:$E$241=A459)*ISNUMBER(SEARCH($B$424,Summary!$H$5:$H$241))*ISNUMBER(Summary!$A$5:$A$241)*(Summary!$A$5:$A$241&gt;=IF(set_from="",0,set_from))*(Summary!$A$5:$A$241&lt;IF(set_to="",2958465,set_to+1))))</f>
        <v>0</v>
      </c>
      <c r="D459" s="87">
        <f>IF(A459="","",SUMPRODUCT((Summary!$E$5:$E$241=A459)*(Summary!$G$5:$G$241="Yes")*ISNUMBER(SEARCH($B$424,Summary!$H$5:$H$241))*ISNUMBER(Summary!$A$5:$A$241)*(Summary!$A$5:$A$241&gt;=IF(set_from="",0,set_from))*(Summary!$A$5:$A$241&lt;IF(set_to="",2958465,set_to+1))))</f>
        <v>0</v>
      </c>
    </row>
    <row r="460" spans="1:4">
      <c r="A460" s="87">
        <f>Settings!A37</f>
        <v>0</v>
      </c>
      <c r="B460" s="87">
        <f>Settings!B37</f>
        <v>0</v>
      </c>
      <c r="C460" s="87">
        <f>IF(A460="","",SUMPRODUCT((Summary!$E$5:$E$241=A460)*ISNUMBER(SEARCH($B$424,Summary!$H$5:$H$241))*ISNUMBER(Summary!$A$5:$A$241)*(Summary!$A$5:$A$241&gt;=IF(set_from="",0,set_from))*(Summary!$A$5:$A$241&lt;IF(set_to="",2958465,set_to+1))))</f>
        <v>0</v>
      </c>
      <c r="D460" s="87">
        <f>IF(A460="","",SUMPRODUCT((Summary!$E$5:$E$241=A460)*(Summary!$G$5:$G$241="Yes")*ISNUMBER(SEARCH($B$424,Summary!$H$5:$H$241))*ISNUMBER(Summary!$A$5:$A$241)*(Summary!$A$5:$A$241&gt;=IF(set_from="",0,set_from))*(Summary!$A$5:$A$241&lt;IF(set_to="",2958465,set_to+1))))</f>
        <v>0</v>
      </c>
    </row>
    <row r="461" spans="1:4">
      <c r="A461" s="87">
        <f>Settings!A38</f>
        <v>0</v>
      </c>
      <c r="B461" s="87">
        <f>Settings!B38</f>
        <v>0</v>
      </c>
      <c r="C461" s="87">
        <f>IF(A461="","",SUMPRODUCT((Summary!$E$5:$E$241=A461)*ISNUMBER(SEARCH($B$424,Summary!$H$5:$H$241))*ISNUMBER(Summary!$A$5:$A$241)*(Summary!$A$5:$A$241&gt;=IF(set_from="",0,set_from))*(Summary!$A$5:$A$241&lt;IF(set_to="",2958465,set_to+1))))</f>
        <v>0</v>
      </c>
      <c r="D461" s="87">
        <f>IF(A461="","",SUMPRODUCT((Summary!$E$5:$E$241=A461)*(Summary!$G$5:$G$241="Yes")*ISNUMBER(SEARCH($B$424,Summary!$H$5:$H$241))*ISNUMBER(Summary!$A$5:$A$241)*(Summary!$A$5:$A$241&gt;=IF(set_from="",0,set_from))*(Summary!$A$5:$A$241&lt;IF(set_to="",2958465,set_to+1))))</f>
        <v>0</v>
      </c>
    </row>
    <row r="462" spans="1:4">
      <c r="A462" s="87">
        <f>Settings!A39</f>
        <v>0</v>
      </c>
      <c r="B462" s="87">
        <f>Settings!B39</f>
        <v>0</v>
      </c>
      <c r="C462" s="87">
        <f>IF(A462="","",SUMPRODUCT((Summary!$E$5:$E$241=A462)*ISNUMBER(SEARCH($B$424,Summary!$H$5:$H$241))*ISNUMBER(Summary!$A$5:$A$241)*(Summary!$A$5:$A$241&gt;=IF(set_from="",0,set_from))*(Summary!$A$5:$A$241&lt;IF(set_to="",2958465,set_to+1))))</f>
        <v>0</v>
      </c>
      <c r="D462" s="87">
        <f>IF(A462="","",SUMPRODUCT((Summary!$E$5:$E$241=A462)*(Summary!$G$5:$G$241="Yes")*ISNUMBER(SEARCH($B$424,Summary!$H$5:$H$241))*ISNUMBER(Summary!$A$5:$A$241)*(Summary!$A$5:$A$241&gt;=IF(set_from="",0,set_from))*(Summary!$A$5:$A$241&lt;IF(set_to="",2958465,set_to+1))))</f>
        <v>0</v>
      </c>
    </row>
    <row r="463" spans="1:4">
      <c r="A463" s="87">
        <f>Settings!A40</f>
        <v>0</v>
      </c>
      <c r="B463" s="87">
        <f>Settings!B40</f>
        <v>0</v>
      </c>
      <c r="C463" s="87">
        <f>IF(A463="","",SUMPRODUCT((Summary!$E$5:$E$241=A463)*ISNUMBER(SEARCH($B$424,Summary!$H$5:$H$241))*ISNUMBER(Summary!$A$5:$A$241)*(Summary!$A$5:$A$241&gt;=IF(set_from="",0,set_from))*(Summary!$A$5:$A$241&lt;IF(set_to="",2958465,set_to+1))))</f>
        <v>0</v>
      </c>
      <c r="D463" s="87">
        <f>IF(A463="","",SUMPRODUCT((Summary!$E$5:$E$241=A463)*(Summary!$G$5:$G$241="Yes")*ISNUMBER(SEARCH($B$424,Summary!$H$5:$H$241))*ISNUMBER(Summary!$A$5:$A$241)*(Summary!$A$5:$A$241&gt;=IF(set_from="",0,set_from))*(Summary!$A$5:$A$241&lt;IF(set_to="",2958465,set_to+1))))</f>
        <v>0</v>
      </c>
    </row>
    <row r="464" spans="1:4">
      <c r="A464" s="87">
        <f>Settings!A41</f>
        <v>0</v>
      </c>
      <c r="B464" s="87">
        <f>Settings!B41</f>
        <v>0</v>
      </c>
      <c r="C464" s="87">
        <f>IF(A464="","",SUMPRODUCT((Summary!$E$5:$E$241=A464)*ISNUMBER(SEARCH($B$424,Summary!$H$5:$H$241))*ISNUMBER(Summary!$A$5:$A$241)*(Summary!$A$5:$A$241&gt;=IF(set_from="",0,set_from))*(Summary!$A$5:$A$241&lt;IF(set_to="",2958465,set_to+1))))</f>
        <v>0</v>
      </c>
      <c r="D464" s="87">
        <f>IF(A464="","",SUMPRODUCT((Summary!$E$5:$E$241=A464)*(Summary!$G$5:$G$241="Yes")*ISNUMBER(SEARCH($B$424,Summary!$H$5:$H$241))*ISNUMBER(Summary!$A$5:$A$241)*(Summary!$A$5:$A$241&gt;=IF(set_from="",0,set_from))*(Summary!$A$5:$A$241&lt;IF(set_to="",2958465,set_to+1))))</f>
        <v>0</v>
      </c>
    </row>
    <row r="465" spans="1:4">
      <c r="A465" s="87">
        <f>Settings!A42</f>
        <v>0</v>
      </c>
      <c r="B465" s="87">
        <f>Settings!B42</f>
        <v>0</v>
      </c>
      <c r="C465" s="87">
        <f>IF(A465="","",SUMPRODUCT((Summary!$E$5:$E$241=A465)*ISNUMBER(SEARCH($B$424,Summary!$H$5:$H$241))*ISNUMBER(Summary!$A$5:$A$241)*(Summary!$A$5:$A$241&gt;=IF(set_from="",0,set_from))*(Summary!$A$5:$A$241&lt;IF(set_to="",2958465,set_to+1))))</f>
        <v>0</v>
      </c>
      <c r="D465" s="87">
        <f>IF(A465="","",SUMPRODUCT((Summary!$E$5:$E$241=A465)*(Summary!$G$5:$G$241="Yes")*ISNUMBER(SEARCH($B$424,Summary!$H$5:$H$241))*ISNUMBER(Summary!$A$5:$A$241)*(Summary!$A$5:$A$241&gt;=IF(set_from="",0,set_from))*(Summary!$A$5:$A$241&lt;IF(set_to="",2958465,set_to+1))))</f>
        <v>0</v>
      </c>
    </row>
    <row r="466" spans="1:4">
      <c r="A466" s="87">
        <f>Settings!A43</f>
        <v>0</v>
      </c>
      <c r="B466" s="87">
        <f>Settings!B43</f>
        <v>0</v>
      </c>
      <c r="C466" s="87">
        <f>IF(A466="","",SUMPRODUCT((Summary!$E$5:$E$241=A466)*ISNUMBER(SEARCH($B$424,Summary!$H$5:$H$241))*ISNUMBER(Summary!$A$5:$A$241)*(Summary!$A$5:$A$241&gt;=IF(set_from="",0,set_from))*(Summary!$A$5:$A$241&lt;IF(set_to="",2958465,set_to+1))))</f>
        <v>0</v>
      </c>
      <c r="D466" s="87">
        <f>IF(A466="","",SUMPRODUCT((Summary!$E$5:$E$241=A466)*(Summary!$G$5:$G$241="Yes")*ISNUMBER(SEARCH($B$424,Summary!$H$5:$H$241))*ISNUMBER(Summary!$A$5:$A$241)*(Summary!$A$5:$A$241&gt;=IF(set_from="",0,set_from))*(Summary!$A$5:$A$241&lt;IF(set_to="",2958465,set_to+1))))</f>
        <v>0</v>
      </c>
    </row>
    <row r="467" spans="1:4">
      <c r="A467" s="87">
        <f>Settings!A44</f>
        <v>0</v>
      </c>
      <c r="B467" s="87">
        <f>Settings!B44</f>
        <v>0</v>
      </c>
      <c r="C467" s="87">
        <f>IF(A467="","",SUMPRODUCT((Summary!$E$5:$E$241=A467)*ISNUMBER(SEARCH($B$424,Summary!$H$5:$H$241))*ISNUMBER(Summary!$A$5:$A$241)*(Summary!$A$5:$A$241&gt;=IF(set_from="",0,set_from))*(Summary!$A$5:$A$241&lt;IF(set_to="",2958465,set_to+1))))</f>
        <v>0</v>
      </c>
      <c r="D467" s="87">
        <f>IF(A467="","",SUMPRODUCT((Summary!$E$5:$E$241=A467)*(Summary!$G$5:$G$241="Yes")*ISNUMBER(SEARCH($B$424,Summary!$H$5:$H$241))*ISNUMBER(Summary!$A$5:$A$241)*(Summary!$A$5:$A$241&gt;=IF(set_from="",0,set_from))*(Summary!$A$5:$A$241&lt;IF(set_to="",2958465,set_to+1))))</f>
        <v>0</v>
      </c>
    </row>
    <row r="468" spans="1:4">
      <c r="A468" s="87">
        <f>Settings!A45</f>
        <v>0</v>
      </c>
      <c r="B468" s="87">
        <f>Settings!B45</f>
        <v>0</v>
      </c>
      <c r="C468" s="87">
        <f>IF(A468="","",SUMPRODUCT((Summary!$E$5:$E$241=A468)*ISNUMBER(SEARCH($B$424,Summary!$H$5:$H$241))*ISNUMBER(Summary!$A$5:$A$241)*(Summary!$A$5:$A$241&gt;=IF(set_from="",0,set_from))*(Summary!$A$5:$A$241&lt;IF(set_to="",2958465,set_to+1))))</f>
        <v>0</v>
      </c>
      <c r="D468" s="87">
        <f>IF(A468="","",SUMPRODUCT((Summary!$E$5:$E$241=A468)*(Summary!$G$5:$G$241="Yes")*ISNUMBER(SEARCH($B$424,Summary!$H$5:$H$241))*ISNUMBER(Summary!$A$5:$A$241)*(Summary!$A$5:$A$241&gt;=IF(set_from="",0,set_from))*(Summary!$A$5:$A$241&lt;IF(set_to="",2958465,set_to+1))))</f>
        <v>0</v>
      </c>
    </row>
    <row r="469" spans="1:4">
      <c r="A469" s="87">
        <f>Settings!A46</f>
        <v>0</v>
      </c>
      <c r="B469" s="87">
        <f>Settings!B46</f>
        <v>0</v>
      </c>
      <c r="C469" s="87">
        <f>IF(A469="","",SUMPRODUCT((Summary!$E$5:$E$241=A469)*ISNUMBER(SEARCH($B$424,Summary!$H$5:$H$241))*ISNUMBER(Summary!$A$5:$A$241)*(Summary!$A$5:$A$241&gt;=IF(set_from="",0,set_from))*(Summary!$A$5:$A$241&lt;IF(set_to="",2958465,set_to+1))))</f>
        <v>0</v>
      </c>
      <c r="D469" s="87">
        <f>IF(A469="","",SUMPRODUCT((Summary!$E$5:$E$241=A469)*(Summary!$G$5:$G$241="Yes")*ISNUMBER(SEARCH($B$424,Summary!$H$5:$H$241))*ISNUMBER(Summary!$A$5:$A$241)*(Summary!$A$5:$A$241&gt;=IF(set_from="",0,set_from))*(Summary!$A$5:$A$241&lt;IF(set_to="",2958465,set_to+1))))</f>
        <v>0</v>
      </c>
    </row>
    <row r="470" spans="1:4">
      <c r="A470" s="87">
        <f>Settings!A47</f>
        <v>0</v>
      </c>
      <c r="B470" s="87">
        <f>Settings!B47</f>
        <v>0</v>
      </c>
      <c r="C470" s="87">
        <f>IF(A470="","",SUMPRODUCT((Summary!$E$5:$E$241=A470)*ISNUMBER(SEARCH($B$424,Summary!$H$5:$H$241))*ISNUMBER(Summary!$A$5:$A$241)*(Summary!$A$5:$A$241&gt;=IF(set_from="",0,set_from))*(Summary!$A$5:$A$241&lt;IF(set_to="",2958465,set_to+1))))</f>
        <v>0</v>
      </c>
      <c r="D470" s="87">
        <f>IF(A470="","",SUMPRODUCT((Summary!$E$5:$E$241=A470)*(Summary!$G$5:$G$241="Yes")*ISNUMBER(SEARCH($B$424,Summary!$H$5:$H$241))*ISNUMBER(Summary!$A$5:$A$241)*(Summary!$A$5:$A$241&gt;=IF(set_from="",0,set_from))*(Summary!$A$5:$A$241&lt;IF(set_to="",2958465,set_to+1))))</f>
        <v>0</v>
      </c>
    </row>
    <row r="471" spans="1:4">
      <c r="A471" s="87">
        <f>Settings!A48</f>
        <v>0</v>
      </c>
      <c r="B471" s="87">
        <f>Settings!B48</f>
        <v>0</v>
      </c>
      <c r="C471" s="87">
        <f>IF(A471="","",SUMPRODUCT((Summary!$E$5:$E$241=A471)*ISNUMBER(SEARCH($B$424,Summary!$H$5:$H$241))*ISNUMBER(Summary!$A$5:$A$241)*(Summary!$A$5:$A$241&gt;=IF(set_from="",0,set_from))*(Summary!$A$5:$A$241&lt;IF(set_to="",2958465,set_to+1))))</f>
        <v>0</v>
      </c>
      <c r="D471" s="87">
        <f>IF(A471="","",SUMPRODUCT((Summary!$E$5:$E$241=A471)*(Summary!$G$5:$G$241="Yes")*ISNUMBER(SEARCH($B$424,Summary!$H$5:$H$241))*ISNUMBER(Summary!$A$5:$A$241)*(Summary!$A$5:$A$241&gt;=IF(set_from="",0,set_from))*(Summary!$A$5:$A$241&lt;IF(set_to="",2958465,set_to+1))))</f>
        <v>0</v>
      </c>
    </row>
    <row r="472" spans="1:4">
      <c r="A472" s="87">
        <f>Settings!A49</f>
        <v>0</v>
      </c>
      <c r="B472" s="87">
        <f>Settings!B49</f>
        <v>0</v>
      </c>
      <c r="C472" s="87">
        <f>IF(A472="","",SUMPRODUCT((Summary!$E$5:$E$241=A472)*ISNUMBER(SEARCH($B$424,Summary!$H$5:$H$241))*ISNUMBER(Summary!$A$5:$A$241)*(Summary!$A$5:$A$241&gt;=IF(set_from="",0,set_from))*(Summary!$A$5:$A$241&lt;IF(set_to="",2958465,set_to+1))))</f>
        <v>0</v>
      </c>
      <c r="D472" s="87">
        <f>IF(A472="","",SUMPRODUCT((Summary!$E$5:$E$241=A472)*(Summary!$G$5:$G$241="Yes")*ISNUMBER(SEARCH($B$424,Summary!$H$5:$H$241))*ISNUMBER(Summary!$A$5:$A$241)*(Summary!$A$5:$A$241&gt;=IF(set_from="",0,set_from))*(Summary!$A$5:$A$241&lt;IF(set_to="",2958465,set_to+1))))</f>
        <v>0</v>
      </c>
    </row>
    <row r="473" spans="1:4">
      <c r="A473" s="87">
        <f>Settings!A50</f>
        <v>0</v>
      </c>
      <c r="B473" s="87">
        <f>Settings!B50</f>
        <v>0</v>
      </c>
      <c r="C473" s="87">
        <f>IF(A473="","",SUMPRODUCT((Summary!$E$5:$E$241=A473)*ISNUMBER(SEARCH($B$424,Summary!$H$5:$H$241))*ISNUMBER(Summary!$A$5:$A$241)*(Summary!$A$5:$A$241&gt;=IF(set_from="",0,set_from))*(Summary!$A$5:$A$241&lt;IF(set_to="",2958465,set_to+1))))</f>
        <v>0</v>
      </c>
      <c r="D473" s="87">
        <f>IF(A473="","",SUMPRODUCT((Summary!$E$5:$E$241=A473)*(Summary!$G$5:$G$241="Yes")*ISNUMBER(SEARCH($B$424,Summary!$H$5:$H$241))*ISNUMBER(Summary!$A$5:$A$241)*(Summary!$A$5:$A$241&gt;=IF(set_from="",0,set_from))*(Summary!$A$5:$A$241&lt;IF(set_to="",2958465,set_to+1))))</f>
        <v>0</v>
      </c>
    </row>
    <row r="474" spans="1:4">
      <c r="A474" s="87">
        <f>Settings!A51</f>
        <v>0</v>
      </c>
      <c r="B474" s="87">
        <f>Settings!B51</f>
        <v>0</v>
      </c>
      <c r="C474" s="87">
        <f>IF(A474="","",SUMPRODUCT((Summary!$E$5:$E$241=A474)*ISNUMBER(SEARCH($B$424,Summary!$H$5:$H$241))*ISNUMBER(Summary!$A$5:$A$241)*(Summary!$A$5:$A$241&gt;=IF(set_from="",0,set_from))*(Summary!$A$5:$A$241&lt;IF(set_to="",2958465,set_to+1))))</f>
        <v>0</v>
      </c>
      <c r="D474" s="87">
        <f>IF(A474="","",SUMPRODUCT((Summary!$E$5:$E$241=A474)*(Summary!$G$5:$G$241="Yes")*ISNUMBER(SEARCH($B$424,Summary!$H$5:$H$241))*ISNUMBER(Summary!$A$5:$A$241)*(Summary!$A$5:$A$241&gt;=IF(set_from="",0,set_from))*(Summary!$A$5:$A$241&lt;IF(set_to="",2958465,set_to+1))))</f>
        <v>0</v>
      </c>
    </row>
    <row r="475" spans="1:4">
      <c r="A475" s="87">
        <f>Settings!A52</f>
        <v>0</v>
      </c>
      <c r="B475" s="87">
        <f>Settings!B52</f>
        <v>0</v>
      </c>
      <c r="C475" s="87">
        <f>IF(A475="","",SUMPRODUCT((Summary!$E$5:$E$241=A475)*ISNUMBER(SEARCH($B$424,Summary!$H$5:$H$241))*ISNUMBER(Summary!$A$5:$A$241)*(Summary!$A$5:$A$241&gt;=IF(set_from="",0,set_from))*(Summary!$A$5:$A$241&lt;IF(set_to="",2958465,set_to+1))))</f>
        <v>0</v>
      </c>
      <c r="D475" s="87">
        <f>IF(A475="","",SUMPRODUCT((Summary!$E$5:$E$241=A475)*(Summary!$G$5:$G$241="Yes")*ISNUMBER(SEARCH($B$424,Summary!$H$5:$H$241))*ISNUMBER(Summary!$A$5:$A$241)*(Summary!$A$5:$A$241&gt;=IF(set_from="",0,set_from))*(Summary!$A$5:$A$241&lt;IF(set_to="",2958465,set_to+1))))</f>
        <v>0</v>
      </c>
    </row>
    <row r="476" spans="1:4">
      <c r="A476" s="87">
        <f>Settings!A53</f>
        <v>0</v>
      </c>
      <c r="B476" s="87">
        <f>Settings!B53</f>
        <v>0</v>
      </c>
      <c r="C476" s="87">
        <f>IF(A476="","",SUMPRODUCT((Summary!$E$5:$E$241=A476)*ISNUMBER(SEARCH($B$424,Summary!$H$5:$H$241))*ISNUMBER(Summary!$A$5:$A$241)*(Summary!$A$5:$A$241&gt;=IF(set_from="",0,set_from))*(Summary!$A$5:$A$241&lt;IF(set_to="",2958465,set_to+1))))</f>
        <v>0</v>
      </c>
      <c r="D476" s="87">
        <f>IF(A476="","",SUMPRODUCT((Summary!$E$5:$E$241=A476)*(Summary!$G$5:$G$241="Yes")*ISNUMBER(SEARCH($B$424,Summary!$H$5:$H$241))*ISNUMBER(Summary!$A$5:$A$241)*(Summary!$A$5:$A$241&gt;=IF(set_from="",0,set_from))*(Summary!$A$5:$A$241&lt;IF(set_to="",2958465,set_to+1))))</f>
        <v>0</v>
      </c>
    </row>
    <row r="477" spans="1:4">
      <c r="A477" s="87">
        <f>Settings!A54</f>
        <v>0</v>
      </c>
      <c r="B477" s="87">
        <f>Settings!B54</f>
        <v>0</v>
      </c>
      <c r="C477" s="87">
        <f>IF(A477="","",SUMPRODUCT((Summary!$E$5:$E$241=A477)*ISNUMBER(SEARCH($B$424,Summary!$H$5:$H$241))*ISNUMBER(Summary!$A$5:$A$241)*(Summary!$A$5:$A$241&gt;=IF(set_from="",0,set_from))*(Summary!$A$5:$A$241&lt;IF(set_to="",2958465,set_to+1))))</f>
        <v>0</v>
      </c>
      <c r="D477" s="87">
        <f>IF(A477="","",SUMPRODUCT((Summary!$E$5:$E$241=A477)*(Summary!$G$5:$G$241="Yes")*ISNUMBER(SEARCH($B$424,Summary!$H$5:$H$241))*ISNUMBER(Summary!$A$5:$A$241)*(Summary!$A$5:$A$241&gt;=IF(set_from="",0,set_from))*(Summary!$A$5:$A$241&lt;IF(set_to="",2958465,set_to+1))))</f>
        <v>0</v>
      </c>
    </row>
    <row r="478" spans="1:4">
      <c r="A478" s="87">
        <f>Settings!A55</f>
        <v>0</v>
      </c>
      <c r="B478" s="87">
        <f>Settings!B55</f>
        <v>0</v>
      </c>
      <c r="C478" s="87">
        <f>IF(A478="","",SUMPRODUCT((Summary!$E$5:$E$241=A478)*ISNUMBER(SEARCH($B$424,Summary!$H$5:$H$241))*ISNUMBER(Summary!$A$5:$A$241)*(Summary!$A$5:$A$241&gt;=IF(set_from="",0,set_from))*(Summary!$A$5:$A$241&lt;IF(set_to="",2958465,set_to+1))))</f>
        <v>0</v>
      </c>
      <c r="D478" s="87">
        <f>IF(A478="","",SUMPRODUCT((Summary!$E$5:$E$241=A478)*(Summary!$G$5:$G$241="Yes")*ISNUMBER(SEARCH($B$424,Summary!$H$5:$H$241))*ISNUMBER(Summary!$A$5:$A$241)*(Summary!$A$5:$A$241&gt;=IF(set_from="",0,set_from))*(Summary!$A$5:$A$241&lt;IF(set_to="",2958465,set_to+1))))</f>
        <v>0</v>
      </c>
    </row>
    <row r="479" spans="1:4">
      <c r="A479" s="87">
        <f>Settings!A56</f>
        <v>0</v>
      </c>
      <c r="B479" s="87">
        <f>Settings!B56</f>
        <v>0</v>
      </c>
      <c r="C479" s="87">
        <f>IF(A479="","",SUMPRODUCT((Summary!$E$5:$E$241=A479)*ISNUMBER(SEARCH($B$424,Summary!$H$5:$H$241))*ISNUMBER(Summary!$A$5:$A$241)*(Summary!$A$5:$A$241&gt;=IF(set_from="",0,set_from))*(Summary!$A$5:$A$241&lt;IF(set_to="",2958465,set_to+1))))</f>
        <v>0</v>
      </c>
      <c r="D479" s="87">
        <f>IF(A479="","",SUMPRODUCT((Summary!$E$5:$E$241=A479)*(Summary!$G$5:$G$241="Yes")*ISNUMBER(SEARCH($B$424,Summary!$H$5:$H$241))*ISNUMBER(Summary!$A$5:$A$241)*(Summary!$A$5:$A$241&gt;=IF(set_from="",0,set_from))*(Summary!$A$5:$A$241&lt;IF(set_to="",2958465,set_to+1))))</f>
        <v>0</v>
      </c>
    </row>
    <row r="480" spans="1:4">
      <c r="A480" s="87">
        <f>Settings!A57</f>
        <v>0</v>
      </c>
      <c r="B480" s="87">
        <f>Settings!B57</f>
        <v>0</v>
      </c>
      <c r="C480" s="87">
        <f>IF(A480="","",SUMPRODUCT((Summary!$E$5:$E$241=A480)*ISNUMBER(SEARCH($B$424,Summary!$H$5:$H$241))*ISNUMBER(Summary!$A$5:$A$241)*(Summary!$A$5:$A$241&gt;=IF(set_from="",0,set_from))*(Summary!$A$5:$A$241&lt;IF(set_to="",2958465,set_to+1))))</f>
        <v>0</v>
      </c>
      <c r="D480" s="87">
        <f>IF(A480="","",SUMPRODUCT((Summary!$E$5:$E$241=A480)*(Summary!$G$5:$G$241="Yes")*ISNUMBER(SEARCH($B$424,Summary!$H$5:$H$241))*ISNUMBER(Summary!$A$5:$A$241)*(Summary!$A$5:$A$241&gt;=IF(set_from="",0,set_from))*(Summary!$A$5:$A$241&lt;IF(set_to="",2958465,set_to+1))))</f>
        <v>0</v>
      </c>
    </row>
    <row r="481" spans="1:5">
      <c r="A481" s="87">
        <f>Settings!A58</f>
        <v>0</v>
      </c>
      <c r="B481" s="87">
        <f>Settings!B58</f>
        <v>0</v>
      </c>
      <c r="C481" s="87">
        <f>IF(A481="","",SUMPRODUCT((Summary!$E$5:$E$241=A481)*ISNUMBER(SEARCH($B$424,Summary!$H$5:$H$241))*ISNUMBER(Summary!$A$5:$A$241)*(Summary!$A$5:$A$241&gt;=IF(set_from="",0,set_from))*(Summary!$A$5:$A$241&lt;IF(set_to="",2958465,set_to+1))))</f>
        <v>0</v>
      </c>
      <c r="D481" s="87">
        <f>IF(A481="","",SUMPRODUCT((Summary!$E$5:$E$241=A481)*(Summary!$G$5:$G$241="Yes")*ISNUMBER(SEARCH($B$424,Summary!$H$5:$H$241))*ISNUMBER(Summary!$A$5:$A$241)*(Summary!$A$5:$A$241&gt;=IF(set_from="",0,set_from))*(Summary!$A$5:$A$241&lt;IF(set_to="",2958465,set_to+1))))</f>
        <v>0</v>
      </c>
    </row>
    <row r="482" spans="1:5">
      <c r="A482" s="87">
        <f>Settings!A59</f>
        <v>0</v>
      </c>
      <c r="B482" s="87">
        <f>Settings!B59</f>
        <v>0</v>
      </c>
      <c r="C482" s="87">
        <f>IF(A482="","",SUMPRODUCT((Summary!$E$5:$E$241=A482)*ISNUMBER(SEARCH($B$424,Summary!$H$5:$H$241))*ISNUMBER(Summary!$A$5:$A$241)*(Summary!$A$5:$A$241&gt;=IF(set_from="",0,set_from))*(Summary!$A$5:$A$241&lt;IF(set_to="",2958465,set_to+1))))</f>
        <v>0</v>
      </c>
      <c r="D482" s="87">
        <f>IF(A482="","",SUMPRODUCT((Summary!$E$5:$E$241=A482)*(Summary!$G$5:$G$241="Yes")*ISNUMBER(SEARCH($B$424,Summary!$H$5:$H$241))*ISNUMBER(Summary!$A$5:$A$241)*(Summary!$A$5:$A$241&gt;=IF(set_from="",0,set_from))*(Summary!$A$5:$A$241&lt;IF(set_to="",2958465,set_to+1))))</f>
        <v>0</v>
      </c>
    </row>
    <row r="485" spans="1:5">
      <c r="A485" s="119" t="s">
        <v>1257</v>
      </c>
      <c r="B485" s="119" t="s">
        <v>1281</v>
      </c>
      <c r="C485" s="119" t="s">
        <v>1574</v>
      </c>
      <c r="D485" s="119" t="s">
        <v>1561</v>
      </c>
      <c r="E485" s="119" t="s">
        <v>1644</v>
      </c>
    </row>
    <row r="486" spans="1:5">
      <c r="A486" s="87" t="str">
        <f t="shared" ref="A486:A510" si="9">A36</f>
        <v>Ref. leak/ Low charge</v>
      </c>
      <c r="B486" s="87">
        <f t="shared" ref="B486:B510" si="10">IF(A486="","",SUMIF($B$427:$B$482,A486,$C$427:$C$482))</f>
        <v>0</v>
      </c>
      <c r="C486" s="87">
        <f t="shared" ref="C486:C510" si="11">IF(A486="","",SUMIF($B$427:$B$482,A486,$D$427:$D$482))</f>
        <v>0</v>
      </c>
      <c r="D486" s="87">
        <f>IF(A486="","",B486+(25/set_tiebreakDivisor))</f>
        <v>2.5000000000000001E-4</v>
      </c>
    </row>
    <row r="487" spans="1:5">
      <c r="A487" s="87" t="str">
        <f t="shared" si="9"/>
        <v>Doors</v>
      </c>
      <c r="B487" s="87">
        <f t="shared" si="10"/>
        <v>8</v>
      </c>
      <c r="C487" s="87">
        <f t="shared" si="11"/>
        <v>0</v>
      </c>
      <c r="D487" s="87">
        <f>IF(A487="","",B487+(24/set_tiebreakDivisor))</f>
        <v>8.0002399999999998</v>
      </c>
    </row>
    <row r="488" spans="1:5">
      <c r="A488" s="87" t="str">
        <f t="shared" si="9"/>
        <v>Drain tube blocked</v>
      </c>
      <c r="B488" s="87">
        <f t="shared" si="10"/>
        <v>0</v>
      </c>
      <c r="C488" s="87">
        <f t="shared" si="11"/>
        <v>0</v>
      </c>
      <c r="D488" s="87">
        <f>IF(A488="","",B488+(23/set_tiebreakDivisor))</f>
        <v>2.3000000000000001E-4</v>
      </c>
    </row>
    <row r="489" spans="1:5">
      <c r="A489" s="87" t="str">
        <f t="shared" si="9"/>
        <v>Wrong / Loose wiring</v>
      </c>
      <c r="B489" s="87">
        <f t="shared" si="10"/>
        <v>0</v>
      </c>
      <c r="C489" s="87">
        <f t="shared" si="11"/>
        <v>0</v>
      </c>
      <c r="D489" s="87">
        <f>IF(A489="","",B489+(22/set_tiebreakDivisor))</f>
        <v>2.2000000000000001E-4</v>
      </c>
    </row>
    <row r="490" spans="1:5">
      <c r="A490" s="87" t="str">
        <f t="shared" si="9"/>
        <v>Communication problem</v>
      </c>
      <c r="B490" s="87">
        <f t="shared" si="10"/>
        <v>3</v>
      </c>
      <c r="C490" s="87">
        <f t="shared" si="11"/>
        <v>0</v>
      </c>
      <c r="D490" s="87">
        <f>IF(A490="","",B490+(21/set_tiebreakDivisor))</f>
        <v>3.00021</v>
      </c>
    </row>
    <row r="491" spans="1:5">
      <c r="A491" s="87" t="str">
        <f t="shared" si="9"/>
        <v>High Store RH</v>
      </c>
      <c r="B491" s="87">
        <f t="shared" si="10"/>
        <v>3</v>
      </c>
      <c r="C491" s="87">
        <f t="shared" si="11"/>
        <v>1</v>
      </c>
      <c r="D491" s="87">
        <f>IF(A491="","",B491+(20/set_tiebreakDivisor))</f>
        <v>3.0002</v>
      </c>
    </row>
    <row r="492" spans="1:5">
      <c r="A492" s="87" t="str">
        <f t="shared" si="9"/>
        <v>Enclosure Seal</v>
      </c>
      <c r="B492" s="87">
        <f t="shared" si="10"/>
        <v>0</v>
      </c>
      <c r="C492" s="87">
        <f t="shared" si="11"/>
        <v>0</v>
      </c>
      <c r="D492" s="87">
        <f>IF(A492="","",B492+(19/set_tiebreakDivisor))</f>
        <v>1.9000000000000001E-4</v>
      </c>
    </row>
    <row r="493" spans="1:5">
      <c r="A493" s="87" t="str">
        <f t="shared" si="9"/>
        <v>Component Failure</v>
      </c>
      <c r="B493" s="87">
        <f t="shared" si="10"/>
        <v>2</v>
      </c>
      <c r="C493" s="87">
        <f t="shared" si="11"/>
        <v>0</v>
      </c>
      <c r="D493" s="87">
        <f>IF(A493="","",B493+(18/set_tiebreakDivisor))</f>
        <v>2.0001799999999998</v>
      </c>
    </row>
    <row r="494" spans="1:5">
      <c r="A494" s="87" t="str">
        <f t="shared" si="9"/>
        <v>Defrost Sync</v>
      </c>
      <c r="B494" s="87">
        <f t="shared" si="10"/>
        <v>0</v>
      </c>
      <c r="C494" s="87">
        <f t="shared" si="11"/>
        <v>0</v>
      </c>
      <c r="D494" s="87">
        <f>IF(A494="","",B494+(17/set_tiebreakDivisor))</f>
        <v>1.7000000000000001E-4</v>
      </c>
    </row>
    <row r="495" spans="1:5">
      <c r="A495" s="87" t="str">
        <f t="shared" si="9"/>
        <v>False Alarm</v>
      </c>
      <c r="B495" s="87">
        <f t="shared" si="10"/>
        <v>2</v>
      </c>
      <c r="C495" s="87">
        <f t="shared" si="11"/>
        <v>1</v>
      </c>
      <c r="D495" s="87">
        <f>IF(A495="","",B495+(16/set_tiebreakDivisor))</f>
        <v>2.0001600000000002</v>
      </c>
    </row>
    <row r="496" spans="1:5">
      <c r="A496" s="87" t="str">
        <f t="shared" si="9"/>
        <v>Setpoint change</v>
      </c>
      <c r="B496" s="87">
        <f t="shared" si="10"/>
        <v>0</v>
      </c>
      <c r="C496" s="87">
        <f t="shared" si="11"/>
        <v>0</v>
      </c>
      <c r="D496" s="87">
        <f>IF(A496="","",B496+(15/set_tiebreakDivisor))</f>
        <v>1.4999999999999999E-4</v>
      </c>
    </row>
    <row r="497" spans="1:4">
      <c r="A497" s="87" t="str">
        <f t="shared" si="9"/>
        <v>Overstocking</v>
      </c>
      <c r="B497" s="87">
        <f t="shared" si="10"/>
        <v>1</v>
      </c>
      <c r="C497" s="87">
        <f t="shared" si="11"/>
        <v>1</v>
      </c>
      <c r="D497" s="87">
        <f>IF(A497="","",B497+(14/set_tiebreakDivisor))</f>
        <v>1.00014</v>
      </c>
    </row>
    <row r="498" spans="1:4">
      <c r="A498" s="87" t="str">
        <f t="shared" si="9"/>
        <v>Case End Seal</v>
      </c>
      <c r="B498" s="87">
        <f t="shared" si="10"/>
        <v>0</v>
      </c>
      <c r="C498" s="87">
        <f t="shared" si="11"/>
        <v>0</v>
      </c>
      <c r="D498" s="87">
        <f>IF(A498="","",B498+(13/set_tiebreakDivisor))</f>
        <v>1.2999999999999999E-4</v>
      </c>
    </row>
    <row r="499" spans="1:4">
      <c r="A499" s="87" t="str">
        <f t="shared" si="9"/>
        <v>Return Air blocked</v>
      </c>
      <c r="B499" s="87">
        <f t="shared" si="10"/>
        <v>0</v>
      </c>
      <c r="C499" s="87">
        <f t="shared" si="11"/>
        <v>0</v>
      </c>
      <c r="D499" s="87">
        <f>IF(A499="","",B499+(12/set_tiebreakDivisor))</f>
        <v>1.2E-4</v>
      </c>
    </row>
    <row r="500" spans="1:4">
      <c r="A500" s="87" t="str">
        <f t="shared" si="9"/>
        <v>Unidentified air leak</v>
      </c>
      <c r="B500" s="87">
        <f t="shared" si="10"/>
        <v>0</v>
      </c>
      <c r="C500" s="87">
        <f t="shared" si="11"/>
        <v>0</v>
      </c>
      <c r="D500" s="87">
        <f>IF(A500="","",B500+(11/set_tiebreakDivisor))</f>
        <v>1.1E-4</v>
      </c>
    </row>
    <row r="501" spans="1:4">
      <c r="A501" s="87" t="str">
        <f t="shared" si="9"/>
        <v>Freedom</v>
      </c>
      <c r="B501" s="87">
        <f t="shared" si="10"/>
        <v>1</v>
      </c>
      <c r="C501" s="87">
        <f t="shared" si="11"/>
        <v>0</v>
      </c>
      <c r="D501" s="87">
        <f>IF(A501="","",B501+(10/set_tiebreakDivisor))</f>
        <v>1.0001</v>
      </c>
    </row>
    <row r="502" spans="1:4">
      <c r="A502" s="87" t="str">
        <f t="shared" si="9"/>
        <v>Heavy case load</v>
      </c>
      <c r="B502" s="87">
        <f t="shared" si="10"/>
        <v>0</v>
      </c>
      <c r="C502" s="87">
        <f t="shared" si="11"/>
        <v>0</v>
      </c>
      <c r="D502" s="87">
        <f>IF(A502="","",B502+(9/set_tiebreakDivisor))</f>
        <v>9.0000000000000006E-5</v>
      </c>
    </row>
    <row r="503" spans="1:4">
      <c r="A503" s="87" t="str">
        <f t="shared" si="9"/>
        <v>DG Installation issue</v>
      </c>
      <c r="B503" s="87">
        <f t="shared" si="10"/>
        <v>0</v>
      </c>
      <c r="C503" s="87">
        <f t="shared" si="11"/>
        <v>0</v>
      </c>
      <c r="D503" s="87">
        <f>IF(A503="","",B503+(8/set_tiebreakDivisor))</f>
        <v>8.0000000000000007E-5</v>
      </c>
    </row>
    <row r="504" spans="1:4">
      <c r="A504" s="87" t="str">
        <f t="shared" si="9"/>
        <v>Unknown</v>
      </c>
      <c r="B504" s="87">
        <f t="shared" si="10"/>
        <v>1</v>
      </c>
      <c r="C504" s="87">
        <f t="shared" si="11"/>
        <v>0</v>
      </c>
      <c r="D504" s="87">
        <f>IF(A504="","",B504+(7/set_tiebreakDivisor))</f>
        <v>1.00007</v>
      </c>
    </row>
    <row r="505" spans="1:4">
      <c r="A505" s="87" t="str">
        <f t="shared" si="9"/>
        <v>Program change - Hussmann</v>
      </c>
      <c r="B505" s="87">
        <f t="shared" si="10"/>
        <v>0</v>
      </c>
      <c r="C505" s="87">
        <f t="shared" si="11"/>
        <v>0</v>
      </c>
      <c r="D505" s="87">
        <f>IF(A505="","",B505+(6/set_tiebreakDivisor))</f>
        <v>6.0000000000000002E-5</v>
      </c>
    </row>
    <row r="506" spans="1:4">
      <c r="A506" s="87" t="str">
        <f t="shared" si="9"/>
        <v>Wrong program</v>
      </c>
      <c r="B506" s="87">
        <f t="shared" si="10"/>
        <v>0</v>
      </c>
      <c r="C506" s="87">
        <f t="shared" si="11"/>
        <v>0</v>
      </c>
      <c r="D506" s="87">
        <f>IF(A506="","",B506+(5/set_tiebreakDivisor))</f>
        <v>5.0000000000000002E-5</v>
      </c>
    </row>
    <row r="507" spans="1:4">
      <c r="A507" s="87" t="str">
        <f t="shared" si="9"/>
        <v/>
      </c>
      <c r="B507" s="87" t="str">
        <f t="shared" si="10"/>
        <v/>
      </c>
      <c r="C507" s="87" t="str">
        <f t="shared" si="11"/>
        <v/>
      </c>
      <c r="D507" s="87" t="str">
        <f>IF(A507="","",B507+(4/set_tiebreakDivisor))</f>
        <v/>
      </c>
    </row>
    <row r="508" spans="1:4">
      <c r="A508" s="87" t="str">
        <f t="shared" si="9"/>
        <v/>
      </c>
      <c r="B508" s="87" t="str">
        <f t="shared" si="10"/>
        <v/>
      </c>
      <c r="C508" s="87" t="str">
        <f t="shared" si="11"/>
        <v/>
      </c>
      <c r="D508" s="87" t="str">
        <f>IF(A508="","",B508+(3/set_tiebreakDivisor))</f>
        <v/>
      </c>
    </row>
    <row r="509" spans="1:4">
      <c r="A509" s="87" t="str">
        <f t="shared" si="9"/>
        <v/>
      </c>
      <c r="B509" s="87" t="str">
        <f t="shared" si="10"/>
        <v/>
      </c>
      <c r="C509" s="87" t="str">
        <f t="shared" si="11"/>
        <v/>
      </c>
      <c r="D509" s="87" t="str">
        <f>IF(A509="","",B509+(2/set_tiebreakDivisor))</f>
        <v/>
      </c>
    </row>
    <row r="510" spans="1:4">
      <c r="A510" s="87" t="str">
        <f t="shared" si="9"/>
        <v/>
      </c>
      <c r="B510" s="87" t="str">
        <f t="shared" si="10"/>
        <v/>
      </c>
      <c r="C510" s="87" t="str">
        <f t="shared" si="11"/>
        <v/>
      </c>
      <c r="D510" s="87" t="str">
        <f>IF(A510="","",B510+(1/set_tiebreakDivisor))</f>
        <v/>
      </c>
    </row>
    <row r="513" spans="1:4">
      <c r="A513" s="119" t="s">
        <v>1569</v>
      </c>
      <c r="B513" s="119" t="s">
        <v>1574</v>
      </c>
      <c r="C513" s="119" t="s">
        <v>1575</v>
      </c>
      <c r="D513" s="119" t="s">
        <v>1281</v>
      </c>
    </row>
    <row r="514" spans="1:4">
      <c r="A514" s="87" t="str">
        <f>IFERROR(INDEX($A$486:$A$510,MATCH(LARGE($D$486:$D$510,1),$D$486:$D$510,0)),"")</f>
        <v>Doors</v>
      </c>
      <c r="B514" s="87">
        <f t="shared" ref="B514:B538" si="12">IF(A514="","",INDEX($C$486:$C$510,MATCH(A514,$A$486:$A$510,0)))</f>
        <v>0</v>
      </c>
      <c r="C514" s="87">
        <f t="shared" ref="C514:C538" si="13">IF(A514="","",INDEX($B$486:$B$510,MATCH(A514,$A$486:$A$510,0))-B514)</f>
        <v>8</v>
      </c>
      <c r="D514" s="87">
        <f t="shared" ref="D514:D538" si="14">IF(A514="","",B514+C514)</f>
        <v>8</v>
      </c>
    </row>
    <row r="515" spans="1:4">
      <c r="A515" s="87" t="str">
        <f>IFERROR(INDEX($A$486:$A$510,MATCH(LARGE($D$486:$D$510,2),$D$486:$D$510,0)),"")</f>
        <v>Communication problem</v>
      </c>
      <c r="B515" s="87">
        <f t="shared" si="12"/>
        <v>0</v>
      </c>
      <c r="C515" s="87">
        <f t="shared" si="13"/>
        <v>3</v>
      </c>
      <c r="D515" s="87">
        <f t="shared" si="14"/>
        <v>3</v>
      </c>
    </row>
    <row r="516" spans="1:4">
      <c r="A516" s="87" t="str">
        <f>IFERROR(INDEX($A$486:$A$510,MATCH(LARGE($D$486:$D$510,3),$D$486:$D$510,0)),"")</f>
        <v>High Store RH</v>
      </c>
      <c r="B516" s="87">
        <f t="shared" si="12"/>
        <v>1</v>
      </c>
      <c r="C516" s="87">
        <f t="shared" si="13"/>
        <v>2</v>
      </c>
      <c r="D516" s="87">
        <f t="shared" si="14"/>
        <v>3</v>
      </c>
    </row>
    <row r="517" spans="1:4">
      <c r="A517" s="87" t="str">
        <f>IFERROR(INDEX($A$486:$A$510,MATCH(LARGE($D$486:$D$510,4),$D$486:$D$510,0)),"")</f>
        <v>Component Failure</v>
      </c>
      <c r="B517" s="87">
        <f t="shared" si="12"/>
        <v>0</v>
      </c>
      <c r="C517" s="87">
        <f t="shared" si="13"/>
        <v>2</v>
      </c>
      <c r="D517" s="87">
        <f t="shared" si="14"/>
        <v>2</v>
      </c>
    </row>
    <row r="518" spans="1:4">
      <c r="A518" s="87" t="str">
        <f>IFERROR(INDEX($A$486:$A$510,MATCH(LARGE($D$486:$D$510,5),$D$486:$D$510,0)),"")</f>
        <v>False Alarm</v>
      </c>
      <c r="B518" s="87">
        <f t="shared" si="12"/>
        <v>1</v>
      </c>
      <c r="C518" s="87">
        <f t="shared" si="13"/>
        <v>1</v>
      </c>
      <c r="D518" s="87">
        <f t="shared" si="14"/>
        <v>2</v>
      </c>
    </row>
    <row r="519" spans="1:4">
      <c r="A519" s="87" t="str">
        <f>IFERROR(INDEX($A$486:$A$510,MATCH(LARGE($D$486:$D$510,6),$D$486:$D$510,0)),"")</f>
        <v>Overstocking</v>
      </c>
      <c r="B519" s="87">
        <f t="shared" si="12"/>
        <v>1</v>
      </c>
      <c r="C519" s="87">
        <f t="shared" si="13"/>
        <v>0</v>
      </c>
      <c r="D519" s="87">
        <f t="shared" si="14"/>
        <v>1</v>
      </c>
    </row>
    <row r="520" spans="1:4">
      <c r="A520" s="87" t="str">
        <f>IFERROR(INDEX($A$486:$A$510,MATCH(LARGE($D$486:$D$510,7),$D$486:$D$510,0)),"")</f>
        <v>Freedom</v>
      </c>
      <c r="B520" s="87">
        <f t="shared" si="12"/>
        <v>0</v>
      </c>
      <c r="C520" s="87">
        <f t="shared" si="13"/>
        <v>1</v>
      </c>
      <c r="D520" s="87">
        <f t="shared" si="14"/>
        <v>1</v>
      </c>
    </row>
    <row r="521" spans="1:4">
      <c r="A521" s="87" t="str">
        <f>IFERROR(INDEX($A$486:$A$510,MATCH(LARGE($D$486:$D$510,8),$D$486:$D$510,0)),"")</f>
        <v>Unknown</v>
      </c>
      <c r="B521" s="87">
        <f t="shared" si="12"/>
        <v>0</v>
      </c>
      <c r="C521" s="87">
        <f t="shared" si="13"/>
        <v>1</v>
      </c>
      <c r="D521" s="87">
        <f t="shared" si="14"/>
        <v>1</v>
      </c>
    </row>
    <row r="522" spans="1:4">
      <c r="A522" s="87" t="str">
        <f>IFERROR(INDEX($A$486:$A$510,MATCH(LARGE($D$486:$D$510,9),$D$486:$D$510,0)),"")</f>
        <v>Ref. leak/ Low charge</v>
      </c>
      <c r="B522" s="87">
        <f t="shared" si="12"/>
        <v>0</v>
      </c>
      <c r="C522" s="87">
        <f t="shared" si="13"/>
        <v>0</v>
      </c>
      <c r="D522" s="87">
        <f t="shared" si="14"/>
        <v>0</v>
      </c>
    </row>
    <row r="523" spans="1:4">
      <c r="A523" s="87" t="str">
        <f>IFERROR(INDEX($A$486:$A$510,MATCH(LARGE($D$486:$D$510,10),$D$486:$D$510,0)),"")</f>
        <v>Drain tube blocked</v>
      </c>
      <c r="B523" s="87">
        <f t="shared" si="12"/>
        <v>0</v>
      </c>
      <c r="C523" s="87">
        <f t="shared" si="13"/>
        <v>0</v>
      </c>
      <c r="D523" s="87">
        <f t="shared" si="14"/>
        <v>0</v>
      </c>
    </row>
    <row r="524" spans="1:4">
      <c r="A524" s="87" t="str">
        <f>IFERROR(INDEX($A$486:$A$510,MATCH(LARGE($D$486:$D$510,11),$D$486:$D$510,0)),"")</f>
        <v>Wrong / Loose wiring</v>
      </c>
      <c r="B524" s="87">
        <f t="shared" si="12"/>
        <v>0</v>
      </c>
      <c r="C524" s="87">
        <f t="shared" si="13"/>
        <v>0</v>
      </c>
      <c r="D524" s="87">
        <f t="shared" si="14"/>
        <v>0</v>
      </c>
    </row>
    <row r="525" spans="1:4">
      <c r="A525" s="87" t="str">
        <f>IFERROR(INDEX($A$486:$A$510,MATCH(LARGE($D$486:$D$510,12),$D$486:$D$510,0)),"")</f>
        <v>Enclosure Seal</v>
      </c>
      <c r="B525" s="87">
        <f t="shared" si="12"/>
        <v>0</v>
      </c>
      <c r="C525" s="87">
        <f t="shared" si="13"/>
        <v>0</v>
      </c>
      <c r="D525" s="87">
        <f t="shared" si="14"/>
        <v>0</v>
      </c>
    </row>
    <row r="526" spans="1:4">
      <c r="A526" s="87" t="str">
        <f>IFERROR(INDEX($A$486:$A$510,MATCH(LARGE($D$486:$D$510,13),$D$486:$D$510,0)),"")</f>
        <v>Defrost Sync</v>
      </c>
      <c r="B526" s="87">
        <f t="shared" si="12"/>
        <v>0</v>
      </c>
      <c r="C526" s="87">
        <f t="shared" si="13"/>
        <v>0</v>
      </c>
      <c r="D526" s="87">
        <f t="shared" si="14"/>
        <v>0</v>
      </c>
    </row>
    <row r="527" spans="1:4">
      <c r="A527" s="87" t="str">
        <f>IFERROR(INDEX($A$486:$A$510,MATCH(LARGE($D$486:$D$510,14),$D$486:$D$510,0)),"")</f>
        <v>Setpoint change</v>
      </c>
      <c r="B527" s="87">
        <f t="shared" si="12"/>
        <v>0</v>
      </c>
      <c r="C527" s="87">
        <f t="shared" si="13"/>
        <v>0</v>
      </c>
      <c r="D527" s="87">
        <f t="shared" si="14"/>
        <v>0</v>
      </c>
    </row>
    <row r="528" spans="1:4">
      <c r="A528" s="87" t="str">
        <f>IFERROR(INDEX($A$486:$A$510,MATCH(LARGE($D$486:$D$510,15),$D$486:$D$510,0)),"")</f>
        <v>Case End Seal</v>
      </c>
      <c r="B528" s="87">
        <f t="shared" si="12"/>
        <v>0</v>
      </c>
      <c r="C528" s="87">
        <f t="shared" si="13"/>
        <v>0</v>
      </c>
      <c r="D528" s="87">
        <f t="shared" si="14"/>
        <v>0</v>
      </c>
    </row>
    <row r="529" spans="1:26">
      <c r="A529" s="87" t="str">
        <f>IFERROR(INDEX($A$486:$A$510,MATCH(LARGE($D$486:$D$510,16),$D$486:$D$510,0)),"")</f>
        <v>Return Air blocked</v>
      </c>
      <c r="B529" s="87">
        <f t="shared" si="12"/>
        <v>0</v>
      </c>
      <c r="C529" s="87">
        <f t="shared" si="13"/>
        <v>0</v>
      </c>
      <c r="D529" s="87">
        <f t="shared" si="14"/>
        <v>0</v>
      </c>
    </row>
    <row r="530" spans="1:26">
      <c r="A530" s="87" t="str">
        <f>IFERROR(INDEX($A$486:$A$510,MATCH(LARGE($D$486:$D$510,17),$D$486:$D$510,0)),"")</f>
        <v>Unidentified air leak</v>
      </c>
      <c r="B530" s="87">
        <f t="shared" si="12"/>
        <v>0</v>
      </c>
      <c r="C530" s="87">
        <f t="shared" si="13"/>
        <v>0</v>
      </c>
      <c r="D530" s="87">
        <f t="shared" si="14"/>
        <v>0</v>
      </c>
    </row>
    <row r="531" spans="1:26">
      <c r="A531" s="87" t="str">
        <f>IFERROR(INDEX($A$486:$A$510,MATCH(LARGE($D$486:$D$510,18),$D$486:$D$510,0)),"")</f>
        <v>Heavy case load</v>
      </c>
      <c r="B531" s="87">
        <f t="shared" si="12"/>
        <v>0</v>
      </c>
      <c r="C531" s="87">
        <f t="shared" si="13"/>
        <v>0</v>
      </c>
      <c r="D531" s="87">
        <f t="shared" si="14"/>
        <v>0</v>
      </c>
    </row>
    <row r="532" spans="1:26">
      <c r="A532" s="87" t="str">
        <f>IFERROR(INDEX($A$486:$A$510,MATCH(LARGE($D$486:$D$510,19),$D$486:$D$510,0)),"")</f>
        <v>DG Installation issue</v>
      </c>
      <c r="B532" s="87">
        <f t="shared" si="12"/>
        <v>0</v>
      </c>
      <c r="C532" s="87">
        <f t="shared" si="13"/>
        <v>0</v>
      </c>
      <c r="D532" s="87">
        <f t="shared" si="14"/>
        <v>0</v>
      </c>
    </row>
    <row r="533" spans="1:26">
      <c r="A533" s="87" t="str">
        <f>IFERROR(INDEX($A$486:$A$510,MATCH(LARGE($D$486:$D$510,20),$D$486:$D$510,0)),"")</f>
        <v>Program change - Hussmann</v>
      </c>
      <c r="B533" s="87">
        <f t="shared" si="12"/>
        <v>0</v>
      </c>
      <c r="C533" s="87">
        <f t="shared" si="13"/>
        <v>0</v>
      </c>
      <c r="D533" s="87">
        <f t="shared" si="14"/>
        <v>0</v>
      </c>
    </row>
    <row r="534" spans="1:26">
      <c r="A534" s="87" t="str">
        <f>IFERROR(INDEX($A$486:$A$510,MATCH(LARGE($D$486:$D$510,21),$D$486:$D$510,0)),"")</f>
        <v>Wrong program</v>
      </c>
      <c r="B534" s="87">
        <f t="shared" si="12"/>
        <v>0</v>
      </c>
      <c r="C534" s="87">
        <f t="shared" si="13"/>
        <v>0</v>
      </c>
      <c r="D534" s="87">
        <f t="shared" si="14"/>
        <v>0</v>
      </c>
    </row>
    <row r="535" spans="1:26">
      <c r="A535" s="87" t="str">
        <f>IFERROR(INDEX($A$486:$A$510,MATCH(LARGE($D$486:$D$510,22),$D$486:$D$510,0)),"")</f>
        <v/>
      </c>
      <c r="B535" s="87" t="str">
        <f t="shared" si="12"/>
        <v/>
      </c>
      <c r="C535" s="87" t="str">
        <f t="shared" si="13"/>
        <v/>
      </c>
      <c r="D535" s="87" t="str">
        <f t="shared" si="14"/>
        <v/>
      </c>
    </row>
    <row r="536" spans="1:26">
      <c r="A536" s="87" t="str">
        <f>IFERROR(INDEX($A$486:$A$510,MATCH(LARGE($D$486:$D$510,23),$D$486:$D$510,0)),"")</f>
        <v/>
      </c>
      <c r="B536" s="87" t="str">
        <f t="shared" si="12"/>
        <v/>
      </c>
      <c r="C536" s="87" t="str">
        <f t="shared" si="13"/>
        <v/>
      </c>
      <c r="D536" s="87" t="str">
        <f t="shared" si="14"/>
        <v/>
      </c>
    </row>
    <row r="537" spans="1:26">
      <c r="A537" s="87" t="str">
        <f>IFERROR(INDEX($A$486:$A$510,MATCH(LARGE($D$486:$D$510,24),$D$486:$D$510,0)),"")</f>
        <v/>
      </c>
      <c r="B537" s="87" t="str">
        <f t="shared" si="12"/>
        <v/>
      </c>
      <c r="C537" s="87" t="str">
        <f t="shared" si="13"/>
        <v/>
      </c>
      <c r="D537" s="87" t="str">
        <f t="shared" si="14"/>
        <v/>
      </c>
    </row>
    <row r="538" spans="1:26">
      <c r="A538" s="87" t="str">
        <f>IFERROR(INDEX($A$486:$A$510,MATCH(LARGE($D$486:$D$510,25),$D$486:$D$510,0)),"")</f>
        <v/>
      </c>
      <c r="B538" s="87" t="str">
        <f t="shared" si="12"/>
        <v/>
      </c>
      <c r="C538" s="87" t="str">
        <f t="shared" si="13"/>
        <v/>
      </c>
      <c r="D538" s="87" t="str">
        <f t="shared" si="14"/>
        <v/>
      </c>
    </row>
    <row r="541" spans="1:26">
      <c r="A541" s="119" t="s">
        <v>1569</v>
      </c>
      <c r="B541" s="119" t="str">
        <f>IF($A514="","",$A514)</f>
        <v>Doors</v>
      </c>
      <c r="C541" s="119" t="str">
        <f>IF($A515="","",$A515)</f>
        <v>Communication problem</v>
      </c>
      <c r="D541" s="119" t="str">
        <f>IF($A516="","",$A516)</f>
        <v>High Store RH</v>
      </c>
      <c r="E541" s="119" t="str">
        <f>IF($A517="","",$A517)</f>
        <v>Component Failure</v>
      </c>
      <c r="F541" s="119" t="str">
        <f>IF($A518="","",$A518)</f>
        <v>False Alarm</v>
      </c>
      <c r="G541" s="119" t="str">
        <f>IF($A519="","",$A519)</f>
        <v>Overstocking</v>
      </c>
      <c r="H541" s="119" t="str">
        <f>IF($A520="","",$A520)</f>
        <v>Freedom</v>
      </c>
      <c r="I541" s="119" t="str">
        <f>IF($A521="","",$A521)</f>
        <v>Unknown</v>
      </c>
      <c r="J541" s="119" t="str">
        <f>IF($A522="","",$A522)</f>
        <v>Ref. leak/ Low charge</v>
      </c>
      <c r="K541" s="119" t="str">
        <f>IF($A523="","",$A523)</f>
        <v>Drain tube blocked</v>
      </c>
      <c r="L541" s="119" t="str">
        <f>IF($A524="","",$A524)</f>
        <v>Wrong / Loose wiring</v>
      </c>
      <c r="M541" s="119" t="str">
        <f>IF($A525="","",$A525)</f>
        <v>Enclosure Seal</v>
      </c>
      <c r="N541" s="119" t="str">
        <f>IF($A526="","",$A526)</f>
        <v>Defrost Sync</v>
      </c>
      <c r="O541" s="119" t="str">
        <f>IF($A527="","",$A527)</f>
        <v>Setpoint change</v>
      </c>
      <c r="P541" s="119" t="str">
        <f>IF($A528="","",$A528)</f>
        <v>Case End Seal</v>
      </c>
      <c r="Q541" s="119" t="str">
        <f>IF($A529="","",$A529)</f>
        <v>Return Air blocked</v>
      </c>
      <c r="R541" s="119" t="str">
        <f>IF($A530="","",$A530)</f>
        <v>Unidentified air leak</v>
      </c>
      <c r="S541" s="119" t="str">
        <f>IF($A531="","",$A531)</f>
        <v>Heavy case load</v>
      </c>
      <c r="T541" s="119" t="str">
        <f>IF($A532="","",$A532)</f>
        <v>DG Installation issue</v>
      </c>
      <c r="U541" s="119" t="str">
        <f>IF($A533="","",$A533)</f>
        <v>Program change - Hussmann</v>
      </c>
      <c r="V541" s="119" t="str">
        <f>IF($A534="","",$A534)</f>
        <v>Wrong program</v>
      </c>
      <c r="W541" s="119" t="str">
        <f>IF($A535="","",$A535)</f>
        <v/>
      </c>
      <c r="X541" s="119" t="str">
        <f>IF($A536="","",$A536)</f>
        <v/>
      </c>
      <c r="Y541" s="119" t="str">
        <f>IF($A537="","",$A537)</f>
        <v/>
      </c>
      <c r="Z541" s="119" t="str">
        <f>IF($A538="","",$A538)</f>
        <v/>
      </c>
    </row>
    <row r="542" spans="1:26">
      <c r="A542" s="87" t="str">
        <f>A514</f>
        <v>Doors</v>
      </c>
      <c r="B542" s="87">
        <f>B514</f>
        <v>0</v>
      </c>
      <c r="C542" s="87">
        <v>0</v>
      </c>
      <c r="D542" s="87">
        <v>0</v>
      </c>
      <c r="E542" s="87">
        <v>0</v>
      </c>
      <c r="F542" s="87">
        <v>0</v>
      </c>
      <c r="G542" s="87">
        <v>0</v>
      </c>
      <c r="H542" s="87">
        <v>0</v>
      </c>
      <c r="I542" s="87">
        <v>0</v>
      </c>
      <c r="J542" s="87">
        <v>0</v>
      </c>
      <c r="K542" s="87">
        <v>0</v>
      </c>
      <c r="L542" s="87">
        <v>0</v>
      </c>
      <c r="M542" s="87">
        <v>0</v>
      </c>
      <c r="N542" s="87">
        <v>0</v>
      </c>
      <c r="O542" s="87">
        <v>0</v>
      </c>
      <c r="P542" s="87">
        <v>0</v>
      </c>
      <c r="Q542" s="87">
        <v>0</v>
      </c>
      <c r="R542" s="87">
        <v>0</v>
      </c>
      <c r="S542" s="87">
        <v>0</v>
      </c>
      <c r="T542" s="87">
        <v>0</v>
      </c>
      <c r="U542" s="87">
        <v>0</v>
      </c>
      <c r="V542" s="87">
        <v>0</v>
      </c>
      <c r="W542" s="87">
        <v>0</v>
      </c>
      <c r="X542" s="87">
        <v>0</v>
      </c>
      <c r="Y542" s="87">
        <v>0</v>
      </c>
      <c r="Z542" s="87">
        <v>0</v>
      </c>
    </row>
    <row r="543" spans="1:26">
      <c r="A543" s="87" t="str">
        <f t="shared" ref="A543:A566" si="15">A515</f>
        <v>Communication problem</v>
      </c>
      <c r="B543" s="87">
        <v>0</v>
      </c>
      <c r="C543" s="87">
        <f>B515</f>
        <v>0</v>
      </c>
      <c r="D543" s="87">
        <v>0</v>
      </c>
      <c r="E543" s="87">
        <v>0</v>
      </c>
      <c r="F543" s="87">
        <v>0</v>
      </c>
      <c r="G543" s="87">
        <v>0</v>
      </c>
      <c r="H543" s="87">
        <v>0</v>
      </c>
      <c r="I543" s="87">
        <v>0</v>
      </c>
      <c r="J543" s="87">
        <v>0</v>
      </c>
      <c r="K543" s="87">
        <v>0</v>
      </c>
      <c r="L543" s="87">
        <v>0</v>
      </c>
      <c r="M543" s="87">
        <v>0</v>
      </c>
      <c r="N543" s="87">
        <v>0</v>
      </c>
      <c r="O543" s="87">
        <v>0</v>
      </c>
      <c r="P543" s="87">
        <v>0</v>
      </c>
      <c r="Q543" s="87">
        <v>0</v>
      </c>
      <c r="R543" s="87">
        <v>0</v>
      </c>
      <c r="S543" s="87">
        <v>0</v>
      </c>
      <c r="T543" s="87">
        <v>0</v>
      </c>
      <c r="U543" s="87">
        <v>0</v>
      </c>
      <c r="V543" s="87">
        <v>0</v>
      </c>
      <c r="W543" s="87">
        <v>0</v>
      </c>
      <c r="X543" s="87">
        <v>0</v>
      </c>
      <c r="Y543" s="87">
        <v>0</v>
      </c>
      <c r="Z543" s="87">
        <v>0</v>
      </c>
    </row>
    <row r="544" spans="1:26">
      <c r="A544" s="87" t="str">
        <f t="shared" si="15"/>
        <v>High Store RH</v>
      </c>
      <c r="B544" s="87">
        <v>0</v>
      </c>
      <c r="C544" s="87">
        <v>0</v>
      </c>
      <c r="D544" s="87">
        <f>B516</f>
        <v>1</v>
      </c>
      <c r="E544" s="87">
        <v>0</v>
      </c>
      <c r="F544" s="87">
        <v>0</v>
      </c>
      <c r="G544" s="87">
        <v>0</v>
      </c>
      <c r="H544" s="87">
        <v>0</v>
      </c>
      <c r="I544" s="87">
        <v>0</v>
      </c>
      <c r="J544" s="87">
        <v>0</v>
      </c>
      <c r="K544" s="87">
        <v>0</v>
      </c>
      <c r="L544" s="87">
        <v>0</v>
      </c>
      <c r="M544" s="87">
        <v>0</v>
      </c>
      <c r="N544" s="87">
        <v>0</v>
      </c>
      <c r="O544" s="87">
        <v>0</v>
      </c>
      <c r="P544" s="87">
        <v>0</v>
      </c>
      <c r="Q544" s="87">
        <v>0</v>
      </c>
      <c r="R544" s="87">
        <v>0</v>
      </c>
      <c r="S544" s="87">
        <v>0</v>
      </c>
      <c r="T544" s="87">
        <v>0</v>
      </c>
      <c r="U544" s="87">
        <v>0</v>
      </c>
      <c r="V544" s="87">
        <v>0</v>
      </c>
      <c r="W544" s="87">
        <v>0</v>
      </c>
      <c r="X544" s="87">
        <v>0</v>
      </c>
      <c r="Y544" s="87">
        <v>0</v>
      </c>
      <c r="Z544" s="87">
        <v>0</v>
      </c>
    </row>
    <row r="545" spans="1:26">
      <c r="A545" s="87" t="str">
        <f t="shared" si="15"/>
        <v>Component Failure</v>
      </c>
      <c r="B545" s="87">
        <v>0</v>
      </c>
      <c r="C545" s="87">
        <v>0</v>
      </c>
      <c r="D545" s="87">
        <v>0</v>
      </c>
      <c r="E545" s="87">
        <f>B517</f>
        <v>0</v>
      </c>
      <c r="F545" s="87">
        <v>0</v>
      </c>
      <c r="G545" s="87">
        <v>0</v>
      </c>
      <c r="H545" s="87">
        <v>0</v>
      </c>
      <c r="I545" s="87">
        <v>0</v>
      </c>
      <c r="J545" s="87">
        <v>0</v>
      </c>
      <c r="K545" s="87">
        <v>0</v>
      </c>
      <c r="L545" s="87">
        <v>0</v>
      </c>
      <c r="M545" s="87">
        <v>0</v>
      </c>
      <c r="N545" s="87">
        <v>0</v>
      </c>
      <c r="O545" s="87">
        <v>0</v>
      </c>
      <c r="P545" s="87">
        <v>0</v>
      </c>
      <c r="Q545" s="87">
        <v>0</v>
      </c>
      <c r="R545" s="87">
        <v>0</v>
      </c>
      <c r="S545" s="87">
        <v>0</v>
      </c>
      <c r="T545" s="87">
        <v>0</v>
      </c>
      <c r="U545" s="87">
        <v>0</v>
      </c>
      <c r="V545" s="87">
        <v>0</v>
      </c>
      <c r="W545" s="87">
        <v>0</v>
      </c>
      <c r="X545" s="87">
        <v>0</v>
      </c>
      <c r="Y545" s="87">
        <v>0</v>
      </c>
      <c r="Z545" s="87">
        <v>0</v>
      </c>
    </row>
    <row r="546" spans="1:26">
      <c r="A546" s="87" t="str">
        <f t="shared" si="15"/>
        <v>False Alarm</v>
      </c>
      <c r="B546" s="87">
        <v>0</v>
      </c>
      <c r="C546" s="87">
        <v>0</v>
      </c>
      <c r="D546" s="87">
        <v>0</v>
      </c>
      <c r="E546" s="87">
        <v>0</v>
      </c>
      <c r="F546" s="87">
        <f>B518</f>
        <v>1</v>
      </c>
      <c r="G546" s="87">
        <v>0</v>
      </c>
      <c r="H546" s="87">
        <v>0</v>
      </c>
      <c r="I546" s="87">
        <v>0</v>
      </c>
      <c r="J546" s="87">
        <v>0</v>
      </c>
      <c r="K546" s="87">
        <v>0</v>
      </c>
      <c r="L546" s="87">
        <v>0</v>
      </c>
      <c r="M546" s="87">
        <v>0</v>
      </c>
      <c r="N546" s="87">
        <v>0</v>
      </c>
      <c r="O546" s="87">
        <v>0</v>
      </c>
      <c r="P546" s="87">
        <v>0</v>
      </c>
      <c r="Q546" s="87">
        <v>0</v>
      </c>
      <c r="R546" s="87">
        <v>0</v>
      </c>
      <c r="S546" s="87">
        <v>0</v>
      </c>
      <c r="T546" s="87">
        <v>0</v>
      </c>
      <c r="U546" s="87">
        <v>0</v>
      </c>
      <c r="V546" s="87">
        <v>0</v>
      </c>
      <c r="W546" s="87">
        <v>0</v>
      </c>
      <c r="X546" s="87">
        <v>0</v>
      </c>
      <c r="Y546" s="87">
        <v>0</v>
      </c>
      <c r="Z546" s="87">
        <v>0</v>
      </c>
    </row>
    <row r="547" spans="1:26">
      <c r="A547" s="87" t="str">
        <f t="shared" si="15"/>
        <v>Overstocking</v>
      </c>
      <c r="B547" s="87">
        <v>0</v>
      </c>
      <c r="C547" s="87">
        <v>0</v>
      </c>
      <c r="D547" s="87">
        <v>0</v>
      </c>
      <c r="E547" s="87">
        <v>0</v>
      </c>
      <c r="F547" s="87">
        <v>0</v>
      </c>
      <c r="G547" s="87">
        <f>B519</f>
        <v>1</v>
      </c>
      <c r="H547" s="87">
        <v>0</v>
      </c>
      <c r="I547" s="87">
        <v>0</v>
      </c>
      <c r="J547" s="87">
        <v>0</v>
      </c>
      <c r="K547" s="87">
        <v>0</v>
      </c>
      <c r="L547" s="87">
        <v>0</v>
      </c>
      <c r="M547" s="87">
        <v>0</v>
      </c>
      <c r="N547" s="87">
        <v>0</v>
      </c>
      <c r="O547" s="87">
        <v>0</v>
      </c>
      <c r="P547" s="87">
        <v>0</v>
      </c>
      <c r="Q547" s="87">
        <v>0</v>
      </c>
      <c r="R547" s="87">
        <v>0</v>
      </c>
      <c r="S547" s="87">
        <v>0</v>
      </c>
      <c r="T547" s="87">
        <v>0</v>
      </c>
      <c r="U547" s="87">
        <v>0</v>
      </c>
      <c r="V547" s="87">
        <v>0</v>
      </c>
      <c r="W547" s="87">
        <v>0</v>
      </c>
      <c r="X547" s="87">
        <v>0</v>
      </c>
      <c r="Y547" s="87">
        <v>0</v>
      </c>
      <c r="Z547" s="87">
        <v>0</v>
      </c>
    </row>
    <row r="548" spans="1:26">
      <c r="A548" s="87" t="str">
        <f t="shared" si="15"/>
        <v>Freedom</v>
      </c>
      <c r="B548" s="87">
        <v>0</v>
      </c>
      <c r="C548" s="87">
        <v>0</v>
      </c>
      <c r="D548" s="87">
        <v>0</v>
      </c>
      <c r="E548" s="87">
        <v>0</v>
      </c>
      <c r="F548" s="87">
        <v>0</v>
      </c>
      <c r="G548" s="87">
        <v>0</v>
      </c>
      <c r="H548" s="87">
        <f>B520</f>
        <v>0</v>
      </c>
      <c r="I548" s="87">
        <v>0</v>
      </c>
      <c r="J548" s="87">
        <v>0</v>
      </c>
      <c r="K548" s="87">
        <v>0</v>
      </c>
      <c r="L548" s="87">
        <v>0</v>
      </c>
      <c r="M548" s="87">
        <v>0</v>
      </c>
      <c r="N548" s="87">
        <v>0</v>
      </c>
      <c r="O548" s="87">
        <v>0</v>
      </c>
      <c r="P548" s="87">
        <v>0</v>
      </c>
      <c r="Q548" s="87">
        <v>0</v>
      </c>
      <c r="R548" s="87">
        <v>0</v>
      </c>
      <c r="S548" s="87">
        <v>0</v>
      </c>
      <c r="T548" s="87">
        <v>0</v>
      </c>
      <c r="U548" s="87">
        <v>0</v>
      </c>
      <c r="V548" s="87">
        <v>0</v>
      </c>
      <c r="W548" s="87">
        <v>0</v>
      </c>
      <c r="X548" s="87">
        <v>0</v>
      </c>
      <c r="Y548" s="87">
        <v>0</v>
      </c>
      <c r="Z548" s="87">
        <v>0</v>
      </c>
    </row>
    <row r="549" spans="1:26">
      <c r="A549" s="87" t="str">
        <f t="shared" si="15"/>
        <v>Unknown</v>
      </c>
      <c r="B549" s="87">
        <v>0</v>
      </c>
      <c r="C549" s="87">
        <v>0</v>
      </c>
      <c r="D549" s="87">
        <v>0</v>
      </c>
      <c r="E549" s="87">
        <v>0</v>
      </c>
      <c r="F549" s="87">
        <v>0</v>
      </c>
      <c r="G549" s="87">
        <v>0</v>
      </c>
      <c r="H549" s="87">
        <v>0</v>
      </c>
      <c r="I549" s="87">
        <f>B521</f>
        <v>0</v>
      </c>
      <c r="J549" s="87">
        <v>0</v>
      </c>
      <c r="K549" s="87">
        <v>0</v>
      </c>
      <c r="L549" s="87">
        <v>0</v>
      </c>
      <c r="M549" s="87">
        <v>0</v>
      </c>
      <c r="N549" s="87">
        <v>0</v>
      </c>
      <c r="O549" s="87">
        <v>0</v>
      </c>
      <c r="P549" s="87">
        <v>0</v>
      </c>
      <c r="Q549" s="87">
        <v>0</v>
      </c>
      <c r="R549" s="87">
        <v>0</v>
      </c>
      <c r="S549" s="87">
        <v>0</v>
      </c>
      <c r="T549" s="87">
        <v>0</v>
      </c>
      <c r="U549" s="87">
        <v>0</v>
      </c>
      <c r="V549" s="87">
        <v>0</v>
      </c>
      <c r="W549" s="87">
        <v>0</v>
      </c>
      <c r="X549" s="87">
        <v>0</v>
      </c>
      <c r="Y549" s="87">
        <v>0</v>
      </c>
      <c r="Z549" s="87">
        <v>0</v>
      </c>
    </row>
    <row r="550" spans="1:26">
      <c r="A550" s="87" t="str">
        <f t="shared" si="15"/>
        <v>Ref. leak/ Low charge</v>
      </c>
      <c r="B550" s="87">
        <v>0</v>
      </c>
      <c r="C550" s="87">
        <v>0</v>
      </c>
      <c r="D550" s="87">
        <v>0</v>
      </c>
      <c r="E550" s="87">
        <v>0</v>
      </c>
      <c r="F550" s="87">
        <v>0</v>
      </c>
      <c r="G550" s="87">
        <v>0</v>
      </c>
      <c r="H550" s="87">
        <v>0</v>
      </c>
      <c r="I550" s="87">
        <v>0</v>
      </c>
      <c r="J550" s="87">
        <f>B522</f>
        <v>0</v>
      </c>
      <c r="K550" s="87">
        <v>0</v>
      </c>
      <c r="L550" s="87">
        <v>0</v>
      </c>
      <c r="M550" s="87">
        <v>0</v>
      </c>
      <c r="N550" s="87">
        <v>0</v>
      </c>
      <c r="O550" s="87">
        <v>0</v>
      </c>
      <c r="P550" s="87">
        <v>0</v>
      </c>
      <c r="Q550" s="87">
        <v>0</v>
      </c>
      <c r="R550" s="87">
        <v>0</v>
      </c>
      <c r="S550" s="87">
        <v>0</v>
      </c>
      <c r="T550" s="87">
        <v>0</v>
      </c>
      <c r="U550" s="87">
        <v>0</v>
      </c>
      <c r="V550" s="87">
        <v>0</v>
      </c>
      <c r="W550" s="87">
        <v>0</v>
      </c>
      <c r="X550" s="87">
        <v>0</v>
      </c>
      <c r="Y550" s="87">
        <v>0</v>
      </c>
      <c r="Z550" s="87">
        <v>0</v>
      </c>
    </row>
    <row r="551" spans="1:26">
      <c r="A551" s="87" t="str">
        <f t="shared" si="15"/>
        <v>Drain tube blocked</v>
      </c>
      <c r="B551" s="87">
        <v>0</v>
      </c>
      <c r="C551" s="87">
        <v>0</v>
      </c>
      <c r="D551" s="87">
        <v>0</v>
      </c>
      <c r="E551" s="87">
        <v>0</v>
      </c>
      <c r="F551" s="87">
        <v>0</v>
      </c>
      <c r="G551" s="87">
        <v>0</v>
      </c>
      <c r="H551" s="87">
        <v>0</v>
      </c>
      <c r="I551" s="87">
        <v>0</v>
      </c>
      <c r="J551" s="87">
        <v>0</v>
      </c>
      <c r="K551" s="87">
        <f>B523</f>
        <v>0</v>
      </c>
      <c r="L551" s="87">
        <v>0</v>
      </c>
      <c r="M551" s="87">
        <v>0</v>
      </c>
      <c r="N551" s="87">
        <v>0</v>
      </c>
      <c r="O551" s="87">
        <v>0</v>
      </c>
      <c r="P551" s="87">
        <v>0</v>
      </c>
      <c r="Q551" s="87">
        <v>0</v>
      </c>
      <c r="R551" s="87">
        <v>0</v>
      </c>
      <c r="S551" s="87">
        <v>0</v>
      </c>
      <c r="T551" s="87">
        <v>0</v>
      </c>
      <c r="U551" s="87">
        <v>0</v>
      </c>
      <c r="V551" s="87">
        <v>0</v>
      </c>
      <c r="W551" s="87">
        <v>0</v>
      </c>
      <c r="X551" s="87">
        <v>0</v>
      </c>
      <c r="Y551" s="87">
        <v>0</v>
      </c>
      <c r="Z551" s="87">
        <v>0</v>
      </c>
    </row>
    <row r="552" spans="1:26">
      <c r="A552" s="87" t="str">
        <f t="shared" si="15"/>
        <v>Wrong / Loose wiring</v>
      </c>
      <c r="B552" s="87">
        <v>0</v>
      </c>
      <c r="C552" s="87">
        <v>0</v>
      </c>
      <c r="D552" s="87">
        <v>0</v>
      </c>
      <c r="E552" s="87">
        <v>0</v>
      </c>
      <c r="F552" s="87">
        <v>0</v>
      </c>
      <c r="G552" s="87">
        <v>0</v>
      </c>
      <c r="H552" s="87">
        <v>0</v>
      </c>
      <c r="I552" s="87">
        <v>0</v>
      </c>
      <c r="J552" s="87">
        <v>0</v>
      </c>
      <c r="K552" s="87">
        <v>0</v>
      </c>
      <c r="L552" s="87">
        <f>B524</f>
        <v>0</v>
      </c>
      <c r="M552" s="87">
        <v>0</v>
      </c>
      <c r="N552" s="87">
        <v>0</v>
      </c>
      <c r="O552" s="87">
        <v>0</v>
      </c>
      <c r="P552" s="87">
        <v>0</v>
      </c>
      <c r="Q552" s="87">
        <v>0</v>
      </c>
      <c r="R552" s="87">
        <v>0</v>
      </c>
      <c r="S552" s="87">
        <v>0</v>
      </c>
      <c r="T552" s="87">
        <v>0</v>
      </c>
      <c r="U552" s="87">
        <v>0</v>
      </c>
      <c r="V552" s="87">
        <v>0</v>
      </c>
      <c r="W552" s="87">
        <v>0</v>
      </c>
      <c r="X552" s="87">
        <v>0</v>
      </c>
      <c r="Y552" s="87">
        <v>0</v>
      </c>
      <c r="Z552" s="87">
        <v>0</v>
      </c>
    </row>
    <row r="553" spans="1:26">
      <c r="A553" s="87" t="str">
        <f t="shared" si="15"/>
        <v>Enclosure Seal</v>
      </c>
      <c r="B553" s="87">
        <v>0</v>
      </c>
      <c r="C553" s="87">
        <v>0</v>
      </c>
      <c r="D553" s="87">
        <v>0</v>
      </c>
      <c r="E553" s="87">
        <v>0</v>
      </c>
      <c r="F553" s="87">
        <v>0</v>
      </c>
      <c r="G553" s="87">
        <v>0</v>
      </c>
      <c r="H553" s="87">
        <v>0</v>
      </c>
      <c r="I553" s="87">
        <v>0</v>
      </c>
      <c r="J553" s="87">
        <v>0</v>
      </c>
      <c r="K553" s="87">
        <v>0</v>
      </c>
      <c r="L553" s="87">
        <v>0</v>
      </c>
      <c r="M553" s="87">
        <f>B525</f>
        <v>0</v>
      </c>
      <c r="N553" s="87">
        <v>0</v>
      </c>
      <c r="O553" s="87">
        <v>0</v>
      </c>
      <c r="P553" s="87">
        <v>0</v>
      </c>
      <c r="Q553" s="87">
        <v>0</v>
      </c>
      <c r="R553" s="87">
        <v>0</v>
      </c>
      <c r="S553" s="87">
        <v>0</v>
      </c>
      <c r="T553" s="87">
        <v>0</v>
      </c>
      <c r="U553" s="87">
        <v>0</v>
      </c>
      <c r="V553" s="87">
        <v>0</v>
      </c>
      <c r="W553" s="87">
        <v>0</v>
      </c>
      <c r="X553" s="87">
        <v>0</v>
      </c>
      <c r="Y553" s="87">
        <v>0</v>
      </c>
      <c r="Z553" s="87">
        <v>0</v>
      </c>
    </row>
    <row r="554" spans="1:26">
      <c r="A554" s="87" t="str">
        <f t="shared" si="15"/>
        <v>Defrost Sync</v>
      </c>
      <c r="B554" s="87">
        <v>0</v>
      </c>
      <c r="C554" s="87">
        <v>0</v>
      </c>
      <c r="D554" s="87">
        <v>0</v>
      </c>
      <c r="E554" s="87">
        <v>0</v>
      </c>
      <c r="F554" s="87">
        <v>0</v>
      </c>
      <c r="G554" s="87">
        <v>0</v>
      </c>
      <c r="H554" s="87">
        <v>0</v>
      </c>
      <c r="I554" s="87">
        <v>0</v>
      </c>
      <c r="J554" s="87">
        <v>0</v>
      </c>
      <c r="K554" s="87">
        <v>0</v>
      </c>
      <c r="L554" s="87">
        <v>0</v>
      </c>
      <c r="M554" s="87">
        <v>0</v>
      </c>
      <c r="N554" s="87">
        <f>B526</f>
        <v>0</v>
      </c>
      <c r="O554" s="87">
        <v>0</v>
      </c>
      <c r="P554" s="87">
        <v>0</v>
      </c>
      <c r="Q554" s="87">
        <v>0</v>
      </c>
      <c r="R554" s="87">
        <v>0</v>
      </c>
      <c r="S554" s="87">
        <v>0</v>
      </c>
      <c r="T554" s="87">
        <v>0</v>
      </c>
      <c r="U554" s="87">
        <v>0</v>
      </c>
      <c r="V554" s="87">
        <v>0</v>
      </c>
      <c r="W554" s="87">
        <v>0</v>
      </c>
      <c r="X554" s="87">
        <v>0</v>
      </c>
      <c r="Y554" s="87">
        <v>0</v>
      </c>
      <c r="Z554" s="87">
        <v>0</v>
      </c>
    </row>
    <row r="555" spans="1:26">
      <c r="A555" s="87" t="str">
        <f t="shared" si="15"/>
        <v>Setpoint change</v>
      </c>
      <c r="B555" s="87">
        <v>0</v>
      </c>
      <c r="C555" s="87">
        <v>0</v>
      </c>
      <c r="D555" s="87">
        <v>0</v>
      </c>
      <c r="E555" s="87">
        <v>0</v>
      </c>
      <c r="F555" s="87">
        <v>0</v>
      </c>
      <c r="G555" s="87">
        <v>0</v>
      </c>
      <c r="H555" s="87">
        <v>0</v>
      </c>
      <c r="I555" s="87">
        <v>0</v>
      </c>
      <c r="J555" s="87">
        <v>0</v>
      </c>
      <c r="K555" s="87">
        <v>0</v>
      </c>
      <c r="L555" s="87">
        <v>0</v>
      </c>
      <c r="M555" s="87">
        <v>0</v>
      </c>
      <c r="N555" s="87">
        <v>0</v>
      </c>
      <c r="O555" s="87">
        <f>B527</f>
        <v>0</v>
      </c>
      <c r="P555" s="87">
        <v>0</v>
      </c>
      <c r="Q555" s="87">
        <v>0</v>
      </c>
      <c r="R555" s="87">
        <v>0</v>
      </c>
      <c r="S555" s="87">
        <v>0</v>
      </c>
      <c r="T555" s="87">
        <v>0</v>
      </c>
      <c r="U555" s="87">
        <v>0</v>
      </c>
      <c r="V555" s="87">
        <v>0</v>
      </c>
      <c r="W555" s="87">
        <v>0</v>
      </c>
      <c r="X555" s="87">
        <v>0</v>
      </c>
      <c r="Y555" s="87">
        <v>0</v>
      </c>
      <c r="Z555" s="87">
        <v>0</v>
      </c>
    </row>
    <row r="556" spans="1:26">
      <c r="A556" s="87" t="str">
        <f t="shared" si="15"/>
        <v>Case End Seal</v>
      </c>
      <c r="B556" s="87">
        <v>0</v>
      </c>
      <c r="C556" s="87">
        <v>0</v>
      </c>
      <c r="D556" s="87">
        <v>0</v>
      </c>
      <c r="E556" s="87">
        <v>0</v>
      </c>
      <c r="F556" s="87">
        <v>0</v>
      </c>
      <c r="G556" s="87">
        <v>0</v>
      </c>
      <c r="H556" s="87">
        <v>0</v>
      </c>
      <c r="I556" s="87">
        <v>0</v>
      </c>
      <c r="J556" s="87">
        <v>0</v>
      </c>
      <c r="K556" s="87">
        <v>0</v>
      </c>
      <c r="L556" s="87">
        <v>0</v>
      </c>
      <c r="M556" s="87">
        <v>0</v>
      </c>
      <c r="N556" s="87">
        <v>0</v>
      </c>
      <c r="O556" s="87">
        <v>0</v>
      </c>
      <c r="P556" s="87">
        <f>B528</f>
        <v>0</v>
      </c>
      <c r="Q556" s="87">
        <v>0</v>
      </c>
      <c r="R556" s="87">
        <v>0</v>
      </c>
      <c r="S556" s="87">
        <v>0</v>
      </c>
      <c r="T556" s="87">
        <v>0</v>
      </c>
      <c r="U556" s="87">
        <v>0</v>
      </c>
      <c r="V556" s="87">
        <v>0</v>
      </c>
      <c r="W556" s="87">
        <v>0</v>
      </c>
      <c r="X556" s="87">
        <v>0</v>
      </c>
      <c r="Y556" s="87">
        <v>0</v>
      </c>
      <c r="Z556" s="87">
        <v>0</v>
      </c>
    </row>
    <row r="557" spans="1:26">
      <c r="A557" s="87" t="str">
        <f t="shared" si="15"/>
        <v>Return Air blocked</v>
      </c>
      <c r="B557" s="87">
        <v>0</v>
      </c>
      <c r="C557" s="87">
        <v>0</v>
      </c>
      <c r="D557" s="87">
        <v>0</v>
      </c>
      <c r="E557" s="87">
        <v>0</v>
      </c>
      <c r="F557" s="87">
        <v>0</v>
      </c>
      <c r="G557" s="87">
        <v>0</v>
      </c>
      <c r="H557" s="87">
        <v>0</v>
      </c>
      <c r="I557" s="87">
        <v>0</v>
      </c>
      <c r="J557" s="87">
        <v>0</v>
      </c>
      <c r="K557" s="87">
        <v>0</v>
      </c>
      <c r="L557" s="87">
        <v>0</v>
      </c>
      <c r="M557" s="87">
        <v>0</v>
      </c>
      <c r="N557" s="87">
        <v>0</v>
      </c>
      <c r="O557" s="87">
        <v>0</v>
      </c>
      <c r="P557" s="87">
        <v>0</v>
      </c>
      <c r="Q557" s="87">
        <f>B529</f>
        <v>0</v>
      </c>
      <c r="R557" s="87">
        <v>0</v>
      </c>
      <c r="S557" s="87">
        <v>0</v>
      </c>
      <c r="T557" s="87">
        <v>0</v>
      </c>
      <c r="U557" s="87">
        <v>0</v>
      </c>
      <c r="V557" s="87">
        <v>0</v>
      </c>
      <c r="W557" s="87">
        <v>0</v>
      </c>
      <c r="X557" s="87">
        <v>0</v>
      </c>
      <c r="Y557" s="87">
        <v>0</v>
      </c>
      <c r="Z557" s="87">
        <v>0</v>
      </c>
    </row>
    <row r="558" spans="1:26">
      <c r="A558" s="87" t="str">
        <f t="shared" si="15"/>
        <v>Unidentified air leak</v>
      </c>
      <c r="B558" s="87">
        <v>0</v>
      </c>
      <c r="C558" s="87">
        <v>0</v>
      </c>
      <c r="D558" s="87">
        <v>0</v>
      </c>
      <c r="E558" s="87">
        <v>0</v>
      </c>
      <c r="F558" s="87">
        <v>0</v>
      </c>
      <c r="G558" s="87">
        <v>0</v>
      </c>
      <c r="H558" s="87">
        <v>0</v>
      </c>
      <c r="I558" s="87">
        <v>0</v>
      </c>
      <c r="J558" s="87">
        <v>0</v>
      </c>
      <c r="K558" s="87">
        <v>0</v>
      </c>
      <c r="L558" s="87">
        <v>0</v>
      </c>
      <c r="M558" s="87">
        <v>0</v>
      </c>
      <c r="N558" s="87">
        <v>0</v>
      </c>
      <c r="O558" s="87">
        <v>0</v>
      </c>
      <c r="P558" s="87">
        <v>0</v>
      </c>
      <c r="Q558" s="87">
        <v>0</v>
      </c>
      <c r="R558" s="87">
        <f>B530</f>
        <v>0</v>
      </c>
      <c r="S558" s="87">
        <v>0</v>
      </c>
      <c r="T558" s="87">
        <v>0</v>
      </c>
      <c r="U558" s="87">
        <v>0</v>
      </c>
      <c r="V558" s="87">
        <v>0</v>
      </c>
      <c r="W558" s="87">
        <v>0</v>
      </c>
      <c r="X558" s="87">
        <v>0</v>
      </c>
      <c r="Y558" s="87">
        <v>0</v>
      </c>
      <c r="Z558" s="87">
        <v>0</v>
      </c>
    </row>
    <row r="559" spans="1:26">
      <c r="A559" s="87" t="str">
        <f t="shared" si="15"/>
        <v>Heavy case load</v>
      </c>
      <c r="B559" s="87">
        <v>0</v>
      </c>
      <c r="C559" s="87">
        <v>0</v>
      </c>
      <c r="D559" s="87">
        <v>0</v>
      </c>
      <c r="E559" s="87">
        <v>0</v>
      </c>
      <c r="F559" s="87">
        <v>0</v>
      </c>
      <c r="G559" s="87">
        <v>0</v>
      </c>
      <c r="H559" s="87">
        <v>0</v>
      </c>
      <c r="I559" s="87">
        <v>0</v>
      </c>
      <c r="J559" s="87">
        <v>0</v>
      </c>
      <c r="K559" s="87">
        <v>0</v>
      </c>
      <c r="L559" s="87">
        <v>0</v>
      </c>
      <c r="M559" s="87">
        <v>0</v>
      </c>
      <c r="N559" s="87">
        <v>0</v>
      </c>
      <c r="O559" s="87">
        <v>0</v>
      </c>
      <c r="P559" s="87">
        <v>0</v>
      </c>
      <c r="Q559" s="87">
        <v>0</v>
      </c>
      <c r="R559" s="87">
        <v>0</v>
      </c>
      <c r="S559" s="87">
        <f>B531</f>
        <v>0</v>
      </c>
      <c r="T559" s="87">
        <v>0</v>
      </c>
      <c r="U559" s="87">
        <v>0</v>
      </c>
      <c r="V559" s="87">
        <v>0</v>
      </c>
      <c r="W559" s="87">
        <v>0</v>
      </c>
      <c r="X559" s="87">
        <v>0</v>
      </c>
      <c r="Y559" s="87">
        <v>0</v>
      </c>
      <c r="Z559" s="87">
        <v>0</v>
      </c>
    </row>
    <row r="560" spans="1:26">
      <c r="A560" s="87" t="str">
        <f t="shared" si="15"/>
        <v>DG Installation issue</v>
      </c>
      <c r="B560" s="87">
        <v>0</v>
      </c>
      <c r="C560" s="87">
        <v>0</v>
      </c>
      <c r="D560" s="87">
        <v>0</v>
      </c>
      <c r="E560" s="87">
        <v>0</v>
      </c>
      <c r="F560" s="87">
        <v>0</v>
      </c>
      <c r="G560" s="87">
        <v>0</v>
      </c>
      <c r="H560" s="87">
        <v>0</v>
      </c>
      <c r="I560" s="87">
        <v>0</v>
      </c>
      <c r="J560" s="87">
        <v>0</v>
      </c>
      <c r="K560" s="87">
        <v>0</v>
      </c>
      <c r="L560" s="87">
        <v>0</v>
      </c>
      <c r="M560" s="87">
        <v>0</v>
      </c>
      <c r="N560" s="87">
        <v>0</v>
      </c>
      <c r="O560" s="87">
        <v>0</v>
      </c>
      <c r="P560" s="87">
        <v>0</v>
      </c>
      <c r="Q560" s="87">
        <v>0</v>
      </c>
      <c r="R560" s="87">
        <v>0</v>
      </c>
      <c r="S560" s="87">
        <v>0</v>
      </c>
      <c r="T560" s="87">
        <f>B532</f>
        <v>0</v>
      </c>
      <c r="U560" s="87">
        <v>0</v>
      </c>
      <c r="V560" s="87">
        <v>0</v>
      </c>
      <c r="W560" s="87">
        <v>0</v>
      </c>
      <c r="X560" s="87">
        <v>0</v>
      </c>
      <c r="Y560" s="87">
        <v>0</v>
      </c>
      <c r="Z560" s="87">
        <v>0</v>
      </c>
    </row>
    <row r="561" spans="1:26">
      <c r="A561" s="87" t="str">
        <f t="shared" si="15"/>
        <v>Program change - Hussmann</v>
      </c>
      <c r="B561" s="87">
        <v>0</v>
      </c>
      <c r="C561" s="87">
        <v>0</v>
      </c>
      <c r="D561" s="87">
        <v>0</v>
      </c>
      <c r="E561" s="87">
        <v>0</v>
      </c>
      <c r="F561" s="87">
        <v>0</v>
      </c>
      <c r="G561" s="87">
        <v>0</v>
      </c>
      <c r="H561" s="87">
        <v>0</v>
      </c>
      <c r="I561" s="87">
        <v>0</v>
      </c>
      <c r="J561" s="87">
        <v>0</v>
      </c>
      <c r="K561" s="87">
        <v>0</v>
      </c>
      <c r="L561" s="87">
        <v>0</v>
      </c>
      <c r="M561" s="87">
        <v>0</v>
      </c>
      <c r="N561" s="87">
        <v>0</v>
      </c>
      <c r="O561" s="87">
        <v>0</v>
      </c>
      <c r="P561" s="87">
        <v>0</v>
      </c>
      <c r="Q561" s="87">
        <v>0</v>
      </c>
      <c r="R561" s="87">
        <v>0</v>
      </c>
      <c r="S561" s="87">
        <v>0</v>
      </c>
      <c r="T561" s="87">
        <v>0</v>
      </c>
      <c r="U561" s="87">
        <f>B533</f>
        <v>0</v>
      </c>
      <c r="V561" s="87">
        <v>0</v>
      </c>
      <c r="W561" s="87">
        <v>0</v>
      </c>
      <c r="X561" s="87">
        <v>0</v>
      </c>
      <c r="Y561" s="87">
        <v>0</v>
      </c>
      <c r="Z561" s="87">
        <v>0</v>
      </c>
    </row>
    <row r="562" spans="1:26">
      <c r="A562" s="87" t="str">
        <f t="shared" si="15"/>
        <v>Wrong program</v>
      </c>
      <c r="B562" s="87">
        <v>0</v>
      </c>
      <c r="C562" s="87">
        <v>0</v>
      </c>
      <c r="D562" s="87">
        <v>0</v>
      </c>
      <c r="E562" s="87">
        <v>0</v>
      </c>
      <c r="F562" s="87">
        <v>0</v>
      </c>
      <c r="G562" s="87">
        <v>0</v>
      </c>
      <c r="H562" s="87">
        <v>0</v>
      </c>
      <c r="I562" s="87">
        <v>0</v>
      </c>
      <c r="J562" s="87">
        <v>0</v>
      </c>
      <c r="K562" s="87">
        <v>0</v>
      </c>
      <c r="L562" s="87">
        <v>0</v>
      </c>
      <c r="M562" s="87">
        <v>0</v>
      </c>
      <c r="N562" s="87">
        <v>0</v>
      </c>
      <c r="O562" s="87">
        <v>0</v>
      </c>
      <c r="P562" s="87">
        <v>0</v>
      </c>
      <c r="Q562" s="87">
        <v>0</v>
      </c>
      <c r="R562" s="87">
        <v>0</v>
      </c>
      <c r="S562" s="87">
        <v>0</v>
      </c>
      <c r="T562" s="87">
        <v>0</v>
      </c>
      <c r="U562" s="87">
        <v>0</v>
      </c>
      <c r="V562" s="87">
        <f>B534</f>
        <v>0</v>
      </c>
      <c r="W562" s="87">
        <v>0</v>
      </c>
      <c r="X562" s="87">
        <v>0</v>
      </c>
      <c r="Y562" s="87">
        <v>0</v>
      </c>
      <c r="Z562" s="87">
        <v>0</v>
      </c>
    </row>
    <row r="563" spans="1:26">
      <c r="A563" s="87" t="str">
        <f t="shared" si="15"/>
        <v/>
      </c>
      <c r="B563" s="87">
        <v>0</v>
      </c>
      <c r="C563" s="87">
        <v>0</v>
      </c>
      <c r="D563" s="87">
        <v>0</v>
      </c>
      <c r="E563" s="87">
        <v>0</v>
      </c>
      <c r="F563" s="87">
        <v>0</v>
      </c>
      <c r="G563" s="87">
        <v>0</v>
      </c>
      <c r="H563" s="87">
        <v>0</v>
      </c>
      <c r="I563" s="87">
        <v>0</v>
      </c>
      <c r="J563" s="87">
        <v>0</v>
      </c>
      <c r="K563" s="87">
        <v>0</v>
      </c>
      <c r="L563" s="87">
        <v>0</v>
      </c>
      <c r="M563" s="87">
        <v>0</v>
      </c>
      <c r="N563" s="87">
        <v>0</v>
      </c>
      <c r="O563" s="87">
        <v>0</v>
      </c>
      <c r="P563" s="87">
        <v>0</v>
      </c>
      <c r="Q563" s="87">
        <v>0</v>
      </c>
      <c r="R563" s="87">
        <v>0</v>
      </c>
      <c r="S563" s="87">
        <v>0</v>
      </c>
      <c r="T563" s="87">
        <v>0</v>
      </c>
      <c r="U563" s="87">
        <v>0</v>
      </c>
      <c r="V563" s="87">
        <v>0</v>
      </c>
      <c r="W563" s="87" t="str">
        <f>B535</f>
        <v/>
      </c>
      <c r="X563" s="87">
        <v>0</v>
      </c>
      <c r="Y563" s="87">
        <v>0</v>
      </c>
      <c r="Z563" s="87">
        <v>0</v>
      </c>
    </row>
    <row r="564" spans="1:26">
      <c r="A564" s="87" t="str">
        <f t="shared" si="15"/>
        <v/>
      </c>
      <c r="B564" s="87">
        <v>0</v>
      </c>
      <c r="C564" s="87">
        <v>0</v>
      </c>
      <c r="D564" s="87">
        <v>0</v>
      </c>
      <c r="E564" s="87">
        <v>0</v>
      </c>
      <c r="F564" s="87">
        <v>0</v>
      </c>
      <c r="G564" s="87">
        <v>0</v>
      </c>
      <c r="H564" s="87">
        <v>0</v>
      </c>
      <c r="I564" s="87">
        <v>0</v>
      </c>
      <c r="J564" s="87">
        <v>0</v>
      </c>
      <c r="K564" s="87">
        <v>0</v>
      </c>
      <c r="L564" s="87">
        <v>0</v>
      </c>
      <c r="M564" s="87">
        <v>0</v>
      </c>
      <c r="N564" s="87">
        <v>0</v>
      </c>
      <c r="O564" s="87">
        <v>0</v>
      </c>
      <c r="P564" s="87">
        <v>0</v>
      </c>
      <c r="Q564" s="87">
        <v>0</v>
      </c>
      <c r="R564" s="87">
        <v>0</v>
      </c>
      <c r="S564" s="87">
        <v>0</v>
      </c>
      <c r="T564" s="87">
        <v>0</v>
      </c>
      <c r="U564" s="87">
        <v>0</v>
      </c>
      <c r="V564" s="87">
        <v>0</v>
      </c>
      <c r="W564" s="87">
        <v>0</v>
      </c>
      <c r="X564" s="87" t="str">
        <f>B536</f>
        <v/>
      </c>
      <c r="Y564" s="87">
        <v>0</v>
      </c>
      <c r="Z564" s="87">
        <v>0</v>
      </c>
    </row>
    <row r="565" spans="1:26">
      <c r="A565" s="87" t="str">
        <f t="shared" si="15"/>
        <v/>
      </c>
      <c r="B565" s="87">
        <v>0</v>
      </c>
      <c r="C565" s="87">
        <v>0</v>
      </c>
      <c r="D565" s="87">
        <v>0</v>
      </c>
      <c r="E565" s="87">
        <v>0</v>
      </c>
      <c r="F565" s="87">
        <v>0</v>
      </c>
      <c r="G565" s="87">
        <v>0</v>
      </c>
      <c r="H565" s="87">
        <v>0</v>
      </c>
      <c r="I565" s="87">
        <v>0</v>
      </c>
      <c r="J565" s="87">
        <v>0</v>
      </c>
      <c r="K565" s="87">
        <v>0</v>
      </c>
      <c r="L565" s="87">
        <v>0</v>
      </c>
      <c r="M565" s="87">
        <v>0</v>
      </c>
      <c r="N565" s="87">
        <v>0</v>
      </c>
      <c r="O565" s="87">
        <v>0</v>
      </c>
      <c r="P565" s="87">
        <v>0</v>
      </c>
      <c r="Q565" s="87">
        <v>0</v>
      </c>
      <c r="R565" s="87">
        <v>0</v>
      </c>
      <c r="S565" s="87">
        <v>0</v>
      </c>
      <c r="T565" s="87">
        <v>0</v>
      </c>
      <c r="U565" s="87">
        <v>0</v>
      </c>
      <c r="V565" s="87">
        <v>0</v>
      </c>
      <c r="W565" s="87">
        <v>0</v>
      </c>
      <c r="X565" s="87">
        <v>0</v>
      </c>
      <c r="Y565" s="87" t="str">
        <f>B537</f>
        <v/>
      </c>
      <c r="Z565" s="87">
        <v>0</v>
      </c>
    </row>
    <row r="566" spans="1:26">
      <c r="A566" s="87" t="str">
        <f t="shared" si="15"/>
        <v/>
      </c>
      <c r="B566" s="87">
        <v>0</v>
      </c>
      <c r="C566" s="87">
        <v>0</v>
      </c>
      <c r="D566" s="87">
        <v>0</v>
      </c>
      <c r="E566" s="87">
        <v>0</v>
      </c>
      <c r="F566" s="87">
        <v>0</v>
      </c>
      <c r="G566" s="87">
        <v>0</v>
      </c>
      <c r="H566" s="87">
        <v>0</v>
      </c>
      <c r="I566" s="87">
        <v>0</v>
      </c>
      <c r="J566" s="87">
        <v>0</v>
      </c>
      <c r="K566" s="87">
        <v>0</v>
      </c>
      <c r="L566" s="87">
        <v>0</v>
      </c>
      <c r="M566" s="87">
        <v>0</v>
      </c>
      <c r="N566" s="87">
        <v>0</v>
      </c>
      <c r="O566" s="87">
        <v>0</v>
      </c>
      <c r="P566" s="87">
        <v>0</v>
      </c>
      <c r="Q566" s="87">
        <v>0</v>
      </c>
      <c r="R566" s="87">
        <v>0</v>
      </c>
      <c r="S566" s="87">
        <v>0</v>
      </c>
      <c r="T566" s="87">
        <v>0</v>
      </c>
      <c r="U566" s="87">
        <v>0</v>
      </c>
      <c r="V566" s="87">
        <v>0</v>
      </c>
      <c r="W566" s="87">
        <v>0</v>
      </c>
      <c r="X566" s="87">
        <v>0</v>
      </c>
      <c r="Y566" s="87">
        <v>0</v>
      </c>
      <c r="Z566" s="87" t="str">
        <f>B538</f>
        <v/>
      </c>
    </row>
    <row r="569" spans="1:26">
      <c r="A569" s="87" t="s">
        <v>1648</v>
      </c>
      <c r="B569" s="87" t="str">
        <f>"RLN2MA - issues after vs before clean point ("&amp;$B$262&amp;")"</f>
        <v>RLN2MA - issues after vs before clean point (Jun 1 to Jul 15)</v>
      </c>
    </row>
    <row r="576" spans="1:26">
      <c r="A576" s="126" t="s">
        <v>1649</v>
      </c>
      <c r="B576" s="127"/>
      <c r="C576" s="127"/>
      <c r="D576" s="127"/>
      <c r="E576" s="127"/>
      <c r="F576" s="127"/>
      <c r="G576" s="127"/>
      <c r="H576" s="127"/>
    </row>
    <row r="577" spans="1:8">
      <c r="A577" s="125" t="s">
        <v>1650</v>
      </c>
      <c r="B577" s="127"/>
      <c r="C577" s="127"/>
      <c r="D577" s="127"/>
      <c r="E577" s="127"/>
      <c r="F577" s="127"/>
      <c r="G577" s="127"/>
      <c r="H577" s="127"/>
    </row>
    <row r="579" spans="1:8">
      <c r="A579" s="87" t="s">
        <v>1643</v>
      </c>
      <c r="B579" s="87" t="str">
        <f>Settings!A78</f>
        <v>RMN4MA</v>
      </c>
    </row>
    <row r="581" spans="1:8">
      <c r="A581" s="119" t="s">
        <v>1139</v>
      </c>
      <c r="B581" s="119" t="s">
        <v>1257</v>
      </c>
      <c r="C581" s="119" t="s">
        <v>1281</v>
      </c>
      <c r="D581" s="119" t="s">
        <v>1574</v>
      </c>
    </row>
    <row r="582" spans="1:8">
      <c r="A582" s="87" t="str">
        <f>Settings!A4</f>
        <v>Ref. leak/ Low charge</v>
      </c>
      <c r="B582" s="87" t="str">
        <f>Settings!B4</f>
        <v>Ref. leak/ Low charge</v>
      </c>
      <c r="C582" s="87">
        <f>IF(A582="","",SUMPRODUCT((Summary!$E$5:$E$241=A582)*ISNUMBER(SEARCH($B$579,Summary!$H$5:$H$241))*ISNUMBER(Summary!$A$5:$A$241)*(Summary!$A$5:$A$241&gt;=IF(set_from="",0,set_from))*(Summary!$A$5:$A$241&lt;IF(set_to="",2958465,set_to+1))))</f>
        <v>2</v>
      </c>
      <c r="D582" s="87">
        <f>IF(A582="","",SUMPRODUCT((Summary!$E$5:$E$241=A582)*(Summary!$G$5:$G$241="Yes")*ISNUMBER(SEARCH($B$579,Summary!$H$5:$H$241))*ISNUMBER(Summary!$A$5:$A$241)*(Summary!$A$5:$A$241&gt;=IF(set_from="",0,set_from))*(Summary!$A$5:$A$241&lt;IF(set_to="",2958465,set_to+1))))</f>
        <v>1</v>
      </c>
    </row>
    <row r="583" spans="1:8">
      <c r="A583" s="87" t="str">
        <f>Settings!A5</f>
        <v>Door Torque</v>
      </c>
      <c r="B583" s="87" t="str">
        <f>Settings!B5</f>
        <v>Doors</v>
      </c>
      <c r="C583" s="87">
        <f>IF(A583="","",SUMPRODUCT((Summary!$E$5:$E$241=A583)*ISNUMBER(SEARCH($B$579,Summary!$H$5:$H$241))*ISNUMBER(Summary!$A$5:$A$241)*(Summary!$A$5:$A$241&gt;=IF(set_from="",0,set_from))*(Summary!$A$5:$A$241&lt;IF(set_to="",2958465,set_to+1))))</f>
        <v>1</v>
      </c>
      <c r="D583" s="87">
        <f>IF(A583="","",SUMPRODUCT((Summary!$E$5:$E$241=A583)*(Summary!$G$5:$G$241="Yes")*ISNUMBER(SEARCH($B$579,Summary!$H$5:$H$241))*ISNUMBER(Summary!$A$5:$A$241)*(Summary!$A$5:$A$241&gt;=IF(set_from="",0,set_from))*(Summary!$A$5:$A$241&lt;IF(set_to="",2958465,set_to+1))))</f>
        <v>1</v>
      </c>
    </row>
    <row r="584" spans="1:8">
      <c r="A584" s="87" t="str">
        <f>Settings!A6</f>
        <v>Door Gasket</v>
      </c>
      <c r="B584" s="87" t="str">
        <f>Settings!B6</f>
        <v>Doors</v>
      </c>
      <c r="C584" s="87">
        <f>IF(A584="","",SUMPRODUCT((Summary!$E$5:$E$241=A584)*ISNUMBER(SEARCH($B$579,Summary!$H$5:$H$241))*ISNUMBER(Summary!$A$5:$A$241)*(Summary!$A$5:$A$241&gt;=IF(set_from="",0,set_from))*(Summary!$A$5:$A$241&lt;IF(set_to="",2958465,set_to+1))))</f>
        <v>0</v>
      </c>
      <c r="D584" s="87">
        <f>IF(A584="","",SUMPRODUCT((Summary!$E$5:$E$241=A584)*(Summary!$G$5:$G$241="Yes")*ISNUMBER(SEARCH($B$579,Summary!$H$5:$H$241))*ISNUMBER(Summary!$A$5:$A$241)*(Summary!$A$5:$A$241&gt;=IF(set_from="",0,set_from))*(Summary!$A$5:$A$241&lt;IF(set_to="",2958465,set_to+1))))</f>
        <v>0</v>
      </c>
    </row>
    <row r="585" spans="1:8">
      <c r="A585" s="87" t="str">
        <f>Settings!A7</f>
        <v>Door frame heater</v>
      </c>
      <c r="B585" s="87" t="str">
        <f>Settings!B7</f>
        <v>Doors</v>
      </c>
      <c r="C585" s="87">
        <f>IF(A585="","",SUMPRODUCT((Summary!$E$5:$E$241=A585)*ISNUMBER(SEARCH($B$579,Summary!$H$5:$H$241))*ISNUMBER(Summary!$A$5:$A$241)*(Summary!$A$5:$A$241&gt;=IF(set_from="",0,set_from))*(Summary!$A$5:$A$241&lt;IF(set_to="",2958465,set_to+1))))</f>
        <v>0</v>
      </c>
      <c r="D585" s="87">
        <f>IF(A585="","",SUMPRODUCT((Summary!$E$5:$E$241=A585)*(Summary!$G$5:$G$241="Yes")*ISNUMBER(SEARCH($B$579,Summary!$H$5:$H$241))*ISNUMBER(Summary!$A$5:$A$241)*(Summary!$A$5:$A$241&gt;=IF(set_from="",0,set_from))*(Summary!$A$5:$A$241&lt;IF(set_to="",2958465,set_to+1))))</f>
        <v>0</v>
      </c>
    </row>
    <row r="586" spans="1:8">
      <c r="A586" s="87" t="str">
        <f>Settings!A8</f>
        <v>Door Torsion rod</v>
      </c>
      <c r="B586" s="87" t="str">
        <f>Settings!B8</f>
        <v>Doors</v>
      </c>
      <c r="C586" s="87">
        <f>IF(A586="","",SUMPRODUCT((Summary!$E$5:$E$241=A586)*ISNUMBER(SEARCH($B$579,Summary!$H$5:$H$241))*ISNUMBER(Summary!$A$5:$A$241)*(Summary!$A$5:$A$241&gt;=IF(set_from="",0,set_from))*(Summary!$A$5:$A$241&lt;IF(set_to="",2958465,set_to+1))))</f>
        <v>0</v>
      </c>
      <c r="D586" s="87">
        <f>IF(A586="","",SUMPRODUCT((Summary!$E$5:$E$241=A586)*(Summary!$G$5:$G$241="Yes")*ISNUMBER(SEARCH($B$579,Summary!$H$5:$H$241))*ISNUMBER(Summary!$A$5:$A$241)*(Summary!$A$5:$A$241&gt;=IF(set_from="",0,set_from))*(Summary!$A$5:$A$241&lt;IF(set_to="",2958465,set_to+1))))</f>
        <v>0</v>
      </c>
    </row>
    <row r="587" spans="1:8">
      <c r="A587" s="87" t="str">
        <f>Settings!A9</f>
        <v>Door not closed (Overnight)</v>
      </c>
      <c r="B587" s="87" t="str">
        <f>Settings!B9</f>
        <v>Doors</v>
      </c>
      <c r="C587" s="87">
        <f>IF(A587="","",SUMPRODUCT((Summary!$E$5:$E$241=A587)*ISNUMBER(SEARCH($B$579,Summary!$H$5:$H$241))*ISNUMBER(Summary!$A$5:$A$241)*(Summary!$A$5:$A$241&gt;=IF(set_from="",0,set_from))*(Summary!$A$5:$A$241&lt;IF(set_to="",2958465,set_to+1))))</f>
        <v>4</v>
      </c>
      <c r="D587" s="87">
        <f>IF(A587="","",SUMPRODUCT((Summary!$E$5:$E$241=A587)*(Summary!$G$5:$G$241="Yes")*ISNUMBER(SEARCH($B$579,Summary!$H$5:$H$241))*ISNUMBER(Summary!$A$5:$A$241)*(Summary!$A$5:$A$241&gt;=IF(set_from="",0,set_from))*(Summary!$A$5:$A$241&lt;IF(set_to="",2958465,set_to+1))))</f>
        <v>1</v>
      </c>
    </row>
    <row r="588" spans="1:8">
      <c r="A588" s="87" t="str">
        <f>Settings!A10</f>
        <v>Door - general</v>
      </c>
      <c r="B588" s="87" t="str">
        <f>Settings!B10</f>
        <v>Doors</v>
      </c>
      <c r="C588" s="87">
        <f>IF(A588="","",SUMPRODUCT((Summary!$E$5:$E$241=A588)*ISNUMBER(SEARCH($B$579,Summary!$H$5:$H$241))*ISNUMBER(Summary!$A$5:$A$241)*(Summary!$A$5:$A$241&gt;=IF(set_from="",0,set_from))*(Summary!$A$5:$A$241&lt;IF(set_to="",2958465,set_to+1))))</f>
        <v>0</v>
      </c>
      <c r="D588" s="87">
        <f>IF(A588="","",SUMPRODUCT((Summary!$E$5:$E$241=A588)*(Summary!$G$5:$G$241="Yes")*ISNUMBER(SEARCH($B$579,Summary!$H$5:$H$241))*ISNUMBER(Summary!$A$5:$A$241)*(Summary!$A$5:$A$241&gt;=IF(set_from="",0,set_from))*(Summary!$A$5:$A$241&lt;IF(set_to="",2958465,set_to+1))))</f>
        <v>0</v>
      </c>
    </row>
    <row r="589" spans="1:8">
      <c r="A589" s="87" t="str">
        <f>Settings!A11</f>
        <v>Drain tube blocked</v>
      </c>
      <c r="B589" s="87" t="str">
        <f>Settings!B11</f>
        <v>Drain tube blocked</v>
      </c>
      <c r="C589" s="87">
        <f>IF(A589="","",SUMPRODUCT((Summary!$E$5:$E$241=A589)*ISNUMBER(SEARCH($B$579,Summary!$H$5:$H$241))*ISNUMBER(Summary!$A$5:$A$241)*(Summary!$A$5:$A$241&gt;=IF(set_from="",0,set_from))*(Summary!$A$5:$A$241&lt;IF(set_to="",2958465,set_to+1))))</f>
        <v>0</v>
      </c>
      <c r="D589" s="87">
        <f>IF(A589="","",SUMPRODUCT((Summary!$E$5:$E$241=A589)*(Summary!$G$5:$G$241="Yes")*ISNUMBER(SEARCH($B$579,Summary!$H$5:$H$241))*ISNUMBER(Summary!$A$5:$A$241)*(Summary!$A$5:$A$241&gt;=IF(set_from="",0,set_from))*(Summary!$A$5:$A$241&lt;IF(set_to="",2958465,set_to+1))))</f>
        <v>0</v>
      </c>
    </row>
    <row r="590" spans="1:8">
      <c r="A590" s="87" t="str">
        <f>Settings!A12</f>
        <v>Wrong / Loose wiring</v>
      </c>
      <c r="B590" s="87" t="str">
        <f>Settings!B12</f>
        <v>Wrong / Loose wiring</v>
      </c>
      <c r="C590" s="87">
        <f>IF(A590="","",SUMPRODUCT((Summary!$E$5:$E$241=A590)*ISNUMBER(SEARCH($B$579,Summary!$H$5:$H$241))*ISNUMBER(Summary!$A$5:$A$241)*(Summary!$A$5:$A$241&gt;=IF(set_from="",0,set_from))*(Summary!$A$5:$A$241&lt;IF(set_to="",2958465,set_to+1))))</f>
        <v>0</v>
      </c>
      <c r="D590" s="87">
        <f>IF(A590="","",SUMPRODUCT((Summary!$E$5:$E$241=A590)*(Summary!$G$5:$G$241="Yes")*ISNUMBER(SEARCH($B$579,Summary!$H$5:$H$241))*ISNUMBER(Summary!$A$5:$A$241)*(Summary!$A$5:$A$241&gt;=IF(set_from="",0,set_from))*(Summary!$A$5:$A$241&lt;IF(set_to="",2958465,set_to+1))))</f>
        <v>0</v>
      </c>
    </row>
    <row r="591" spans="1:8">
      <c r="A591" s="87" t="str">
        <f>Settings!A13</f>
        <v>Communication problem</v>
      </c>
      <c r="B591" s="87" t="str">
        <f>Settings!B13</f>
        <v>Communication problem</v>
      </c>
      <c r="C591" s="87">
        <f>IF(A591="","",SUMPRODUCT((Summary!$E$5:$E$241=A591)*ISNUMBER(SEARCH($B$579,Summary!$H$5:$H$241))*ISNUMBER(Summary!$A$5:$A$241)*(Summary!$A$5:$A$241&gt;=IF(set_from="",0,set_from))*(Summary!$A$5:$A$241&lt;IF(set_to="",2958465,set_to+1))))</f>
        <v>0</v>
      </c>
      <c r="D591" s="87">
        <f>IF(A591="","",SUMPRODUCT((Summary!$E$5:$E$241=A591)*(Summary!$G$5:$G$241="Yes")*ISNUMBER(SEARCH($B$579,Summary!$H$5:$H$241))*ISNUMBER(Summary!$A$5:$A$241)*(Summary!$A$5:$A$241&gt;=IF(set_from="",0,set_from))*(Summary!$A$5:$A$241&lt;IF(set_to="",2958465,set_to+1))))</f>
        <v>0</v>
      </c>
    </row>
    <row r="592" spans="1:8">
      <c r="A592" s="87" t="str">
        <f>Settings!A14</f>
        <v>High Store RH</v>
      </c>
      <c r="B592" s="87" t="str">
        <f>Settings!B14</f>
        <v>High Store RH</v>
      </c>
      <c r="C592" s="87">
        <f>IF(A592="","",SUMPRODUCT((Summary!$E$5:$E$241=A592)*ISNUMBER(SEARCH($B$579,Summary!$H$5:$H$241))*ISNUMBER(Summary!$A$5:$A$241)*(Summary!$A$5:$A$241&gt;=IF(set_from="",0,set_from))*(Summary!$A$5:$A$241&lt;IF(set_to="",2958465,set_to+1))))</f>
        <v>1</v>
      </c>
      <c r="D592" s="87">
        <f>IF(A592="","",SUMPRODUCT((Summary!$E$5:$E$241=A592)*(Summary!$G$5:$G$241="Yes")*ISNUMBER(SEARCH($B$579,Summary!$H$5:$H$241))*ISNUMBER(Summary!$A$5:$A$241)*(Summary!$A$5:$A$241&gt;=IF(set_from="",0,set_from))*(Summary!$A$5:$A$241&lt;IF(set_to="",2958465,set_to+1))))</f>
        <v>1</v>
      </c>
    </row>
    <row r="593" spans="1:4">
      <c r="A593" s="87" t="str">
        <f>Settings!A15</f>
        <v>Enclosure Seal</v>
      </c>
      <c r="B593" s="87" t="str">
        <f>Settings!B15</f>
        <v>Enclosure Seal</v>
      </c>
      <c r="C593" s="87">
        <f>IF(A593="","",SUMPRODUCT((Summary!$E$5:$E$241=A593)*ISNUMBER(SEARCH($B$579,Summary!$H$5:$H$241))*ISNUMBER(Summary!$A$5:$A$241)*(Summary!$A$5:$A$241&gt;=IF(set_from="",0,set_from))*(Summary!$A$5:$A$241&lt;IF(set_to="",2958465,set_to+1))))</f>
        <v>0</v>
      </c>
      <c r="D593" s="87">
        <f>IF(A593="","",SUMPRODUCT((Summary!$E$5:$E$241=A593)*(Summary!$G$5:$G$241="Yes")*ISNUMBER(SEARCH($B$579,Summary!$H$5:$H$241))*ISNUMBER(Summary!$A$5:$A$241)*(Summary!$A$5:$A$241&gt;=IF(set_from="",0,set_from))*(Summary!$A$5:$A$241&lt;IF(set_to="",2958465,set_to+1))))</f>
        <v>0</v>
      </c>
    </row>
    <row r="594" spans="1:4">
      <c r="A594" s="87" t="str">
        <f>Settings!A16</f>
        <v>Component Failure</v>
      </c>
      <c r="B594" s="87" t="str">
        <f>Settings!B16</f>
        <v>Component Failure</v>
      </c>
      <c r="C594" s="87">
        <f>IF(A594="","",SUMPRODUCT((Summary!$E$5:$E$241=A594)*ISNUMBER(SEARCH($B$579,Summary!$H$5:$H$241))*ISNUMBER(Summary!$A$5:$A$241)*(Summary!$A$5:$A$241&gt;=IF(set_from="",0,set_from))*(Summary!$A$5:$A$241&lt;IF(set_to="",2958465,set_to+1))))</f>
        <v>0</v>
      </c>
      <c r="D594" s="87">
        <f>IF(A594="","",SUMPRODUCT((Summary!$E$5:$E$241=A594)*(Summary!$G$5:$G$241="Yes")*ISNUMBER(SEARCH($B$579,Summary!$H$5:$H$241))*ISNUMBER(Summary!$A$5:$A$241)*(Summary!$A$5:$A$241&gt;=IF(set_from="",0,set_from))*(Summary!$A$5:$A$241&lt;IF(set_to="",2958465,set_to+1))))</f>
        <v>0</v>
      </c>
    </row>
    <row r="595" spans="1:4">
      <c r="A595" s="87" t="str">
        <f>Settings!A17</f>
        <v>Defrost Sync</v>
      </c>
      <c r="B595" s="87" t="str">
        <f>Settings!B17</f>
        <v>Defrost Sync</v>
      </c>
      <c r="C595" s="87">
        <f>IF(A595="","",SUMPRODUCT((Summary!$E$5:$E$241=A595)*ISNUMBER(SEARCH($B$579,Summary!$H$5:$H$241))*ISNUMBER(Summary!$A$5:$A$241)*(Summary!$A$5:$A$241&gt;=IF(set_from="",0,set_from))*(Summary!$A$5:$A$241&lt;IF(set_to="",2958465,set_to+1))))</f>
        <v>0</v>
      </c>
      <c r="D595" s="87">
        <f>IF(A595="","",SUMPRODUCT((Summary!$E$5:$E$241=A595)*(Summary!$G$5:$G$241="Yes")*ISNUMBER(SEARCH($B$579,Summary!$H$5:$H$241))*ISNUMBER(Summary!$A$5:$A$241)*(Summary!$A$5:$A$241&gt;=IF(set_from="",0,set_from))*(Summary!$A$5:$A$241&lt;IF(set_to="",2958465,set_to+1))))</f>
        <v>0</v>
      </c>
    </row>
    <row r="596" spans="1:4">
      <c r="A596" s="87" t="str">
        <f>Settings!A18</f>
        <v>False Alarm</v>
      </c>
      <c r="B596" s="87" t="str">
        <f>Settings!B18</f>
        <v>False Alarm</v>
      </c>
      <c r="C596" s="87">
        <f>IF(A596="","",SUMPRODUCT((Summary!$E$5:$E$241=A596)*ISNUMBER(SEARCH($B$579,Summary!$H$5:$H$241))*ISNUMBER(Summary!$A$5:$A$241)*(Summary!$A$5:$A$241&gt;=IF(set_from="",0,set_from))*(Summary!$A$5:$A$241&lt;IF(set_to="",2958465,set_to+1))))</f>
        <v>4</v>
      </c>
      <c r="D596" s="87">
        <f>IF(A596="","",SUMPRODUCT((Summary!$E$5:$E$241=A596)*(Summary!$G$5:$G$241="Yes")*ISNUMBER(SEARCH($B$579,Summary!$H$5:$H$241))*ISNUMBER(Summary!$A$5:$A$241)*(Summary!$A$5:$A$241&gt;=IF(set_from="",0,set_from))*(Summary!$A$5:$A$241&lt;IF(set_to="",2958465,set_to+1))))</f>
        <v>2</v>
      </c>
    </row>
    <row r="597" spans="1:4">
      <c r="A597" s="87" t="str">
        <f>Settings!A19</f>
        <v>Setpoint change</v>
      </c>
      <c r="B597" s="87" t="str">
        <f>Settings!B19</f>
        <v>Setpoint change</v>
      </c>
      <c r="C597" s="87">
        <f>IF(A597="","",SUMPRODUCT((Summary!$E$5:$E$241=A597)*ISNUMBER(SEARCH($B$579,Summary!$H$5:$H$241))*ISNUMBER(Summary!$A$5:$A$241)*(Summary!$A$5:$A$241&gt;=IF(set_from="",0,set_from))*(Summary!$A$5:$A$241&lt;IF(set_to="",2958465,set_to+1))))</f>
        <v>0</v>
      </c>
      <c r="D597" s="87">
        <f>IF(A597="","",SUMPRODUCT((Summary!$E$5:$E$241=A597)*(Summary!$G$5:$G$241="Yes")*ISNUMBER(SEARCH($B$579,Summary!$H$5:$H$241))*ISNUMBER(Summary!$A$5:$A$241)*(Summary!$A$5:$A$241&gt;=IF(set_from="",0,set_from))*(Summary!$A$5:$A$241&lt;IF(set_to="",2958465,set_to+1))))</f>
        <v>0</v>
      </c>
    </row>
    <row r="598" spans="1:4">
      <c r="A598" s="87" t="str">
        <f>Settings!A20</f>
        <v>Overstocking</v>
      </c>
      <c r="B598" s="87" t="str">
        <f>Settings!B20</f>
        <v>Overstocking</v>
      </c>
      <c r="C598" s="87">
        <f>IF(A598="","",SUMPRODUCT((Summary!$E$5:$E$241=A598)*ISNUMBER(SEARCH($B$579,Summary!$H$5:$H$241))*ISNUMBER(Summary!$A$5:$A$241)*(Summary!$A$5:$A$241&gt;=IF(set_from="",0,set_from))*(Summary!$A$5:$A$241&lt;IF(set_to="",2958465,set_to+1))))</f>
        <v>0</v>
      </c>
      <c r="D598" s="87">
        <f>IF(A598="","",SUMPRODUCT((Summary!$E$5:$E$241=A598)*(Summary!$G$5:$G$241="Yes")*ISNUMBER(SEARCH($B$579,Summary!$H$5:$H$241))*ISNUMBER(Summary!$A$5:$A$241)*(Summary!$A$5:$A$241&gt;=IF(set_from="",0,set_from))*(Summary!$A$5:$A$241&lt;IF(set_to="",2958465,set_to+1))))</f>
        <v>0</v>
      </c>
    </row>
    <row r="599" spans="1:4">
      <c r="A599" s="87" t="str">
        <f>Settings!A21</f>
        <v>Case End Seal</v>
      </c>
      <c r="B599" s="87" t="str">
        <f>Settings!B21</f>
        <v>Case End Seal</v>
      </c>
      <c r="C599" s="87">
        <f>IF(A599="","",SUMPRODUCT((Summary!$E$5:$E$241=A599)*ISNUMBER(SEARCH($B$579,Summary!$H$5:$H$241))*ISNUMBER(Summary!$A$5:$A$241)*(Summary!$A$5:$A$241&gt;=IF(set_from="",0,set_from))*(Summary!$A$5:$A$241&lt;IF(set_to="",2958465,set_to+1))))</f>
        <v>0</v>
      </c>
      <c r="D599" s="87">
        <f>IF(A599="","",SUMPRODUCT((Summary!$E$5:$E$241=A599)*(Summary!$G$5:$G$241="Yes")*ISNUMBER(SEARCH($B$579,Summary!$H$5:$H$241))*ISNUMBER(Summary!$A$5:$A$241)*(Summary!$A$5:$A$241&gt;=IF(set_from="",0,set_from))*(Summary!$A$5:$A$241&lt;IF(set_to="",2958465,set_to+1))))</f>
        <v>0</v>
      </c>
    </row>
    <row r="600" spans="1:4">
      <c r="A600" s="87" t="str">
        <f>Settings!A22</f>
        <v>Return Air blocked</v>
      </c>
      <c r="B600" s="87" t="str">
        <f>Settings!B22</f>
        <v>Return Air blocked</v>
      </c>
      <c r="C600" s="87">
        <f>IF(A600="","",SUMPRODUCT((Summary!$E$5:$E$241=A600)*ISNUMBER(SEARCH($B$579,Summary!$H$5:$H$241))*ISNUMBER(Summary!$A$5:$A$241)*(Summary!$A$5:$A$241&gt;=IF(set_from="",0,set_from))*(Summary!$A$5:$A$241&lt;IF(set_to="",2958465,set_to+1))))</f>
        <v>0</v>
      </c>
      <c r="D600" s="87">
        <f>IF(A600="","",SUMPRODUCT((Summary!$E$5:$E$241=A600)*(Summary!$G$5:$G$241="Yes")*ISNUMBER(SEARCH($B$579,Summary!$H$5:$H$241))*ISNUMBER(Summary!$A$5:$A$241)*(Summary!$A$5:$A$241&gt;=IF(set_from="",0,set_from))*(Summary!$A$5:$A$241&lt;IF(set_to="",2958465,set_to+1))))</f>
        <v>0</v>
      </c>
    </row>
    <row r="601" spans="1:4">
      <c r="A601" s="87" t="str">
        <f>Settings!A23</f>
        <v>Unidentified air leak</v>
      </c>
      <c r="B601" s="87" t="str">
        <f>Settings!B23</f>
        <v>Unidentified air leak</v>
      </c>
      <c r="C601" s="87">
        <f>IF(A601="","",SUMPRODUCT((Summary!$E$5:$E$241=A601)*ISNUMBER(SEARCH($B$579,Summary!$H$5:$H$241))*ISNUMBER(Summary!$A$5:$A$241)*(Summary!$A$5:$A$241&gt;=IF(set_from="",0,set_from))*(Summary!$A$5:$A$241&lt;IF(set_to="",2958465,set_to+1))))</f>
        <v>0</v>
      </c>
      <c r="D601" s="87">
        <f>IF(A601="","",SUMPRODUCT((Summary!$E$5:$E$241=A601)*(Summary!$G$5:$G$241="Yes")*ISNUMBER(SEARCH($B$579,Summary!$H$5:$H$241))*ISNUMBER(Summary!$A$5:$A$241)*(Summary!$A$5:$A$241&gt;=IF(set_from="",0,set_from))*(Summary!$A$5:$A$241&lt;IF(set_to="",2958465,set_to+1))))</f>
        <v>0</v>
      </c>
    </row>
    <row r="602" spans="1:4">
      <c r="A602" s="87" t="str">
        <f>Settings!A24</f>
        <v>Freedom</v>
      </c>
      <c r="B602" s="87" t="str">
        <f>Settings!B24</f>
        <v>Freedom</v>
      </c>
      <c r="C602" s="87">
        <f>IF(A602="","",SUMPRODUCT((Summary!$E$5:$E$241=A602)*ISNUMBER(SEARCH($B$579,Summary!$H$5:$H$241))*ISNUMBER(Summary!$A$5:$A$241)*(Summary!$A$5:$A$241&gt;=IF(set_from="",0,set_from))*(Summary!$A$5:$A$241&lt;IF(set_to="",2958465,set_to+1))))</f>
        <v>0</v>
      </c>
      <c r="D602" s="87">
        <f>IF(A602="","",SUMPRODUCT((Summary!$E$5:$E$241=A602)*(Summary!$G$5:$G$241="Yes")*ISNUMBER(SEARCH($B$579,Summary!$H$5:$H$241))*ISNUMBER(Summary!$A$5:$A$241)*(Summary!$A$5:$A$241&gt;=IF(set_from="",0,set_from))*(Summary!$A$5:$A$241&lt;IF(set_to="",2958465,set_to+1))))</f>
        <v>0</v>
      </c>
    </row>
    <row r="603" spans="1:4">
      <c r="A603" s="87" t="str">
        <f>Settings!A25</f>
        <v>Heavy case load</v>
      </c>
      <c r="B603" s="87" t="str">
        <f>Settings!B25</f>
        <v>Heavy case load</v>
      </c>
      <c r="C603" s="87">
        <f>IF(A603="","",SUMPRODUCT((Summary!$E$5:$E$241=A603)*ISNUMBER(SEARCH($B$579,Summary!$H$5:$H$241))*ISNUMBER(Summary!$A$5:$A$241)*(Summary!$A$5:$A$241&gt;=IF(set_from="",0,set_from))*(Summary!$A$5:$A$241&lt;IF(set_to="",2958465,set_to+1))))</f>
        <v>0</v>
      </c>
      <c r="D603" s="87">
        <f>IF(A603="","",SUMPRODUCT((Summary!$E$5:$E$241=A603)*(Summary!$G$5:$G$241="Yes")*ISNUMBER(SEARCH($B$579,Summary!$H$5:$H$241))*ISNUMBER(Summary!$A$5:$A$241)*(Summary!$A$5:$A$241&gt;=IF(set_from="",0,set_from))*(Summary!$A$5:$A$241&lt;IF(set_to="",2958465,set_to+1))))</f>
        <v>0</v>
      </c>
    </row>
    <row r="604" spans="1:4">
      <c r="A604" s="87" t="str">
        <f>Settings!A26</f>
        <v>DG Installation issue</v>
      </c>
      <c r="B604" s="87" t="str">
        <f>Settings!B26</f>
        <v>DG Installation issue</v>
      </c>
      <c r="C604" s="87">
        <f>IF(A604="","",SUMPRODUCT((Summary!$E$5:$E$241=A604)*ISNUMBER(SEARCH($B$579,Summary!$H$5:$H$241))*ISNUMBER(Summary!$A$5:$A$241)*(Summary!$A$5:$A$241&gt;=IF(set_from="",0,set_from))*(Summary!$A$5:$A$241&lt;IF(set_to="",2958465,set_to+1))))</f>
        <v>2</v>
      </c>
      <c r="D604" s="87">
        <f>IF(A604="","",SUMPRODUCT((Summary!$E$5:$E$241=A604)*(Summary!$G$5:$G$241="Yes")*ISNUMBER(SEARCH($B$579,Summary!$H$5:$H$241))*ISNUMBER(Summary!$A$5:$A$241)*(Summary!$A$5:$A$241&gt;=IF(set_from="",0,set_from))*(Summary!$A$5:$A$241&lt;IF(set_to="",2958465,set_to+1))))</f>
        <v>0</v>
      </c>
    </row>
    <row r="605" spans="1:4">
      <c r="A605" s="87" t="str">
        <f>Settings!A27</f>
        <v>Unknown</v>
      </c>
      <c r="B605" s="87" t="str">
        <f>Settings!B27</f>
        <v>Unknown</v>
      </c>
      <c r="C605" s="87">
        <f>IF(A605="","",SUMPRODUCT((Summary!$E$5:$E$241=A605)*ISNUMBER(SEARCH($B$579,Summary!$H$5:$H$241))*ISNUMBER(Summary!$A$5:$A$241)*(Summary!$A$5:$A$241&gt;=IF(set_from="",0,set_from))*(Summary!$A$5:$A$241&lt;IF(set_to="",2958465,set_to+1))))</f>
        <v>0</v>
      </c>
      <c r="D605" s="87">
        <f>IF(A605="","",SUMPRODUCT((Summary!$E$5:$E$241=A605)*(Summary!$G$5:$G$241="Yes")*ISNUMBER(SEARCH($B$579,Summary!$H$5:$H$241))*ISNUMBER(Summary!$A$5:$A$241)*(Summary!$A$5:$A$241&gt;=IF(set_from="",0,set_from))*(Summary!$A$5:$A$241&lt;IF(set_to="",2958465,set_to+1))))</f>
        <v>0</v>
      </c>
    </row>
    <row r="606" spans="1:4">
      <c r="A606" s="87" t="str">
        <f>Settings!A28</f>
        <v>Program change - Hussmann</v>
      </c>
      <c r="B606" s="87" t="str">
        <f>Settings!B28</f>
        <v>Program change - Hussmann</v>
      </c>
      <c r="C606" s="87">
        <f>IF(A606="","",SUMPRODUCT((Summary!$E$5:$E$241=A606)*ISNUMBER(SEARCH($B$579,Summary!$H$5:$H$241))*ISNUMBER(Summary!$A$5:$A$241)*(Summary!$A$5:$A$241&gt;=IF(set_from="",0,set_from))*(Summary!$A$5:$A$241&lt;IF(set_to="",2958465,set_to+1))))</f>
        <v>0</v>
      </c>
      <c r="D606" s="87">
        <f>IF(A606="","",SUMPRODUCT((Summary!$E$5:$E$241=A606)*(Summary!$G$5:$G$241="Yes")*ISNUMBER(SEARCH($B$579,Summary!$H$5:$H$241))*ISNUMBER(Summary!$A$5:$A$241)*(Summary!$A$5:$A$241&gt;=IF(set_from="",0,set_from))*(Summary!$A$5:$A$241&lt;IF(set_to="",2958465,set_to+1))))</f>
        <v>0</v>
      </c>
    </row>
    <row r="607" spans="1:4">
      <c r="A607" s="87" t="str">
        <f>Settings!A29</f>
        <v>Wrong program</v>
      </c>
      <c r="B607" s="87" t="str">
        <f>Settings!B29</f>
        <v>Wrong program</v>
      </c>
      <c r="C607" s="87">
        <f>IF(A607="","",SUMPRODUCT((Summary!$E$5:$E$241=A607)*ISNUMBER(SEARCH($B$579,Summary!$H$5:$H$241))*ISNUMBER(Summary!$A$5:$A$241)*(Summary!$A$5:$A$241&gt;=IF(set_from="",0,set_from))*(Summary!$A$5:$A$241&lt;IF(set_to="",2958465,set_to+1))))</f>
        <v>0</v>
      </c>
      <c r="D607" s="87">
        <f>IF(A607="","",SUMPRODUCT((Summary!$E$5:$E$241=A607)*(Summary!$G$5:$G$241="Yes")*ISNUMBER(SEARCH($B$579,Summary!$H$5:$H$241))*ISNUMBER(Summary!$A$5:$A$241)*(Summary!$A$5:$A$241&gt;=IF(set_from="",0,set_from))*(Summary!$A$5:$A$241&lt;IF(set_to="",2958465,set_to+1))))</f>
        <v>0</v>
      </c>
    </row>
    <row r="608" spans="1:4">
      <c r="A608" s="87">
        <f>Settings!A30</f>
        <v>0</v>
      </c>
      <c r="B608" s="87">
        <f>Settings!B30</f>
        <v>0</v>
      </c>
      <c r="C608" s="87">
        <f>IF(A608="","",SUMPRODUCT((Summary!$E$5:$E$241=A608)*ISNUMBER(SEARCH($B$579,Summary!$H$5:$H$241))*ISNUMBER(Summary!$A$5:$A$241)*(Summary!$A$5:$A$241&gt;=IF(set_from="",0,set_from))*(Summary!$A$5:$A$241&lt;IF(set_to="",2958465,set_to+1))))</f>
        <v>0</v>
      </c>
      <c r="D608" s="87">
        <f>IF(A608="","",SUMPRODUCT((Summary!$E$5:$E$241=A608)*(Summary!$G$5:$G$241="Yes")*ISNUMBER(SEARCH($B$579,Summary!$H$5:$H$241))*ISNUMBER(Summary!$A$5:$A$241)*(Summary!$A$5:$A$241&gt;=IF(set_from="",0,set_from))*(Summary!$A$5:$A$241&lt;IF(set_to="",2958465,set_to+1))))</f>
        <v>0</v>
      </c>
    </row>
    <row r="609" spans="1:4">
      <c r="A609" s="87">
        <f>Settings!A31</f>
        <v>0</v>
      </c>
      <c r="B609" s="87">
        <f>Settings!B31</f>
        <v>0</v>
      </c>
      <c r="C609" s="87">
        <f>IF(A609="","",SUMPRODUCT((Summary!$E$5:$E$241=A609)*ISNUMBER(SEARCH($B$579,Summary!$H$5:$H$241))*ISNUMBER(Summary!$A$5:$A$241)*(Summary!$A$5:$A$241&gt;=IF(set_from="",0,set_from))*(Summary!$A$5:$A$241&lt;IF(set_to="",2958465,set_to+1))))</f>
        <v>0</v>
      </c>
      <c r="D609" s="87">
        <f>IF(A609="","",SUMPRODUCT((Summary!$E$5:$E$241=A609)*(Summary!$G$5:$G$241="Yes")*ISNUMBER(SEARCH($B$579,Summary!$H$5:$H$241))*ISNUMBER(Summary!$A$5:$A$241)*(Summary!$A$5:$A$241&gt;=IF(set_from="",0,set_from))*(Summary!$A$5:$A$241&lt;IF(set_to="",2958465,set_to+1))))</f>
        <v>0</v>
      </c>
    </row>
    <row r="610" spans="1:4">
      <c r="A610" s="87">
        <f>Settings!A32</f>
        <v>0</v>
      </c>
      <c r="B610" s="87">
        <f>Settings!B32</f>
        <v>0</v>
      </c>
      <c r="C610" s="87">
        <f>IF(A610="","",SUMPRODUCT((Summary!$E$5:$E$241=A610)*ISNUMBER(SEARCH($B$579,Summary!$H$5:$H$241))*ISNUMBER(Summary!$A$5:$A$241)*(Summary!$A$5:$A$241&gt;=IF(set_from="",0,set_from))*(Summary!$A$5:$A$241&lt;IF(set_to="",2958465,set_to+1))))</f>
        <v>0</v>
      </c>
      <c r="D610" s="87">
        <f>IF(A610="","",SUMPRODUCT((Summary!$E$5:$E$241=A610)*(Summary!$G$5:$G$241="Yes")*ISNUMBER(SEARCH($B$579,Summary!$H$5:$H$241))*ISNUMBER(Summary!$A$5:$A$241)*(Summary!$A$5:$A$241&gt;=IF(set_from="",0,set_from))*(Summary!$A$5:$A$241&lt;IF(set_to="",2958465,set_to+1))))</f>
        <v>0</v>
      </c>
    </row>
    <row r="611" spans="1:4">
      <c r="A611" s="87">
        <f>Settings!A33</f>
        <v>0</v>
      </c>
      <c r="B611" s="87">
        <f>Settings!B33</f>
        <v>0</v>
      </c>
      <c r="C611" s="87">
        <f>IF(A611="","",SUMPRODUCT((Summary!$E$5:$E$241=A611)*ISNUMBER(SEARCH($B$579,Summary!$H$5:$H$241))*ISNUMBER(Summary!$A$5:$A$241)*(Summary!$A$5:$A$241&gt;=IF(set_from="",0,set_from))*(Summary!$A$5:$A$241&lt;IF(set_to="",2958465,set_to+1))))</f>
        <v>0</v>
      </c>
      <c r="D611" s="87">
        <f>IF(A611="","",SUMPRODUCT((Summary!$E$5:$E$241=A611)*(Summary!$G$5:$G$241="Yes")*ISNUMBER(SEARCH($B$579,Summary!$H$5:$H$241))*ISNUMBER(Summary!$A$5:$A$241)*(Summary!$A$5:$A$241&gt;=IF(set_from="",0,set_from))*(Summary!$A$5:$A$241&lt;IF(set_to="",2958465,set_to+1))))</f>
        <v>0</v>
      </c>
    </row>
    <row r="612" spans="1:4">
      <c r="A612" s="87">
        <f>Settings!A34</f>
        <v>0</v>
      </c>
      <c r="B612" s="87">
        <f>Settings!B34</f>
        <v>0</v>
      </c>
      <c r="C612" s="87">
        <f>IF(A612="","",SUMPRODUCT((Summary!$E$5:$E$241=A612)*ISNUMBER(SEARCH($B$579,Summary!$H$5:$H$241))*ISNUMBER(Summary!$A$5:$A$241)*(Summary!$A$5:$A$241&gt;=IF(set_from="",0,set_from))*(Summary!$A$5:$A$241&lt;IF(set_to="",2958465,set_to+1))))</f>
        <v>0</v>
      </c>
      <c r="D612" s="87">
        <f>IF(A612="","",SUMPRODUCT((Summary!$E$5:$E$241=A612)*(Summary!$G$5:$G$241="Yes")*ISNUMBER(SEARCH($B$579,Summary!$H$5:$H$241))*ISNUMBER(Summary!$A$5:$A$241)*(Summary!$A$5:$A$241&gt;=IF(set_from="",0,set_from))*(Summary!$A$5:$A$241&lt;IF(set_to="",2958465,set_to+1))))</f>
        <v>0</v>
      </c>
    </row>
    <row r="613" spans="1:4">
      <c r="A613" s="87">
        <f>Settings!A35</f>
        <v>0</v>
      </c>
      <c r="B613" s="87">
        <f>Settings!B35</f>
        <v>0</v>
      </c>
      <c r="C613" s="87">
        <f>IF(A613="","",SUMPRODUCT((Summary!$E$5:$E$241=A613)*ISNUMBER(SEARCH($B$579,Summary!$H$5:$H$241))*ISNUMBER(Summary!$A$5:$A$241)*(Summary!$A$5:$A$241&gt;=IF(set_from="",0,set_from))*(Summary!$A$5:$A$241&lt;IF(set_to="",2958465,set_to+1))))</f>
        <v>0</v>
      </c>
      <c r="D613" s="87">
        <f>IF(A613="","",SUMPRODUCT((Summary!$E$5:$E$241=A613)*(Summary!$G$5:$G$241="Yes")*ISNUMBER(SEARCH($B$579,Summary!$H$5:$H$241))*ISNUMBER(Summary!$A$5:$A$241)*(Summary!$A$5:$A$241&gt;=IF(set_from="",0,set_from))*(Summary!$A$5:$A$241&lt;IF(set_to="",2958465,set_to+1))))</f>
        <v>0</v>
      </c>
    </row>
    <row r="614" spans="1:4">
      <c r="A614" s="87">
        <f>Settings!A36</f>
        <v>0</v>
      </c>
      <c r="B614" s="87">
        <f>Settings!B36</f>
        <v>0</v>
      </c>
      <c r="C614" s="87">
        <f>IF(A614="","",SUMPRODUCT((Summary!$E$5:$E$241=A614)*ISNUMBER(SEARCH($B$579,Summary!$H$5:$H$241))*ISNUMBER(Summary!$A$5:$A$241)*(Summary!$A$5:$A$241&gt;=IF(set_from="",0,set_from))*(Summary!$A$5:$A$241&lt;IF(set_to="",2958465,set_to+1))))</f>
        <v>0</v>
      </c>
      <c r="D614" s="87">
        <f>IF(A614="","",SUMPRODUCT((Summary!$E$5:$E$241=A614)*(Summary!$G$5:$G$241="Yes")*ISNUMBER(SEARCH($B$579,Summary!$H$5:$H$241))*ISNUMBER(Summary!$A$5:$A$241)*(Summary!$A$5:$A$241&gt;=IF(set_from="",0,set_from))*(Summary!$A$5:$A$241&lt;IF(set_to="",2958465,set_to+1))))</f>
        <v>0</v>
      </c>
    </row>
    <row r="615" spans="1:4">
      <c r="A615" s="87">
        <f>Settings!A37</f>
        <v>0</v>
      </c>
      <c r="B615" s="87">
        <f>Settings!B37</f>
        <v>0</v>
      </c>
      <c r="C615" s="87">
        <f>IF(A615="","",SUMPRODUCT((Summary!$E$5:$E$241=A615)*ISNUMBER(SEARCH($B$579,Summary!$H$5:$H$241))*ISNUMBER(Summary!$A$5:$A$241)*(Summary!$A$5:$A$241&gt;=IF(set_from="",0,set_from))*(Summary!$A$5:$A$241&lt;IF(set_to="",2958465,set_to+1))))</f>
        <v>0</v>
      </c>
      <c r="D615" s="87">
        <f>IF(A615="","",SUMPRODUCT((Summary!$E$5:$E$241=A615)*(Summary!$G$5:$G$241="Yes")*ISNUMBER(SEARCH($B$579,Summary!$H$5:$H$241))*ISNUMBER(Summary!$A$5:$A$241)*(Summary!$A$5:$A$241&gt;=IF(set_from="",0,set_from))*(Summary!$A$5:$A$241&lt;IF(set_to="",2958465,set_to+1))))</f>
        <v>0</v>
      </c>
    </row>
    <row r="616" spans="1:4">
      <c r="A616" s="87">
        <f>Settings!A38</f>
        <v>0</v>
      </c>
      <c r="B616" s="87">
        <f>Settings!B38</f>
        <v>0</v>
      </c>
      <c r="C616" s="87">
        <f>IF(A616="","",SUMPRODUCT((Summary!$E$5:$E$241=A616)*ISNUMBER(SEARCH($B$579,Summary!$H$5:$H$241))*ISNUMBER(Summary!$A$5:$A$241)*(Summary!$A$5:$A$241&gt;=IF(set_from="",0,set_from))*(Summary!$A$5:$A$241&lt;IF(set_to="",2958465,set_to+1))))</f>
        <v>0</v>
      </c>
      <c r="D616" s="87">
        <f>IF(A616="","",SUMPRODUCT((Summary!$E$5:$E$241=A616)*(Summary!$G$5:$G$241="Yes")*ISNUMBER(SEARCH($B$579,Summary!$H$5:$H$241))*ISNUMBER(Summary!$A$5:$A$241)*(Summary!$A$5:$A$241&gt;=IF(set_from="",0,set_from))*(Summary!$A$5:$A$241&lt;IF(set_to="",2958465,set_to+1))))</f>
        <v>0</v>
      </c>
    </row>
    <row r="617" spans="1:4">
      <c r="A617" s="87">
        <f>Settings!A39</f>
        <v>0</v>
      </c>
      <c r="B617" s="87">
        <f>Settings!B39</f>
        <v>0</v>
      </c>
      <c r="C617" s="87">
        <f>IF(A617="","",SUMPRODUCT((Summary!$E$5:$E$241=A617)*ISNUMBER(SEARCH($B$579,Summary!$H$5:$H$241))*ISNUMBER(Summary!$A$5:$A$241)*(Summary!$A$5:$A$241&gt;=IF(set_from="",0,set_from))*(Summary!$A$5:$A$241&lt;IF(set_to="",2958465,set_to+1))))</f>
        <v>0</v>
      </c>
      <c r="D617" s="87">
        <f>IF(A617="","",SUMPRODUCT((Summary!$E$5:$E$241=A617)*(Summary!$G$5:$G$241="Yes")*ISNUMBER(SEARCH($B$579,Summary!$H$5:$H$241))*ISNUMBER(Summary!$A$5:$A$241)*(Summary!$A$5:$A$241&gt;=IF(set_from="",0,set_from))*(Summary!$A$5:$A$241&lt;IF(set_to="",2958465,set_to+1))))</f>
        <v>0</v>
      </c>
    </row>
    <row r="618" spans="1:4">
      <c r="A618" s="87">
        <f>Settings!A40</f>
        <v>0</v>
      </c>
      <c r="B618" s="87">
        <f>Settings!B40</f>
        <v>0</v>
      </c>
      <c r="C618" s="87">
        <f>IF(A618="","",SUMPRODUCT((Summary!$E$5:$E$241=A618)*ISNUMBER(SEARCH($B$579,Summary!$H$5:$H$241))*ISNUMBER(Summary!$A$5:$A$241)*(Summary!$A$5:$A$241&gt;=IF(set_from="",0,set_from))*(Summary!$A$5:$A$241&lt;IF(set_to="",2958465,set_to+1))))</f>
        <v>0</v>
      </c>
      <c r="D618" s="87">
        <f>IF(A618="","",SUMPRODUCT((Summary!$E$5:$E$241=A618)*(Summary!$G$5:$G$241="Yes")*ISNUMBER(SEARCH($B$579,Summary!$H$5:$H$241))*ISNUMBER(Summary!$A$5:$A$241)*(Summary!$A$5:$A$241&gt;=IF(set_from="",0,set_from))*(Summary!$A$5:$A$241&lt;IF(set_to="",2958465,set_to+1))))</f>
        <v>0</v>
      </c>
    </row>
    <row r="619" spans="1:4">
      <c r="A619" s="87">
        <f>Settings!A41</f>
        <v>0</v>
      </c>
      <c r="B619" s="87">
        <f>Settings!B41</f>
        <v>0</v>
      </c>
      <c r="C619" s="87">
        <f>IF(A619="","",SUMPRODUCT((Summary!$E$5:$E$241=A619)*ISNUMBER(SEARCH($B$579,Summary!$H$5:$H$241))*ISNUMBER(Summary!$A$5:$A$241)*(Summary!$A$5:$A$241&gt;=IF(set_from="",0,set_from))*(Summary!$A$5:$A$241&lt;IF(set_to="",2958465,set_to+1))))</f>
        <v>0</v>
      </c>
      <c r="D619" s="87">
        <f>IF(A619="","",SUMPRODUCT((Summary!$E$5:$E$241=A619)*(Summary!$G$5:$G$241="Yes")*ISNUMBER(SEARCH($B$579,Summary!$H$5:$H$241))*ISNUMBER(Summary!$A$5:$A$241)*(Summary!$A$5:$A$241&gt;=IF(set_from="",0,set_from))*(Summary!$A$5:$A$241&lt;IF(set_to="",2958465,set_to+1))))</f>
        <v>0</v>
      </c>
    </row>
    <row r="620" spans="1:4">
      <c r="A620" s="87">
        <f>Settings!A42</f>
        <v>0</v>
      </c>
      <c r="B620" s="87">
        <f>Settings!B42</f>
        <v>0</v>
      </c>
      <c r="C620" s="87">
        <f>IF(A620="","",SUMPRODUCT((Summary!$E$5:$E$241=A620)*ISNUMBER(SEARCH($B$579,Summary!$H$5:$H$241))*ISNUMBER(Summary!$A$5:$A$241)*(Summary!$A$5:$A$241&gt;=IF(set_from="",0,set_from))*(Summary!$A$5:$A$241&lt;IF(set_to="",2958465,set_to+1))))</f>
        <v>0</v>
      </c>
      <c r="D620" s="87">
        <f>IF(A620="","",SUMPRODUCT((Summary!$E$5:$E$241=A620)*(Summary!$G$5:$G$241="Yes")*ISNUMBER(SEARCH($B$579,Summary!$H$5:$H$241))*ISNUMBER(Summary!$A$5:$A$241)*(Summary!$A$5:$A$241&gt;=IF(set_from="",0,set_from))*(Summary!$A$5:$A$241&lt;IF(set_to="",2958465,set_to+1))))</f>
        <v>0</v>
      </c>
    </row>
    <row r="621" spans="1:4">
      <c r="A621" s="87">
        <f>Settings!A43</f>
        <v>0</v>
      </c>
      <c r="B621" s="87">
        <f>Settings!B43</f>
        <v>0</v>
      </c>
      <c r="C621" s="87">
        <f>IF(A621="","",SUMPRODUCT((Summary!$E$5:$E$241=A621)*ISNUMBER(SEARCH($B$579,Summary!$H$5:$H$241))*ISNUMBER(Summary!$A$5:$A$241)*(Summary!$A$5:$A$241&gt;=IF(set_from="",0,set_from))*(Summary!$A$5:$A$241&lt;IF(set_to="",2958465,set_to+1))))</f>
        <v>0</v>
      </c>
      <c r="D621" s="87">
        <f>IF(A621="","",SUMPRODUCT((Summary!$E$5:$E$241=A621)*(Summary!$G$5:$G$241="Yes")*ISNUMBER(SEARCH($B$579,Summary!$H$5:$H$241))*ISNUMBER(Summary!$A$5:$A$241)*(Summary!$A$5:$A$241&gt;=IF(set_from="",0,set_from))*(Summary!$A$5:$A$241&lt;IF(set_to="",2958465,set_to+1))))</f>
        <v>0</v>
      </c>
    </row>
    <row r="622" spans="1:4">
      <c r="A622" s="87">
        <f>Settings!A44</f>
        <v>0</v>
      </c>
      <c r="B622" s="87">
        <f>Settings!B44</f>
        <v>0</v>
      </c>
      <c r="C622" s="87">
        <f>IF(A622="","",SUMPRODUCT((Summary!$E$5:$E$241=A622)*ISNUMBER(SEARCH($B$579,Summary!$H$5:$H$241))*ISNUMBER(Summary!$A$5:$A$241)*(Summary!$A$5:$A$241&gt;=IF(set_from="",0,set_from))*(Summary!$A$5:$A$241&lt;IF(set_to="",2958465,set_to+1))))</f>
        <v>0</v>
      </c>
      <c r="D622" s="87">
        <f>IF(A622="","",SUMPRODUCT((Summary!$E$5:$E$241=A622)*(Summary!$G$5:$G$241="Yes")*ISNUMBER(SEARCH($B$579,Summary!$H$5:$H$241))*ISNUMBER(Summary!$A$5:$A$241)*(Summary!$A$5:$A$241&gt;=IF(set_from="",0,set_from))*(Summary!$A$5:$A$241&lt;IF(set_to="",2958465,set_to+1))))</f>
        <v>0</v>
      </c>
    </row>
    <row r="623" spans="1:4">
      <c r="A623" s="87">
        <f>Settings!A45</f>
        <v>0</v>
      </c>
      <c r="B623" s="87">
        <f>Settings!B45</f>
        <v>0</v>
      </c>
      <c r="C623" s="87">
        <f>IF(A623="","",SUMPRODUCT((Summary!$E$5:$E$241=A623)*ISNUMBER(SEARCH($B$579,Summary!$H$5:$H$241))*ISNUMBER(Summary!$A$5:$A$241)*(Summary!$A$5:$A$241&gt;=IF(set_from="",0,set_from))*(Summary!$A$5:$A$241&lt;IF(set_to="",2958465,set_to+1))))</f>
        <v>0</v>
      </c>
      <c r="D623" s="87">
        <f>IF(A623="","",SUMPRODUCT((Summary!$E$5:$E$241=A623)*(Summary!$G$5:$G$241="Yes")*ISNUMBER(SEARCH($B$579,Summary!$H$5:$H$241))*ISNUMBER(Summary!$A$5:$A$241)*(Summary!$A$5:$A$241&gt;=IF(set_from="",0,set_from))*(Summary!$A$5:$A$241&lt;IF(set_to="",2958465,set_to+1))))</f>
        <v>0</v>
      </c>
    </row>
    <row r="624" spans="1:4">
      <c r="A624" s="87">
        <f>Settings!A46</f>
        <v>0</v>
      </c>
      <c r="B624" s="87">
        <f>Settings!B46</f>
        <v>0</v>
      </c>
      <c r="C624" s="87">
        <f>IF(A624="","",SUMPRODUCT((Summary!$E$5:$E$241=A624)*ISNUMBER(SEARCH($B$579,Summary!$H$5:$H$241))*ISNUMBER(Summary!$A$5:$A$241)*(Summary!$A$5:$A$241&gt;=IF(set_from="",0,set_from))*(Summary!$A$5:$A$241&lt;IF(set_to="",2958465,set_to+1))))</f>
        <v>0</v>
      </c>
      <c r="D624" s="87">
        <f>IF(A624="","",SUMPRODUCT((Summary!$E$5:$E$241=A624)*(Summary!$G$5:$G$241="Yes")*ISNUMBER(SEARCH($B$579,Summary!$H$5:$H$241))*ISNUMBER(Summary!$A$5:$A$241)*(Summary!$A$5:$A$241&gt;=IF(set_from="",0,set_from))*(Summary!$A$5:$A$241&lt;IF(set_to="",2958465,set_to+1))))</f>
        <v>0</v>
      </c>
    </row>
    <row r="625" spans="1:5">
      <c r="A625" s="87">
        <f>Settings!A47</f>
        <v>0</v>
      </c>
      <c r="B625" s="87">
        <f>Settings!B47</f>
        <v>0</v>
      </c>
      <c r="C625" s="87">
        <f>IF(A625="","",SUMPRODUCT((Summary!$E$5:$E$241=A625)*ISNUMBER(SEARCH($B$579,Summary!$H$5:$H$241))*ISNUMBER(Summary!$A$5:$A$241)*(Summary!$A$5:$A$241&gt;=IF(set_from="",0,set_from))*(Summary!$A$5:$A$241&lt;IF(set_to="",2958465,set_to+1))))</f>
        <v>0</v>
      </c>
      <c r="D625" s="87">
        <f>IF(A625="","",SUMPRODUCT((Summary!$E$5:$E$241=A625)*(Summary!$G$5:$G$241="Yes")*ISNUMBER(SEARCH($B$579,Summary!$H$5:$H$241))*ISNUMBER(Summary!$A$5:$A$241)*(Summary!$A$5:$A$241&gt;=IF(set_from="",0,set_from))*(Summary!$A$5:$A$241&lt;IF(set_to="",2958465,set_to+1))))</f>
        <v>0</v>
      </c>
    </row>
    <row r="626" spans="1:5">
      <c r="A626" s="87">
        <f>Settings!A48</f>
        <v>0</v>
      </c>
      <c r="B626" s="87">
        <f>Settings!B48</f>
        <v>0</v>
      </c>
      <c r="C626" s="87">
        <f>IF(A626="","",SUMPRODUCT((Summary!$E$5:$E$241=A626)*ISNUMBER(SEARCH($B$579,Summary!$H$5:$H$241))*ISNUMBER(Summary!$A$5:$A$241)*(Summary!$A$5:$A$241&gt;=IF(set_from="",0,set_from))*(Summary!$A$5:$A$241&lt;IF(set_to="",2958465,set_to+1))))</f>
        <v>0</v>
      </c>
      <c r="D626" s="87">
        <f>IF(A626="","",SUMPRODUCT((Summary!$E$5:$E$241=A626)*(Summary!$G$5:$G$241="Yes")*ISNUMBER(SEARCH($B$579,Summary!$H$5:$H$241))*ISNUMBER(Summary!$A$5:$A$241)*(Summary!$A$5:$A$241&gt;=IF(set_from="",0,set_from))*(Summary!$A$5:$A$241&lt;IF(set_to="",2958465,set_to+1))))</f>
        <v>0</v>
      </c>
    </row>
    <row r="627" spans="1:5">
      <c r="A627" s="87">
        <f>Settings!A49</f>
        <v>0</v>
      </c>
      <c r="B627" s="87">
        <f>Settings!B49</f>
        <v>0</v>
      </c>
      <c r="C627" s="87">
        <f>IF(A627="","",SUMPRODUCT((Summary!$E$5:$E$241=A627)*ISNUMBER(SEARCH($B$579,Summary!$H$5:$H$241))*ISNUMBER(Summary!$A$5:$A$241)*(Summary!$A$5:$A$241&gt;=IF(set_from="",0,set_from))*(Summary!$A$5:$A$241&lt;IF(set_to="",2958465,set_to+1))))</f>
        <v>0</v>
      </c>
      <c r="D627" s="87">
        <f>IF(A627="","",SUMPRODUCT((Summary!$E$5:$E$241=A627)*(Summary!$G$5:$G$241="Yes")*ISNUMBER(SEARCH($B$579,Summary!$H$5:$H$241))*ISNUMBER(Summary!$A$5:$A$241)*(Summary!$A$5:$A$241&gt;=IF(set_from="",0,set_from))*(Summary!$A$5:$A$241&lt;IF(set_to="",2958465,set_to+1))))</f>
        <v>0</v>
      </c>
    </row>
    <row r="628" spans="1:5">
      <c r="A628" s="87">
        <f>Settings!A50</f>
        <v>0</v>
      </c>
      <c r="B628" s="87">
        <f>Settings!B50</f>
        <v>0</v>
      </c>
      <c r="C628" s="87">
        <f>IF(A628="","",SUMPRODUCT((Summary!$E$5:$E$241=A628)*ISNUMBER(SEARCH($B$579,Summary!$H$5:$H$241))*ISNUMBER(Summary!$A$5:$A$241)*(Summary!$A$5:$A$241&gt;=IF(set_from="",0,set_from))*(Summary!$A$5:$A$241&lt;IF(set_to="",2958465,set_to+1))))</f>
        <v>0</v>
      </c>
      <c r="D628" s="87">
        <f>IF(A628="","",SUMPRODUCT((Summary!$E$5:$E$241=A628)*(Summary!$G$5:$G$241="Yes")*ISNUMBER(SEARCH($B$579,Summary!$H$5:$H$241))*ISNUMBER(Summary!$A$5:$A$241)*(Summary!$A$5:$A$241&gt;=IF(set_from="",0,set_from))*(Summary!$A$5:$A$241&lt;IF(set_to="",2958465,set_to+1))))</f>
        <v>0</v>
      </c>
    </row>
    <row r="629" spans="1:5">
      <c r="A629" s="87">
        <f>Settings!A51</f>
        <v>0</v>
      </c>
      <c r="B629" s="87">
        <f>Settings!B51</f>
        <v>0</v>
      </c>
      <c r="C629" s="87">
        <f>IF(A629="","",SUMPRODUCT((Summary!$E$5:$E$241=A629)*ISNUMBER(SEARCH($B$579,Summary!$H$5:$H$241))*ISNUMBER(Summary!$A$5:$A$241)*(Summary!$A$5:$A$241&gt;=IF(set_from="",0,set_from))*(Summary!$A$5:$A$241&lt;IF(set_to="",2958465,set_to+1))))</f>
        <v>0</v>
      </c>
      <c r="D629" s="87">
        <f>IF(A629="","",SUMPRODUCT((Summary!$E$5:$E$241=A629)*(Summary!$G$5:$G$241="Yes")*ISNUMBER(SEARCH($B$579,Summary!$H$5:$H$241))*ISNUMBER(Summary!$A$5:$A$241)*(Summary!$A$5:$A$241&gt;=IF(set_from="",0,set_from))*(Summary!$A$5:$A$241&lt;IF(set_to="",2958465,set_to+1))))</f>
        <v>0</v>
      </c>
    </row>
    <row r="630" spans="1:5">
      <c r="A630" s="87">
        <f>Settings!A52</f>
        <v>0</v>
      </c>
      <c r="B630" s="87">
        <f>Settings!B52</f>
        <v>0</v>
      </c>
      <c r="C630" s="87">
        <f>IF(A630="","",SUMPRODUCT((Summary!$E$5:$E$241=A630)*ISNUMBER(SEARCH($B$579,Summary!$H$5:$H$241))*ISNUMBER(Summary!$A$5:$A$241)*(Summary!$A$5:$A$241&gt;=IF(set_from="",0,set_from))*(Summary!$A$5:$A$241&lt;IF(set_to="",2958465,set_to+1))))</f>
        <v>0</v>
      </c>
      <c r="D630" s="87">
        <f>IF(A630="","",SUMPRODUCT((Summary!$E$5:$E$241=A630)*(Summary!$G$5:$G$241="Yes")*ISNUMBER(SEARCH($B$579,Summary!$H$5:$H$241))*ISNUMBER(Summary!$A$5:$A$241)*(Summary!$A$5:$A$241&gt;=IF(set_from="",0,set_from))*(Summary!$A$5:$A$241&lt;IF(set_to="",2958465,set_to+1))))</f>
        <v>0</v>
      </c>
    </row>
    <row r="631" spans="1:5">
      <c r="A631" s="87">
        <f>Settings!A53</f>
        <v>0</v>
      </c>
      <c r="B631" s="87">
        <f>Settings!B53</f>
        <v>0</v>
      </c>
      <c r="C631" s="87">
        <f>IF(A631="","",SUMPRODUCT((Summary!$E$5:$E$241=A631)*ISNUMBER(SEARCH($B$579,Summary!$H$5:$H$241))*ISNUMBER(Summary!$A$5:$A$241)*(Summary!$A$5:$A$241&gt;=IF(set_from="",0,set_from))*(Summary!$A$5:$A$241&lt;IF(set_to="",2958465,set_to+1))))</f>
        <v>0</v>
      </c>
      <c r="D631" s="87">
        <f>IF(A631="","",SUMPRODUCT((Summary!$E$5:$E$241=A631)*(Summary!$G$5:$G$241="Yes")*ISNUMBER(SEARCH($B$579,Summary!$H$5:$H$241))*ISNUMBER(Summary!$A$5:$A$241)*(Summary!$A$5:$A$241&gt;=IF(set_from="",0,set_from))*(Summary!$A$5:$A$241&lt;IF(set_to="",2958465,set_to+1))))</f>
        <v>0</v>
      </c>
    </row>
    <row r="632" spans="1:5">
      <c r="A632" s="87">
        <f>Settings!A54</f>
        <v>0</v>
      </c>
      <c r="B632" s="87">
        <f>Settings!B54</f>
        <v>0</v>
      </c>
      <c r="C632" s="87">
        <f>IF(A632="","",SUMPRODUCT((Summary!$E$5:$E$241=A632)*ISNUMBER(SEARCH($B$579,Summary!$H$5:$H$241))*ISNUMBER(Summary!$A$5:$A$241)*(Summary!$A$5:$A$241&gt;=IF(set_from="",0,set_from))*(Summary!$A$5:$A$241&lt;IF(set_to="",2958465,set_to+1))))</f>
        <v>0</v>
      </c>
      <c r="D632" s="87">
        <f>IF(A632="","",SUMPRODUCT((Summary!$E$5:$E$241=A632)*(Summary!$G$5:$G$241="Yes")*ISNUMBER(SEARCH($B$579,Summary!$H$5:$H$241))*ISNUMBER(Summary!$A$5:$A$241)*(Summary!$A$5:$A$241&gt;=IF(set_from="",0,set_from))*(Summary!$A$5:$A$241&lt;IF(set_to="",2958465,set_to+1))))</f>
        <v>0</v>
      </c>
    </row>
    <row r="633" spans="1:5">
      <c r="A633" s="87">
        <f>Settings!A55</f>
        <v>0</v>
      </c>
      <c r="B633" s="87">
        <f>Settings!B55</f>
        <v>0</v>
      </c>
      <c r="C633" s="87">
        <f>IF(A633="","",SUMPRODUCT((Summary!$E$5:$E$241=A633)*ISNUMBER(SEARCH($B$579,Summary!$H$5:$H$241))*ISNUMBER(Summary!$A$5:$A$241)*(Summary!$A$5:$A$241&gt;=IF(set_from="",0,set_from))*(Summary!$A$5:$A$241&lt;IF(set_to="",2958465,set_to+1))))</f>
        <v>0</v>
      </c>
      <c r="D633" s="87">
        <f>IF(A633="","",SUMPRODUCT((Summary!$E$5:$E$241=A633)*(Summary!$G$5:$G$241="Yes")*ISNUMBER(SEARCH($B$579,Summary!$H$5:$H$241))*ISNUMBER(Summary!$A$5:$A$241)*(Summary!$A$5:$A$241&gt;=IF(set_from="",0,set_from))*(Summary!$A$5:$A$241&lt;IF(set_to="",2958465,set_to+1))))</f>
        <v>0</v>
      </c>
    </row>
    <row r="634" spans="1:5">
      <c r="A634" s="87">
        <f>Settings!A56</f>
        <v>0</v>
      </c>
      <c r="B634" s="87">
        <f>Settings!B56</f>
        <v>0</v>
      </c>
      <c r="C634" s="87">
        <f>IF(A634="","",SUMPRODUCT((Summary!$E$5:$E$241=A634)*ISNUMBER(SEARCH($B$579,Summary!$H$5:$H$241))*ISNUMBER(Summary!$A$5:$A$241)*(Summary!$A$5:$A$241&gt;=IF(set_from="",0,set_from))*(Summary!$A$5:$A$241&lt;IF(set_to="",2958465,set_to+1))))</f>
        <v>0</v>
      </c>
      <c r="D634" s="87">
        <f>IF(A634="","",SUMPRODUCT((Summary!$E$5:$E$241=A634)*(Summary!$G$5:$G$241="Yes")*ISNUMBER(SEARCH($B$579,Summary!$H$5:$H$241))*ISNUMBER(Summary!$A$5:$A$241)*(Summary!$A$5:$A$241&gt;=IF(set_from="",0,set_from))*(Summary!$A$5:$A$241&lt;IF(set_to="",2958465,set_to+1))))</f>
        <v>0</v>
      </c>
    </row>
    <row r="635" spans="1:5">
      <c r="A635" s="87">
        <f>Settings!A57</f>
        <v>0</v>
      </c>
      <c r="B635" s="87">
        <f>Settings!B57</f>
        <v>0</v>
      </c>
      <c r="C635" s="87">
        <f>IF(A635="","",SUMPRODUCT((Summary!$E$5:$E$241=A635)*ISNUMBER(SEARCH($B$579,Summary!$H$5:$H$241))*ISNUMBER(Summary!$A$5:$A$241)*(Summary!$A$5:$A$241&gt;=IF(set_from="",0,set_from))*(Summary!$A$5:$A$241&lt;IF(set_to="",2958465,set_to+1))))</f>
        <v>0</v>
      </c>
      <c r="D635" s="87">
        <f>IF(A635="","",SUMPRODUCT((Summary!$E$5:$E$241=A635)*(Summary!$G$5:$G$241="Yes")*ISNUMBER(SEARCH($B$579,Summary!$H$5:$H$241))*ISNUMBER(Summary!$A$5:$A$241)*(Summary!$A$5:$A$241&gt;=IF(set_from="",0,set_from))*(Summary!$A$5:$A$241&lt;IF(set_to="",2958465,set_to+1))))</f>
        <v>0</v>
      </c>
    </row>
    <row r="636" spans="1:5">
      <c r="A636" s="87">
        <f>Settings!A58</f>
        <v>0</v>
      </c>
      <c r="B636" s="87">
        <f>Settings!B58</f>
        <v>0</v>
      </c>
      <c r="C636" s="87">
        <f>IF(A636="","",SUMPRODUCT((Summary!$E$5:$E$241=A636)*ISNUMBER(SEARCH($B$579,Summary!$H$5:$H$241))*ISNUMBER(Summary!$A$5:$A$241)*(Summary!$A$5:$A$241&gt;=IF(set_from="",0,set_from))*(Summary!$A$5:$A$241&lt;IF(set_to="",2958465,set_to+1))))</f>
        <v>0</v>
      </c>
      <c r="D636" s="87">
        <f>IF(A636="","",SUMPRODUCT((Summary!$E$5:$E$241=A636)*(Summary!$G$5:$G$241="Yes")*ISNUMBER(SEARCH($B$579,Summary!$H$5:$H$241))*ISNUMBER(Summary!$A$5:$A$241)*(Summary!$A$5:$A$241&gt;=IF(set_from="",0,set_from))*(Summary!$A$5:$A$241&lt;IF(set_to="",2958465,set_to+1))))</f>
        <v>0</v>
      </c>
    </row>
    <row r="637" spans="1:5">
      <c r="A637" s="87">
        <f>Settings!A59</f>
        <v>0</v>
      </c>
      <c r="B637" s="87">
        <f>Settings!B59</f>
        <v>0</v>
      </c>
      <c r="C637" s="87">
        <f>IF(A637="","",SUMPRODUCT((Summary!$E$5:$E$241=A637)*ISNUMBER(SEARCH($B$579,Summary!$H$5:$H$241))*ISNUMBER(Summary!$A$5:$A$241)*(Summary!$A$5:$A$241&gt;=IF(set_from="",0,set_from))*(Summary!$A$5:$A$241&lt;IF(set_to="",2958465,set_to+1))))</f>
        <v>0</v>
      </c>
      <c r="D637" s="87">
        <f>IF(A637="","",SUMPRODUCT((Summary!$E$5:$E$241=A637)*(Summary!$G$5:$G$241="Yes")*ISNUMBER(SEARCH($B$579,Summary!$H$5:$H$241))*ISNUMBER(Summary!$A$5:$A$241)*(Summary!$A$5:$A$241&gt;=IF(set_from="",0,set_from))*(Summary!$A$5:$A$241&lt;IF(set_to="",2958465,set_to+1))))</f>
        <v>0</v>
      </c>
    </row>
    <row r="640" spans="1:5">
      <c r="A640" s="119" t="s">
        <v>1257</v>
      </c>
      <c r="B640" s="119" t="s">
        <v>1281</v>
      </c>
      <c r="C640" s="119" t="s">
        <v>1574</v>
      </c>
      <c r="D640" s="119" t="s">
        <v>1561</v>
      </c>
      <c r="E640" s="119" t="s">
        <v>1644</v>
      </c>
    </row>
    <row r="641" spans="1:4">
      <c r="A641" s="87" t="str">
        <f t="shared" ref="A641:A665" si="16">A36</f>
        <v>Ref. leak/ Low charge</v>
      </c>
      <c r="B641" s="87">
        <f t="shared" ref="B641:B665" si="17">IF(A641="","",SUMIF($B$582:$B$637,A641,$C$582:$C$637))</f>
        <v>2</v>
      </c>
      <c r="C641" s="87">
        <f t="shared" ref="C641:C665" si="18">IF(A641="","",SUMIF($B$582:$B$637,A641,$D$582:$D$637))</f>
        <v>1</v>
      </c>
      <c r="D641" s="87">
        <f>IF(A641="","",B641+(25/set_tiebreakDivisor))</f>
        <v>2.0002499999999999</v>
      </c>
    </row>
    <row r="642" spans="1:4">
      <c r="A642" s="87" t="str">
        <f t="shared" si="16"/>
        <v>Doors</v>
      </c>
      <c r="B642" s="87">
        <f t="shared" si="17"/>
        <v>5</v>
      </c>
      <c r="C642" s="87">
        <f t="shared" si="18"/>
        <v>2</v>
      </c>
      <c r="D642" s="87">
        <f>IF(A642="","",B642+(24/set_tiebreakDivisor))</f>
        <v>5.0002399999999998</v>
      </c>
    </row>
    <row r="643" spans="1:4">
      <c r="A643" s="87" t="str">
        <f t="shared" si="16"/>
        <v>Drain tube blocked</v>
      </c>
      <c r="B643" s="87">
        <f t="shared" si="17"/>
        <v>0</v>
      </c>
      <c r="C643" s="87">
        <f t="shared" si="18"/>
        <v>0</v>
      </c>
      <c r="D643" s="87">
        <f>IF(A643="","",B643+(23/set_tiebreakDivisor))</f>
        <v>2.3000000000000001E-4</v>
      </c>
    </row>
    <row r="644" spans="1:4">
      <c r="A644" s="87" t="str">
        <f t="shared" si="16"/>
        <v>Wrong / Loose wiring</v>
      </c>
      <c r="B644" s="87">
        <f t="shared" si="17"/>
        <v>0</v>
      </c>
      <c r="C644" s="87">
        <f t="shared" si="18"/>
        <v>0</v>
      </c>
      <c r="D644" s="87">
        <f>IF(A644="","",B644+(22/set_tiebreakDivisor))</f>
        <v>2.2000000000000001E-4</v>
      </c>
    </row>
    <row r="645" spans="1:4">
      <c r="A645" s="87" t="str">
        <f t="shared" si="16"/>
        <v>Communication problem</v>
      </c>
      <c r="B645" s="87">
        <f t="shared" si="17"/>
        <v>0</v>
      </c>
      <c r="C645" s="87">
        <f t="shared" si="18"/>
        <v>0</v>
      </c>
      <c r="D645" s="87">
        <f>IF(A645="","",B645+(21/set_tiebreakDivisor))</f>
        <v>2.1000000000000001E-4</v>
      </c>
    </row>
    <row r="646" spans="1:4">
      <c r="A646" s="87" t="str">
        <f t="shared" si="16"/>
        <v>High Store RH</v>
      </c>
      <c r="B646" s="87">
        <f t="shared" si="17"/>
        <v>1</v>
      </c>
      <c r="C646" s="87">
        <f t="shared" si="18"/>
        <v>1</v>
      </c>
      <c r="D646" s="87">
        <f>IF(A646="","",B646+(20/set_tiebreakDivisor))</f>
        <v>1.0002</v>
      </c>
    </row>
    <row r="647" spans="1:4">
      <c r="A647" s="87" t="str">
        <f t="shared" si="16"/>
        <v>Enclosure Seal</v>
      </c>
      <c r="B647" s="87">
        <f t="shared" si="17"/>
        <v>0</v>
      </c>
      <c r="C647" s="87">
        <f t="shared" si="18"/>
        <v>0</v>
      </c>
      <c r="D647" s="87">
        <f>IF(A647="","",B647+(19/set_tiebreakDivisor))</f>
        <v>1.9000000000000001E-4</v>
      </c>
    </row>
    <row r="648" spans="1:4">
      <c r="A648" s="87" t="str">
        <f t="shared" si="16"/>
        <v>Component Failure</v>
      </c>
      <c r="B648" s="87">
        <f t="shared" si="17"/>
        <v>0</v>
      </c>
      <c r="C648" s="87">
        <f t="shared" si="18"/>
        <v>0</v>
      </c>
      <c r="D648" s="87">
        <f>IF(A648="","",B648+(18/set_tiebreakDivisor))</f>
        <v>1.8000000000000001E-4</v>
      </c>
    </row>
    <row r="649" spans="1:4">
      <c r="A649" s="87" t="str">
        <f t="shared" si="16"/>
        <v>Defrost Sync</v>
      </c>
      <c r="B649" s="87">
        <f t="shared" si="17"/>
        <v>0</v>
      </c>
      <c r="C649" s="87">
        <f t="shared" si="18"/>
        <v>0</v>
      </c>
      <c r="D649" s="87">
        <f>IF(A649="","",B649+(17/set_tiebreakDivisor))</f>
        <v>1.7000000000000001E-4</v>
      </c>
    </row>
    <row r="650" spans="1:4">
      <c r="A650" s="87" t="str">
        <f t="shared" si="16"/>
        <v>False Alarm</v>
      </c>
      <c r="B650" s="87">
        <f t="shared" si="17"/>
        <v>4</v>
      </c>
      <c r="C650" s="87">
        <f t="shared" si="18"/>
        <v>2</v>
      </c>
      <c r="D650" s="87">
        <f>IF(A650="","",B650+(16/set_tiebreakDivisor))</f>
        <v>4.0001600000000002</v>
      </c>
    </row>
    <row r="651" spans="1:4">
      <c r="A651" s="87" t="str">
        <f t="shared" si="16"/>
        <v>Setpoint change</v>
      </c>
      <c r="B651" s="87">
        <f t="shared" si="17"/>
        <v>0</v>
      </c>
      <c r="C651" s="87">
        <f t="shared" si="18"/>
        <v>0</v>
      </c>
      <c r="D651" s="87">
        <f>IF(A651="","",B651+(15/set_tiebreakDivisor))</f>
        <v>1.4999999999999999E-4</v>
      </c>
    </row>
    <row r="652" spans="1:4">
      <c r="A652" s="87" t="str">
        <f t="shared" si="16"/>
        <v>Overstocking</v>
      </c>
      <c r="B652" s="87">
        <f t="shared" si="17"/>
        <v>0</v>
      </c>
      <c r="C652" s="87">
        <f t="shared" si="18"/>
        <v>0</v>
      </c>
      <c r="D652" s="87">
        <f>IF(A652="","",B652+(14/set_tiebreakDivisor))</f>
        <v>1.3999999999999999E-4</v>
      </c>
    </row>
    <row r="653" spans="1:4">
      <c r="A653" s="87" t="str">
        <f t="shared" si="16"/>
        <v>Case End Seal</v>
      </c>
      <c r="B653" s="87">
        <f t="shared" si="17"/>
        <v>0</v>
      </c>
      <c r="C653" s="87">
        <f t="shared" si="18"/>
        <v>0</v>
      </c>
      <c r="D653" s="87">
        <f>IF(A653="","",B653+(13/set_tiebreakDivisor))</f>
        <v>1.2999999999999999E-4</v>
      </c>
    </row>
    <row r="654" spans="1:4">
      <c r="A654" s="87" t="str">
        <f t="shared" si="16"/>
        <v>Return Air blocked</v>
      </c>
      <c r="B654" s="87">
        <f t="shared" si="17"/>
        <v>0</v>
      </c>
      <c r="C654" s="87">
        <f t="shared" si="18"/>
        <v>0</v>
      </c>
      <c r="D654" s="87">
        <f>IF(A654="","",B654+(12/set_tiebreakDivisor))</f>
        <v>1.2E-4</v>
      </c>
    </row>
    <row r="655" spans="1:4">
      <c r="A655" s="87" t="str">
        <f t="shared" si="16"/>
        <v>Unidentified air leak</v>
      </c>
      <c r="B655" s="87">
        <f t="shared" si="17"/>
        <v>0</v>
      </c>
      <c r="C655" s="87">
        <f t="shared" si="18"/>
        <v>0</v>
      </c>
      <c r="D655" s="87">
        <f>IF(A655="","",B655+(11/set_tiebreakDivisor))</f>
        <v>1.1E-4</v>
      </c>
    </row>
    <row r="656" spans="1:4">
      <c r="A656" s="87" t="str">
        <f t="shared" si="16"/>
        <v>Freedom</v>
      </c>
      <c r="B656" s="87">
        <f t="shared" si="17"/>
        <v>0</v>
      </c>
      <c r="C656" s="87">
        <f t="shared" si="18"/>
        <v>0</v>
      </c>
      <c r="D656" s="87">
        <f>IF(A656="","",B656+(10/set_tiebreakDivisor))</f>
        <v>1E-4</v>
      </c>
    </row>
    <row r="657" spans="1:4">
      <c r="A657" s="87" t="str">
        <f t="shared" si="16"/>
        <v>Heavy case load</v>
      </c>
      <c r="B657" s="87">
        <f t="shared" si="17"/>
        <v>0</v>
      </c>
      <c r="C657" s="87">
        <f t="shared" si="18"/>
        <v>0</v>
      </c>
      <c r="D657" s="87">
        <f>IF(A657="","",B657+(9/set_tiebreakDivisor))</f>
        <v>9.0000000000000006E-5</v>
      </c>
    </row>
    <row r="658" spans="1:4">
      <c r="A658" s="87" t="str">
        <f t="shared" si="16"/>
        <v>DG Installation issue</v>
      </c>
      <c r="B658" s="87">
        <f t="shared" si="17"/>
        <v>2</v>
      </c>
      <c r="C658" s="87">
        <f t="shared" si="18"/>
        <v>0</v>
      </c>
      <c r="D658" s="87">
        <f>IF(A658="","",B658+(8/set_tiebreakDivisor))</f>
        <v>2.0000800000000001</v>
      </c>
    </row>
    <row r="659" spans="1:4">
      <c r="A659" s="87" t="str">
        <f t="shared" si="16"/>
        <v>Unknown</v>
      </c>
      <c r="B659" s="87">
        <f t="shared" si="17"/>
        <v>0</v>
      </c>
      <c r="C659" s="87">
        <f t="shared" si="18"/>
        <v>0</v>
      </c>
      <c r="D659" s="87">
        <f>IF(A659="","",B659+(7/set_tiebreakDivisor))</f>
        <v>6.9999999999999994E-5</v>
      </c>
    </row>
    <row r="660" spans="1:4">
      <c r="A660" s="87" t="str">
        <f t="shared" si="16"/>
        <v>Program change - Hussmann</v>
      </c>
      <c r="B660" s="87">
        <f t="shared" si="17"/>
        <v>0</v>
      </c>
      <c r="C660" s="87">
        <f t="shared" si="18"/>
        <v>0</v>
      </c>
      <c r="D660" s="87">
        <f>IF(A660="","",B660+(6/set_tiebreakDivisor))</f>
        <v>6.0000000000000002E-5</v>
      </c>
    </row>
    <row r="661" spans="1:4">
      <c r="A661" s="87" t="str">
        <f t="shared" si="16"/>
        <v>Wrong program</v>
      </c>
      <c r="B661" s="87">
        <f t="shared" si="17"/>
        <v>0</v>
      </c>
      <c r="C661" s="87">
        <f t="shared" si="18"/>
        <v>0</v>
      </c>
      <c r="D661" s="87">
        <f>IF(A661="","",B661+(5/set_tiebreakDivisor))</f>
        <v>5.0000000000000002E-5</v>
      </c>
    </row>
    <row r="662" spans="1:4">
      <c r="A662" s="87" t="str">
        <f t="shared" si="16"/>
        <v/>
      </c>
      <c r="B662" s="87" t="str">
        <f t="shared" si="17"/>
        <v/>
      </c>
      <c r="C662" s="87" t="str">
        <f t="shared" si="18"/>
        <v/>
      </c>
      <c r="D662" s="87" t="str">
        <f>IF(A662="","",B662+(4/set_tiebreakDivisor))</f>
        <v/>
      </c>
    </row>
    <row r="663" spans="1:4">
      <c r="A663" s="87" t="str">
        <f t="shared" si="16"/>
        <v/>
      </c>
      <c r="B663" s="87" t="str">
        <f t="shared" si="17"/>
        <v/>
      </c>
      <c r="C663" s="87" t="str">
        <f t="shared" si="18"/>
        <v/>
      </c>
      <c r="D663" s="87" t="str">
        <f>IF(A663="","",B663+(3/set_tiebreakDivisor))</f>
        <v/>
      </c>
    </row>
    <row r="664" spans="1:4">
      <c r="A664" s="87" t="str">
        <f t="shared" si="16"/>
        <v/>
      </c>
      <c r="B664" s="87" t="str">
        <f t="shared" si="17"/>
        <v/>
      </c>
      <c r="C664" s="87" t="str">
        <f t="shared" si="18"/>
        <v/>
      </c>
      <c r="D664" s="87" t="str">
        <f>IF(A664="","",B664+(2/set_tiebreakDivisor))</f>
        <v/>
      </c>
    </row>
    <row r="665" spans="1:4">
      <c r="A665" s="87" t="str">
        <f t="shared" si="16"/>
        <v/>
      </c>
      <c r="B665" s="87" t="str">
        <f t="shared" si="17"/>
        <v/>
      </c>
      <c r="C665" s="87" t="str">
        <f t="shared" si="18"/>
        <v/>
      </c>
      <c r="D665" s="87" t="str">
        <f>IF(A665="","",B665+(1/set_tiebreakDivisor))</f>
        <v/>
      </c>
    </row>
    <row r="668" spans="1:4">
      <c r="A668" s="119" t="s">
        <v>1569</v>
      </c>
      <c r="B668" s="119" t="s">
        <v>1574</v>
      </c>
      <c r="C668" s="119" t="s">
        <v>1575</v>
      </c>
      <c r="D668" s="119" t="s">
        <v>1281</v>
      </c>
    </row>
    <row r="669" spans="1:4">
      <c r="A669" s="87" t="str">
        <f>IFERROR(INDEX($A$641:$A$665,MATCH(LARGE($D$641:$D$665,1),$D$641:$D$665,0)),"")</f>
        <v>Doors</v>
      </c>
      <c r="B669" s="87">
        <f t="shared" ref="B669:B693" si="19">IF(A669="","",INDEX($C$641:$C$665,MATCH(A669,$A$641:$A$665,0)))</f>
        <v>2</v>
      </c>
      <c r="C669" s="87">
        <f t="shared" ref="C669:C693" si="20">IF(A669="","",INDEX($B$641:$B$665,MATCH(A669,$A$641:$A$665,0))-B669)</f>
        <v>3</v>
      </c>
      <c r="D669" s="87">
        <f t="shared" ref="D669:D693" si="21">IF(A669="","",B669+C669)</f>
        <v>5</v>
      </c>
    </row>
    <row r="670" spans="1:4">
      <c r="A670" s="87" t="str">
        <f>IFERROR(INDEX($A$641:$A$665,MATCH(LARGE($D$641:$D$665,2),$D$641:$D$665,0)),"")</f>
        <v>False Alarm</v>
      </c>
      <c r="B670" s="87">
        <f t="shared" si="19"/>
        <v>2</v>
      </c>
      <c r="C670" s="87">
        <f t="shared" si="20"/>
        <v>2</v>
      </c>
      <c r="D670" s="87">
        <f t="shared" si="21"/>
        <v>4</v>
      </c>
    </row>
    <row r="671" spans="1:4">
      <c r="A671" s="87" t="str">
        <f>IFERROR(INDEX($A$641:$A$665,MATCH(LARGE($D$641:$D$665,3),$D$641:$D$665,0)),"")</f>
        <v>Ref. leak/ Low charge</v>
      </c>
      <c r="B671" s="87">
        <f t="shared" si="19"/>
        <v>1</v>
      </c>
      <c r="C671" s="87">
        <f t="shared" si="20"/>
        <v>1</v>
      </c>
      <c r="D671" s="87">
        <f t="shared" si="21"/>
        <v>2</v>
      </c>
    </row>
    <row r="672" spans="1:4">
      <c r="A672" s="87" t="str">
        <f>IFERROR(INDEX($A$641:$A$665,MATCH(LARGE($D$641:$D$665,4),$D$641:$D$665,0)),"")</f>
        <v>DG Installation issue</v>
      </c>
      <c r="B672" s="87">
        <f t="shared" si="19"/>
        <v>0</v>
      </c>
      <c r="C672" s="87">
        <f t="shared" si="20"/>
        <v>2</v>
      </c>
      <c r="D672" s="87">
        <f t="shared" si="21"/>
        <v>2</v>
      </c>
    </row>
    <row r="673" spans="1:4">
      <c r="A673" s="87" t="str">
        <f>IFERROR(INDEX($A$641:$A$665,MATCH(LARGE($D$641:$D$665,5),$D$641:$D$665,0)),"")</f>
        <v>High Store RH</v>
      </c>
      <c r="B673" s="87">
        <f t="shared" si="19"/>
        <v>1</v>
      </c>
      <c r="C673" s="87">
        <f t="shared" si="20"/>
        <v>0</v>
      </c>
      <c r="D673" s="87">
        <f t="shared" si="21"/>
        <v>1</v>
      </c>
    </row>
    <row r="674" spans="1:4">
      <c r="A674" s="87" t="str">
        <f>IFERROR(INDEX($A$641:$A$665,MATCH(LARGE($D$641:$D$665,6),$D$641:$D$665,0)),"")</f>
        <v>Drain tube blocked</v>
      </c>
      <c r="B674" s="87">
        <f t="shared" si="19"/>
        <v>0</v>
      </c>
      <c r="C674" s="87">
        <f t="shared" si="20"/>
        <v>0</v>
      </c>
      <c r="D674" s="87">
        <f t="shared" si="21"/>
        <v>0</v>
      </c>
    </row>
    <row r="675" spans="1:4">
      <c r="A675" s="87" t="str">
        <f>IFERROR(INDEX($A$641:$A$665,MATCH(LARGE($D$641:$D$665,7),$D$641:$D$665,0)),"")</f>
        <v>Wrong / Loose wiring</v>
      </c>
      <c r="B675" s="87">
        <f t="shared" si="19"/>
        <v>0</v>
      </c>
      <c r="C675" s="87">
        <f t="shared" si="20"/>
        <v>0</v>
      </c>
      <c r="D675" s="87">
        <f t="shared" si="21"/>
        <v>0</v>
      </c>
    </row>
    <row r="676" spans="1:4">
      <c r="A676" s="87" t="str">
        <f>IFERROR(INDEX($A$641:$A$665,MATCH(LARGE($D$641:$D$665,8),$D$641:$D$665,0)),"")</f>
        <v>Communication problem</v>
      </c>
      <c r="B676" s="87">
        <f t="shared" si="19"/>
        <v>0</v>
      </c>
      <c r="C676" s="87">
        <f t="shared" si="20"/>
        <v>0</v>
      </c>
      <c r="D676" s="87">
        <f t="shared" si="21"/>
        <v>0</v>
      </c>
    </row>
    <row r="677" spans="1:4">
      <c r="A677" s="87" t="str">
        <f>IFERROR(INDEX($A$641:$A$665,MATCH(LARGE($D$641:$D$665,9),$D$641:$D$665,0)),"")</f>
        <v>Enclosure Seal</v>
      </c>
      <c r="B677" s="87">
        <f t="shared" si="19"/>
        <v>0</v>
      </c>
      <c r="C677" s="87">
        <f t="shared" si="20"/>
        <v>0</v>
      </c>
      <c r="D677" s="87">
        <f t="shared" si="21"/>
        <v>0</v>
      </c>
    </row>
    <row r="678" spans="1:4">
      <c r="A678" s="87" t="str">
        <f>IFERROR(INDEX($A$641:$A$665,MATCH(LARGE($D$641:$D$665,10),$D$641:$D$665,0)),"")</f>
        <v>Component Failure</v>
      </c>
      <c r="B678" s="87">
        <f t="shared" si="19"/>
        <v>0</v>
      </c>
      <c r="C678" s="87">
        <f t="shared" si="20"/>
        <v>0</v>
      </c>
      <c r="D678" s="87">
        <f t="shared" si="21"/>
        <v>0</v>
      </c>
    </row>
    <row r="679" spans="1:4">
      <c r="A679" s="87" t="str">
        <f>IFERROR(INDEX($A$641:$A$665,MATCH(LARGE($D$641:$D$665,11),$D$641:$D$665,0)),"")</f>
        <v>Defrost Sync</v>
      </c>
      <c r="B679" s="87">
        <f t="shared" si="19"/>
        <v>0</v>
      </c>
      <c r="C679" s="87">
        <f t="shared" si="20"/>
        <v>0</v>
      </c>
      <c r="D679" s="87">
        <f t="shared" si="21"/>
        <v>0</v>
      </c>
    </row>
    <row r="680" spans="1:4">
      <c r="A680" s="87" t="str">
        <f>IFERROR(INDEX($A$641:$A$665,MATCH(LARGE($D$641:$D$665,12),$D$641:$D$665,0)),"")</f>
        <v>Setpoint change</v>
      </c>
      <c r="B680" s="87">
        <f t="shared" si="19"/>
        <v>0</v>
      </c>
      <c r="C680" s="87">
        <f t="shared" si="20"/>
        <v>0</v>
      </c>
      <c r="D680" s="87">
        <f t="shared" si="21"/>
        <v>0</v>
      </c>
    </row>
    <row r="681" spans="1:4">
      <c r="A681" s="87" t="str">
        <f>IFERROR(INDEX($A$641:$A$665,MATCH(LARGE($D$641:$D$665,13),$D$641:$D$665,0)),"")</f>
        <v>Overstocking</v>
      </c>
      <c r="B681" s="87">
        <f t="shared" si="19"/>
        <v>0</v>
      </c>
      <c r="C681" s="87">
        <f t="shared" si="20"/>
        <v>0</v>
      </c>
      <c r="D681" s="87">
        <f t="shared" si="21"/>
        <v>0</v>
      </c>
    </row>
    <row r="682" spans="1:4">
      <c r="A682" s="87" t="str">
        <f>IFERROR(INDEX($A$641:$A$665,MATCH(LARGE($D$641:$D$665,14),$D$641:$D$665,0)),"")</f>
        <v>Case End Seal</v>
      </c>
      <c r="B682" s="87">
        <f t="shared" si="19"/>
        <v>0</v>
      </c>
      <c r="C682" s="87">
        <f t="shared" si="20"/>
        <v>0</v>
      </c>
      <c r="D682" s="87">
        <f t="shared" si="21"/>
        <v>0</v>
      </c>
    </row>
    <row r="683" spans="1:4">
      <c r="A683" s="87" t="str">
        <f>IFERROR(INDEX($A$641:$A$665,MATCH(LARGE($D$641:$D$665,15),$D$641:$D$665,0)),"")</f>
        <v>Return Air blocked</v>
      </c>
      <c r="B683" s="87">
        <f t="shared" si="19"/>
        <v>0</v>
      </c>
      <c r="C683" s="87">
        <f t="shared" si="20"/>
        <v>0</v>
      </c>
      <c r="D683" s="87">
        <f t="shared" si="21"/>
        <v>0</v>
      </c>
    </row>
    <row r="684" spans="1:4">
      <c r="A684" s="87" t="str">
        <f>IFERROR(INDEX($A$641:$A$665,MATCH(LARGE($D$641:$D$665,16),$D$641:$D$665,0)),"")</f>
        <v>Unidentified air leak</v>
      </c>
      <c r="B684" s="87">
        <f t="shared" si="19"/>
        <v>0</v>
      </c>
      <c r="C684" s="87">
        <f t="shared" si="20"/>
        <v>0</v>
      </c>
      <c r="D684" s="87">
        <f t="shared" si="21"/>
        <v>0</v>
      </c>
    </row>
    <row r="685" spans="1:4">
      <c r="A685" s="87" t="str">
        <f>IFERROR(INDEX($A$641:$A$665,MATCH(LARGE($D$641:$D$665,17),$D$641:$D$665,0)),"")</f>
        <v>Freedom</v>
      </c>
      <c r="B685" s="87">
        <f t="shared" si="19"/>
        <v>0</v>
      </c>
      <c r="C685" s="87">
        <f t="shared" si="20"/>
        <v>0</v>
      </c>
      <c r="D685" s="87">
        <f t="shared" si="21"/>
        <v>0</v>
      </c>
    </row>
    <row r="686" spans="1:4">
      <c r="A686" s="87" t="str">
        <f>IFERROR(INDEX($A$641:$A$665,MATCH(LARGE($D$641:$D$665,18),$D$641:$D$665,0)),"")</f>
        <v>Heavy case load</v>
      </c>
      <c r="B686" s="87">
        <f t="shared" si="19"/>
        <v>0</v>
      </c>
      <c r="C686" s="87">
        <f t="shared" si="20"/>
        <v>0</v>
      </c>
      <c r="D686" s="87">
        <f t="shared" si="21"/>
        <v>0</v>
      </c>
    </row>
    <row r="687" spans="1:4">
      <c r="A687" s="87" t="str">
        <f>IFERROR(INDEX($A$641:$A$665,MATCH(LARGE($D$641:$D$665,19),$D$641:$D$665,0)),"")</f>
        <v>Unknown</v>
      </c>
      <c r="B687" s="87">
        <f t="shared" si="19"/>
        <v>0</v>
      </c>
      <c r="C687" s="87">
        <f t="shared" si="20"/>
        <v>0</v>
      </c>
      <c r="D687" s="87">
        <f t="shared" si="21"/>
        <v>0</v>
      </c>
    </row>
    <row r="688" spans="1:4">
      <c r="A688" s="87" t="str">
        <f>IFERROR(INDEX($A$641:$A$665,MATCH(LARGE($D$641:$D$665,20),$D$641:$D$665,0)),"")</f>
        <v>Program change - Hussmann</v>
      </c>
      <c r="B688" s="87">
        <f t="shared" si="19"/>
        <v>0</v>
      </c>
      <c r="C688" s="87">
        <f t="shared" si="20"/>
        <v>0</v>
      </c>
      <c r="D688" s="87">
        <f t="shared" si="21"/>
        <v>0</v>
      </c>
    </row>
    <row r="689" spans="1:26">
      <c r="A689" s="87" t="str">
        <f>IFERROR(INDEX($A$641:$A$665,MATCH(LARGE($D$641:$D$665,21),$D$641:$D$665,0)),"")</f>
        <v>Wrong program</v>
      </c>
      <c r="B689" s="87">
        <f t="shared" si="19"/>
        <v>0</v>
      </c>
      <c r="C689" s="87">
        <f t="shared" si="20"/>
        <v>0</v>
      </c>
      <c r="D689" s="87">
        <f t="shared" si="21"/>
        <v>0</v>
      </c>
    </row>
    <row r="690" spans="1:26">
      <c r="A690" s="87" t="str">
        <f>IFERROR(INDEX($A$641:$A$665,MATCH(LARGE($D$641:$D$665,22),$D$641:$D$665,0)),"")</f>
        <v/>
      </c>
      <c r="B690" s="87" t="str">
        <f t="shared" si="19"/>
        <v/>
      </c>
      <c r="C690" s="87" t="str">
        <f t="shared" si="20"/>
        <v/>
      </c>
      <c r="D690" s="87" t="str">
        <f t="shared" si="21"/>
        <v/>
      </c>
    </row>
    <row r="691" spans="1:26">
      <c r="A691" s="87" t="str">
        <f>IFERROR(INDEX($A$641:$A$665,MATCH(LARGE($D$641:$D$665,23),$D$641:$D$665,0)),"")</f>
        <v/>
      </c>
      <c r="B691" s="87" t="str">
        <f t="shared" si="19"/>
        <v/>
      </c>
      <c r="C691" s="87" t="str">
        <f t="shared" si="20"/>
        <v/>
      </c>
      <c r="D691" s="87" t="str">
        <f t="shared" si="21"/>
        <v/>
      </c>
    </row>
    <row r="692" spans="1:26">
      <c r="A692" s="87" t="str">
        <f>IFERROR(INDEX($A$641:$A$665,MATCH(LARGE($D$641:$D$665,24),$D$641:$D$665,0)),"")</f>
        <v/>
      </c>
      <c r="B692" s="87" t="str">
        <f t="shared" si="19"/>
        <v/>
      </c>
      <c r="C692" s="87" t="str">
        <f t="shared" si="20"/>
        <v/>
      </c>
      <c r="D692" s="87" t="str">
        <f t="shared" si="21"/>
        <v/>
      </c>
    </row>
    <row r="693" spans="1:26">
      <c r="A693" s="87" t="str">
        <f>IFERROR(INDEX($A$641:$A$665,MATCH(LARGE($D$641:$D$665,25),$D$641:$D$665,0)),"")</f>
        <v/>
      </c>
      <c r="B693" s="87" t="str">
        <f t="shared" si="19"/>
        <v/>
      </c>
      <c r="C693" s="87" t="str">
        <f t="shared" si="20"/>
        <v/>
      </c>
      <c r="D693" s="87" t="str">
        <f t="shared" si="21"/>
        <v/>
      </c>
    </row>
    <row r="696" spans="1:26">
      <c r="A696" s="119" t="s">
        <v>1569</v>
      </c>
      <c r="B696" s="119" t="str">
        <f>IF($A669="","",$A669)</f>
        <v>Doors</v>
      </c>
      <c r="C696" s="119" t="str">
        <f>IF($A670="","",$A670)</f>
        <v>False Alarm</v>
      </c>
      <c r="D696" s="119" t="str">
        <f>IF($A671="","",$A671)</f>
        <v>Ref. leak/ Low charge</v>
      </c>
      <c r="E696" s="119" t="str">
        <f>IF($A672="","",$A672)</f>
        <v>DG Installation issue</v>
      </c>
      <c r="F696" s="119" t="str">
        <f>IF($A673="","",$A673)</f>
        <v>High Store RH</v>
      </c>
      <c r="G696" s="119" t="str">
        <f>IF($A674="","",$A674)</f>
        <v>Drain tube blocked</v>
      </c>
      <c r="H696" s="119" t="str">
        <f>IF($A675="","",$A675)</f>
        <v>Wrong / Loose wiring</v>
      </c>
      <c r="I696" s="119" t="str">
        <f>IF($A676="","",$A676)</f>
        <v>Communication problem</v>
      </c>
      <c r="J696" s="119" t="str">
        <f>IF($A677="","",$A677)</f>
        <v>Enclosure Seal</v>
      </c>
      <c r="K696" s="119" t="str">
        <f>IF($A678="","",$A678)</f>
        <v>Component Failure</v>
      </c>
      <c r="L696" s="119" t="str">
        <f>IF($A679="","",$A679)</f>
        <v>Defrost Sync</v>
      </c>
      <c r="M696" s="119" t="str">
        <f>IF($A680="","",$A680)</f>
        <v>Setpoint change</v>
      </c>
      <c r="N696" s="119" t="str">
        <f>IF($A681="","",$A681)</f>
        <v>Overstocking</v>
      </c>
      <c r="O696" s="119" t="str">
        <f>IF($A682="","",$A682)</f>
        <v>Case End Seal</v>
      </c>
      <c r="P696" s="119" t="str">
        <f>IF($A683="","",$A683)</f>
        <v>Return Air blocked</v>
      </c>
      <c r="Q696" s="119" t="str">
        <f>IF($A684="","",$A684)</f>
        <v>Unidentified air leak</v>
      </c>
      <c r="R696" s="119" t="str">
        <f>IF($A685="","",$A685)</f>
        <v>Freedom</v>
      </c>
      <c r="S696" s="119" t="str">
        <f>IF($A686="","",$A686)</f>
        <v>Heavy case load</v>
      </c>
      <c r="T696" s="119" t="str">
        <f>IF($A687="","",$A687)</f>
        <v>Unknown</v>
      </c>
      <c r="U696" s="119" t="str">
        <f>IF($A688="","",$A688)</f>
        <v>Program change - Hussmann</v>
      </c>
      <c r="V696" s="119" t="str">
        <f>IF($A689="","",$A689)</f>
        <v>Wrong program</v>
      </c>
      <c r="W696" s="119" t="str">
        <f>IF($A690="","",$A690)</f>
        <v/>
      </c>
      <c r="X696" s="119" t="str">
        <f>IF($A691="","",$A691)</f>
        <v/>
      </c>
      <c r="Y696" s="119" t="str">
        <f>IF($A692="","",$A692)</f>
        <v/>
      </c>
      <c r="Z696" s="119" t="str">
        <f>IF($A693="","",$A693)</f>
        <v/>
      </c>
    </row>
    <row r="697" spans="1:26">
      <c r="A697" s="87" t="str">
        <f>A669</f>
        <v>Doors</v>
      </c>
      <c r="B697" s="87">
        <f>B669</f>
        <v>2</v>
      </c>
      <c r="C697" s="87">
        <v>0</v>
      </c>
      <c r="D697" s="87">
        <v>0</v>
      </c>
      <c r="E697" s="87">
        <v>0</v>
      </c>
      <c r="F697" s="87">
        <v>0</v>
      </c>
      <c r="G697" s="87">
        <v>0</v>
      </c>
      <c r="H697" s="87">
        <v>0</v>
      </c>
      <c r="I697" s="87">
        <v>0</v>
      </c>
      <c r="J697" s="87">
        <v>0</v>
      </c>
      <c r="K697" s="87">
        <v>0</v>
      </c>
      <c r="L697" s="87">
        <v>0</v>
      </c>
      <c r="M697" s="87">
        <v>0</v>
      </c>
      <c r="N697" s="87">
        <v>0</v>
      </c>
      <c r="O697" s="87">
        <v>0</v>
      </c>
      <c r="P697" s="87">
        <v>0</v>
      </c>
      <c r="Q697" s="87">
        <v>0</v>
      </c>
      <c r="R697" s="87">
        <v>0</v>
      </c>
      <c r="S697" s="87">
        <v>0</v>
      </c>
      <c r="T697" s="87">
        <v>0</v>
      </c>
      <c r="U697" s="87">
        <v>0</v>
      </c>
      <c r="V697" s="87">
        <v>0</v>
      </c>
      <c r="W697" s="87">
        <v>0</v>
      </c>
      <c r="X697" s="87">
        <v>0</v>
      </c>
      <c r="Y697" s="87">
        <v>0</v>
      </c>
      <c r="Z697" s="87">
        <v>0</v>
      </c>
    </row>
    <row r="698" spans="1:26">
      <c r="A698" s="87" t="str">
        <f t="shared" ref="A698:A721" si="22">A670</f>
        <v>False Alarm</v>
      </c>
      <c r="B698" s="87">
        <v>0</v>
      </c>
      <c r="C698" s="87">
        <f>B670</f>
        <v>2</v>
      </c>
      <c r="D698" s="87">
        <v>0</v>
      </c>
      <c r="E698" s="87">
        <v>0</v>
      </c>
      <c r="F698" s="87">
        <v>0</v>
      </c>
      <c r="G698" s="87">
        <v>0</v>
      </c>
      <c r="H698" s="87">
        <v>0</v>
      </c>
      <c r="I698" s="87">
        <v>0</v>
      </c>
      <c r="J698" s="87">
        <v>0</v>
      </c>
      <c r="K698" s="87">
        <v>0</v>
      </c>
      <c r="L698" s="87">
        <v>0</v>
      </c>
      <c r="M698" s="87">
        <v>0</v>
      </c>
      <c r="N698" s="87">
        <v>0</v>
      </c>
      <c r="O698" s="87">
        <v>0</v>
      </c>
      <c r="P698" s="87">
        <v>0</v>
      </c>
      <c r="Q698" s="87">
        <v>0</v>
      </c>
      <c r="R698" s="87">
        <v>0</v>
      </c>
      <c r="S698" s="87">
        <v>0</v>
      </c>
      <c r="T698" s="87">
        <v>0</v>
      </c>
      <c r="U698" s="87">
        <v>0</v>
      </c>
      <c r="V698" s="87">
        <v>0</v>
      </c>
      <c r="W698" s="87">
        <v>0</v>
      </c>
      <c r="X698" s="87">
        <v>0</v>
      </c>
      <c r="Y698" s="87">
        <v>0</v>
      </c>
      <c r="Z698" s="87">
        <v>0</v>
      </c>
    </row>
    <row r="699" spans="1:26">
      <c r="A699" s="87" t="str">
        <f t="shared" si="22"/>
        <v>Ref. leak/ Low charge</v>
      </c>
      <c r="B699" s="87">
        <v>0</v>
      </c>
      <c r="C699" s="87">
        <v>0</v>
      </c>
      <c r="D699" s="87">
        <f>B671</f>
        <v>1</v>
      </c>
      <c r="E699" s="87">
        <v>0</v>
      </c>
      <c r="F699" s="87">
        <v>0</v>
      </c>
      <c r="G699" s="87">
        <v>0</v>
      </c>
      <c r="H699" s="87">
        <v>0</v>
      </c>
      <c r="I699" s="87">
        <v>0</v>
      </c>
      <c r="J699" s="87">
        <v>0</v>
      </c>
      <c r="K699" s="87">
        <v>0</v>
      </c>
      <c r="L699" s="87">
        <v>0</v>
      </c>
      <c r="M699" s="87">
        <v>0</v>
      </c>
      <c r="N699" s="87">
        <v>0</v>
      </c>
      <c r="O699" s="87">
        <v>0</v>
      </c>
      <c r="P699" s="87">
        <v>0</v>
      </c>
      <c r="Q699" s="87">
        <v>0</v>
      </c>
      <c r="R699" s="87">
        <v>0</v>
      </c>
      <c r="S699" s="87">
        <v>0</v>
      </c>
      <c r="T699" s="87">
        <v>0</v>
      </c>
      <c r="U699" s="87">
        <v>0</v>
      </c>
      <c r="V699" s="87">
        <v>0</v>
      </c>
      <c r="W699" s="87">
        <v>0</v>
      </c>
      <c r="X699" s="87">
        <v>0</v>
      </c>
      <c r="Y699" s="87">
        <v>0</v>
      </c>
      <c r="Z699" s="87">
        <v>0</v>
      </c>
    </row>
    <row r="700" spans="1:26">
      <c r="A700" s="87" t="str">
        <f t="shared" si="22"/>
        <v>DG Installation issue</v>
      </c>
      <c r="B700" s="87">
        <v>0</v>
      </c>
      <c r="C700" s="87">
        <v>0</v>
      </c>
      <c r="D700" s="87">
        <v>0</v>
      </c>
      <c r="E700" s="87">
        <f>B672</f>
        <v>0</v>
      </c>
      <c r="F700" s="87">
        <v>0</v>
      </c>
      <c r="G700" s="87">
        <v>0</v>
      </c>
      <c r="H700" s="87">
        <v>0</v>
      </c>
      <c r="I700" s="87">
        <v>0</v>
      </c>
      <c r="J700" s="87">
        <v>0</v>
      </c>
      <c r="K700" s="87">
        <v>0</v>
      </c>
      <c r="L700" s="87">
        <v>0</v>
      </c>
      <c r="M700" s="87">
        <v>0</v>
      </c>
      <c r="N700" s="87">
        <v>0</v>
      </c>
      <c r="O700" s="87">
        <v>0</v>
      </c>
      <c r="P700" s="87">
        <v>0</v>
      </c>
      <c r="Q700" s="87">
        <v>0</v>
      </c>
      <c r="R700" s="87">
        <v>0</v>
      </c>
      <c r="S700" s="87">
        <v>0</v>
      </c>
      <c r="T700" s="87">
        <v>0</v>
      </c>
      <c r="U700" s="87">
        <v>0</v>
      </c>
      <c r="V700" s="87">
        <v>0</v>
      </c>
      <c r="W700" s="87">
        <v>0</v>
      </c>
      <c r="X700" s="87">
        <v>0</v>
      </c>
      <c r="Y700" s="87">
        <v>0</v>
      </c>
      <c r="Z700" s="87">
        <v>0</v>
      </c>
    </row>
    <row r="701" spans="1:26">
      <c r="A701" s="87" t="str">
        <f t="shared" si="22"/>
        <v>High Store RH</v>
      </c>
      <c r="B701" s="87">
        <v>0</v>
      </c>
      <c r="C701" s="87">
        <v>0</v>
      </c>
      <c r="D701" s="87">
        <v>0</v>
      </c>
      <c r="E701" s="87">
        <v>0</v>
      </c>
      <c r="F701" s="87">
        <f>B673</f>
        <v>1</v>
      </c>
      <c r="G701" s="87">
        <v>0</v>
      </c>
      <c r="H701" s="87">
        <v>0</v>
      </c>
      <c r="I701" s="87">
        <v>0</v>
      </c>
      <c r="J701" s="87">
        <v>0</v>
      </c>
      <c r="K701" s="87">
        <v>0</v>
      </c>
      <c r="L701" s="87">
        <v>0</v>
      </c>
      <c r="M701" s="87">
        <v>0</v>
      </c>
      <c r="N701" s="87">
        <v>0</v>
      </c>
      <c r="O701" s="87">
        <v>0</v>
      </c>
      <c r="P701" s="87">
        <v>0</v>
      </c>
      <c r="Q701" s="87">
        <v>0</v>
      </c>
      <c r="R701" s="87">
        <v>0</v>
      </c>
      <c r="S701" s="87">
        <v>0</v>
      </c>
      <c r="T701" s="87">
        <v>0</v>
      </c>
      <c r="U701" s="87">
        <v>0</v>
      </c>
      <c r="V701" s="87">
        <v>0</v>
      </c>
      <c r="W701" s="87">
        <v>0</v>
      </c>
      <c r="X701" s="87">
        <v>0</v>
      </c>
      <c r="Y701" s="87">
        <v>0</v>
      </c>
      <c r="Z701" s="87">
        <v>0</v>
      </c>
    </row>
    <row r="702" spans="1:26">
      <c r="A702" s="87" t="str">
        <f t="shared" si="22"/>
        <v>Drain tube blocked</v>
      </c>
      <c r="B702" s="87">
        <v>0</v>
      </c>
      <c r="C702" s="87">
        <v>0</v>
      </c>
      <c r="D702" s="87">
        <v>0</v>
      </c>
      <c r="E702" s="87">
        <v>0</v>
      </c>
      <c r="F702" s="87">
        <v>0</v>
      </c>
      <c r="G702" s="87">
        <f>B674</f>
        <v>0</v>
      </c>
      <c r="H702" s="87">
        <v>0</v>
      </c>
      <c r="I702" s="87">
        <v>0</v>
      </c>
      <c r="J702" s="87">
        <v>0</v>
      </c>
      <c r="K702" s="87">
        <v>0</v>
      </c>
      <c r="L702" s="87">
        <v>0</v>
      </c>
      <c r="M702" s="87">
        <v>0</v>
      </c>
      <c r="N702" s="87">
        <v>0</v>
      </c>
      <c r="O702" s="87">
        <v>0</v>
      </c>
      <c r="P702" s="87">
        <v>0</v>
      </c>
      <c r="Q702" s="87">
        <v>0</v>
      </c>
      <c r="R702" s="87">
        <v>0</v>
      </c>
      <c r="S702" s="87">
        <v>0</v>
      </c>
      <c r="T702" s="87">
        <v>0</v>
      </c>
      <c r="U702" s="87">
        <v>0</v>
      </c>
      <c r="V702" s="87">
        <v>0</v>
      </c>
      <c r="W702" s="87">
        <v>0</v>
      </c>
      <c r="X702" s="87">
        <v>0</v>
      </c>
      <c r="Y702" s="87">
        <v>0</v>
      </c>
      <c r="Z702" s="87">
        <v>0</v>
      </c>
    </row>
    <row r="703" spans="1:26">
      <c r="A703" s="87" t="str">
        <f t="shared" si="22"/>
        <v>Wrong / Loose wiring</v>
      </c>
      <c r="B703" s="87">
        <v>0</v>
      </c>
      <c r="C703" s="87">
        <v>0</v>
      </c>
      <c r="D703" s="87">
        <v>0</v>
      </c>
      <c r="E703" s="87">
        <v>0</v>
      </c>
      <c r="F703" s="87">
        <v>0</v>
      </c>
      <c r="G703" s="87">
        <v>0</v>
      </c>
      <c r="H703" s="87">
        <f>B675</f>
        <v>0</v>
      </c>
      <c r="I703" s="87">
        <v>0</v>
      </c>
      <c r="J703" s="87">
        <v>0</v>
      </c>
      <c r="K703" s="87">
        <v>0</v>
      </c>
      <c r="L703" s="87">
        <v>0</v>
      </c>
      <c r="M703" s="87">
        <v>0</v>
      </c>
      <c r="N703" s="87">
        <v>0</v>
      </c>
      <c r="O703" s="87">
        <v>0</v>
      </c>
      <c r="P703" s="87">
        <v>0</v>
      </c>
      <c r="Q703" s="87">
        <v>0</v>
      </c>
      <c r="R703" s="87">
        <v>0</v>
      </c>
      <c r="S703" s="87">
        <v>0</v>
      </c>
      <c r="T703" s="87">
        <v>0</v>
      </c>
      <c r="U703" s="87">
        <v>0</v>
      </c>
      <c r="V703" s="87">
        <v>0</v>
      </c>
      <c r="W703" s="87">
        <v>0</v>
      </c>
      <c r="X703" s="87">
        <v>0</v>
      </c>
      <c r="Y703" s="87">
        <v>0</v>
      </c>
      <c r="Z703" s="87">
        <v>0</v>
      </c>
    </row>
    <row r="704" spans="1:26">
      <c r="A704" s="87" t="str">
        <f t="shared" si="22"/>
        <v>Communication problem</v>
      </c>
      <c r="B704" s="87">
        <v>0</v>
      </c>
      <c r="C704" s="87">
        <v>0</v>
      </c>
      <c r="D704" s="87">
        <v>0</v>
      </c>
      <c r="E704" s="87">
        <v>0</v>
      </c>
      <c r="F704" s="87">
        <v>0</v>
      </c>
      <c r="G704" s="87">
        <v>0</v>
      </c>
      <c r="H704" s="87">
        <v>0</v>
      </c>
      <c r="I704" s="87">
        <f>B676</f>
        <v>0</v>
      </c>
      <c r="J704" s="87">
        <v>0</v>
      </c>
      <c r="K704" s="87">
        <v>0</v>
      </c>
      <c r="L704" s="87">
        <v>0</v>
      </c>
      <c r="M704" s="87">
        <v>0</v>
      </c>
      <c r="N704" s="87">
        <v>0</v>
      </c>
      <c r="O704" s="87">
        <v>0</v>
      </c>
      <c r="P704" s="87">
        <v>0</v>
      </c>
      <c r="Q704" s="87">
        <v>0</v>
      </c>
      <c r="R704" s="87">
        <v>0</v>
      </c>
      <c r="S704" s="87">
        <v>0</v>
      </c>
      <c r="T704" s="87">
        <v>0</v>
      </c>
      <c r="U704" s="87">
        <v>0</v>
      </c>
      <c r="V704" s="87">
        <v>0</v>
      </c>
      <c r="W704" s="87">
        <v>0</v>
      </c>
      <c r="X704" s="87">
        <v>0</v>
      </c>
      <c r="Y704" s="87">
        <v>0</v>
      </c>
      <c r="Z704" s="87">
        <v>0</v>
      </c>
    </row>
    <row r="705" spans="1:26">
      <c r="A705" s="87" t="str">
        <f t="shared" si="22"/>
        <v>Enclosure Seal</v>
      </c>
      <c r="B705" s="87">
        <v>0</v>
      </c>
      <c r="C705" s="87">
        <v>0</v>
      </c>
      <c r="D705" s="87">
        <v>0</v>
      </c>
      <c r="E705" s="87">
        <v>0</v>
      </c>
      <c r="F705" s="87">
        <v>0</v>
      </c>
      <c r="G705" s="87">
        <v>0</v>
      </c>
      <c r="H705" s="87">
        <v>0</v>
      </c>
      <c r="I705" s="87">
        <v>0</v>
      </c>
      <c r="J705" s="87">
        <f>B677</f>
        <v>0</v>
      </c>
      <c r="K705" s="87">
        <v>0</v>
      </c>
      <c r="L705" s="87">
        <v>0</v>
      </c>
      <c r="M705" s="87">
        <v>0</v>
      </c>
      <c r="N705" s="87">
        <v>0</v>
      </c>
      <c r="O705" s="87">
        <v>0</v>
      </c>
      <c r="P705" s="87">
        <v>0</v>
      </c>
      <c r="Q705" s="87">
        <v>0</v>
      </c>
      <c r="R705" s="87">
        <v>0</v>
      </c>
      <c r="S705" s="87">
        <v>0</v>
      </c>
      <c r="T705" s="87">
        <v>0</v>
      </c>
      <c r="U705" s="87">
        <v>0</v>
      </c>
      <c r="V705" s="87">
        <v>0</v>
      </c>
      <c r="W705" s="87">
        <v>0</v>
      </c>
      <c r="X705" s="87">
        <v>0</v>
      </c>
      <c r="Y705" s="87">
        <v>0</v>
      </c>
      <c r="Z705" s="87">
        <v>0</v>
      </c>
    </row>
    <row r="706" spans="1:26">
      <c r="A706" s="87" t="str">
        <f t="shared" si="22"/>
        <v>Component Failure</v>
      </c>
      <c r="B706" s="87">
        <v>0</v>
      </c>
      <c r="C706" s="87">
        <v>0</v>
      </c>
      <c r="D706" s="87">
        <v>0</v>
      </c>
      <c r="E706" s="87">
        <v>0</v>
      </c>
      <c r="F706" s="87">
        <v>0</v>
      </c>
      <c r="G706" s="87">
        <v>0</v>
      </c>
      <c r="H706" s="87">
        <v>0</v>
      </c>
      <c r="I706" s="87">
        <v>0</v>
      </c>
      <c r="J706" s="87">
        <v>0</v>
      </c>
      <c r="K706" s="87">
        <f>B678</f>
        <v>0</v>
      </c>
      <c r="L706" s="87">
        <v>0</v>
      </c>
      <c r="M706" s="87">
        <v>0</v>
      </c>
      <c r="N706" s="87">
        <v>0</v>
      </c>
      <c r="O706" s="87">
        <v>0</v>
      </c>
      <c r="P706" s="87">
        <v>0</v>
      </c>
      <c r="Q706" s="87">
        <v>0</v>
      </c>
      <c r="R706" s="87">
        <v>0</v>
      </c>
      <c r="S706" s="87">
        <v>0</v>
      </c>
      <c r="T706" s="87">
        <v>0</v>
      </c>
      <c r="U706" s="87">
        <v>0</v>
      </c>
      <c r="V706" s="87">
        <v>0</v>
      </c>
      <c r="W706" s="87">
        <v>0</v>
      </c>
      <c r="X706" s="87">
        <v>0</v>
      </c>
      <c r="Y706" s="87">
        <v>0</v>
      </c>
      <c r="Z706" s="87">
        <v>0</v>
      </c>
    </row>
    <row r="707" spans="1:26">
      <c r="A707" s="87" t="str">
        <f t="shared" si="22"/>
        <v>Defrost Sync</v>
      </c>
      <c r="B707" s="87">
        <v>0</v>
      </c>
      <c r="C707" s="87">
        <v>0</v>
      </c>
      <c r="D707" s="87">
        <v>0</v>
      </c>
      <c r="E707" s="87">
        <v>0</v>
      </c>
      <c r="F707" s="87">
        <v>0</v>
      </c>
      <c r="G707" s="87">
        <v>0</v>
      </c>
      <c r="H707" s="87">
        <v>0</v>
      </c>
      <c r="I707" s="87">
        <v>0</v>
      </c>
      <c r="J707" s="87">
        <v>0</v>
      </c>
      <c r="K707" s="87">
        <v>0</v>
      </c>
      <c r="L707" s="87">
        <f>B679</f>
        <v>0</v>
      </c>
      <c r="M707" s="87">
        <v>0</v>
      </c>
      <c r="N707" s="87">
        <v>0</v>
      </c>
      <c r="O707" s="87">
        <v>0</v>
      </c>
      <c r="P707" s="87">
        <v>0</v>
      </c>
      <c r="Q707" s="87">
        <v>0</v>
      </c>
      <c r="R707" s="87">
        <v>0</v>
      </c>
      <c r="S707" s="87">
        <v>0</v>
      </c>
      <c r="T707" s="87">
        <v>0</v>
      </c>
      <c r="U707" s="87">
        <v>0</v>
      </c>
      <c r="V707" s="87">
        <v>0</v>
      </c>
      <c r="W707" s="87">
        <v>0</v>
      </c>
      <c r="X707" s="87">
        <v>0</v>
      </c>
      <c r="Y707" s="87">
        <v>0</v>
      </c>
      <c r="Z707" s="87">
        <v>0</v>
      </c>
    </row>
    <row r="708" spans="1:26">
      <c r="A708" s="87" t="str">
        <f t="shared" si="22"/>
        <v>Setpoint change</v>
      </c>
      <c r="B708" s="87">
        <v>0</v>
      </c>
      <c r="C708" s="87">
        <v>0</v>
      </c>
      <c r="D708" s="87">
        <v>0</v>
      </c>
      <c r="E708" s="87">
        <v>0</v>
      </c>
      <c r="F708" s="87">
        <v>0</v>
      </c>
      <c r="G708" s="87">
        <v>0</v>
      </c>
      <c r="H708" s="87">
        <v>0</v>
      </c>
      <c r="I708" s="87">
        <v>0</v>
      </c>
      <c r="J708" s="87">
        <v>0</v>
      </c>
      <c r="K708" s="87">
        <v>0</v>
      </c>
      <c r="L708" s="87">
        <v>0</v>
      </c>
      <c r="M708" s="87">
        <f>B680</f>
        <v>0</v>
      </c>
      <c r="N708" s="87">
        <v>0</v>
      </c>
      <c r="O708" s="87">
        <v>0</v>
      </c>
      <c r="P708" s="87">
        <v>0</v>
      </c>
      <c r="Q708" s="87">
        <v>0</v>
      </c>
      <c r="R708" s="87">
        <v>0</v>
      </c>
      <c r="S708" s="87">
        <v>0</v>
      </c>
      <c r="T708" s="87">
        <v>0</v>
      </c>
      <c r="U708" s="87">
        <v>0</v>
      </c>
      <c r="V708" s="87">
        <v>0</v>
      </c>
      <c r="W708" s="87">
        <v>0</v>
      </c>
      <c r="X708" s="87">
        <v>0</v>
      </c>
      <c r="Y708" s="87">
        <v>0</v>
      </c>
      <c r="Z708" s="87">
        <v>0</v>
      </c>
    </row>
    <row r="709" spans="1:26">
      <c r="A709" s="87" t="str">
        <f t="shared" si="22"/>
        <v>Overstocking</v>
      </c>
      <c r="B709" s="87">
        <v>0</v>
      </c>
      <c r="C709" s="87">
        <v>0</v>
      </c>
      <c r="D709" s="87">
        <v>0</v>
      </c>
      <c r="E709" s="87">
        <v>0</v>
      </c>
      <c r="F709" s="87">
        <v>0</v>
      </c>
      <c r="G709" s="87">
        <v>0</v>
      </c>
      <c r="H709" s="87">
        <v>0</v>
      </c>
      <c r="I709" s="87">
        <v>0</v>
      </c>
      <c r="J709" s="87">
        <v>0</v>
      </c>
      <c r="K709" s="87">
        <v>0</v>
      </c>
      <c r="L709" s="87">
        <v>0</v>
      </c>
      <c r="M709" s="87">
        <v>0</v>
      </c>
      <c r="N709" s="87">
        <f>B681</f>
        <v>0</v>
      </c>
      <c r="O709" s="87">
        <v>0</v>
      </c>
      <c r="P709" s="87">
        <v>0</v>
      </c>
      <c r="Q709" s="87">
        <v>0</v>
      </c>
      <c r="R709" s="87">
        <v>0</v>
      </c>
      <c r="S709" s="87">
        <v>0</v>
      </c>
      <c r="T709" s="87">
        <v>0</v>
      </c>
      <c r="U709" s="87">
        <v>0</v>
      </c>
      <c r="V709" s="87">
        <v>0</v>
      </c>
      <c r="W709" s="87">
        <v>0</v>
      </c>
      <c r="X709" s="87">
        <v>0</v>
      </c>
      <c r="Y709" s="87">
        <v>0</v>
      </c>
      <c r="Z709" s="87">
        <v>0</v>
      </c>
    </row>
    <row r="710" spans="1:26">
      <c r="A710" s="87" t="str">
        <f t="shared" si="22"/>
        <v>Case End Seal</v>
      </c>
      <c r="B710" s="87">
        <v>0</v>
      </c>
      <c r="C710" s="87">
        <v>0</v>
      </c>
      <c r="D710" s="87">
        <v>0</v>
      </c>
      <c r="E710" s="87">
        <v>0</v>
      </c>
      <c r="F710" s="87">
        <v>0</v>
      </c>
      <c r="G710" s="87">
        <v>0</v>
      </c>
      <c r="H710" s="87">
        <v>0</v>
      </c>
      <c r="I710" s="87">
        <v>0</v>
      </c>
      <c r="J710" s="87">
        <v>0</v>
      </c>
      <c r="K710" s="87">
        <v>0</v>
      </c>
      <c r="L710" s="87">
        <v>0</v>
      </c>
      <c r="M710" s="87">
        <v>0</v>
      </c>
      <c r="N710" s="87">
        <v>0</v>
      </c>
      <c r="O710" s="87">
        <f>B682</f>
        <v>0</v>
      </c>
      <c r="P710" s="87">
        <v>0</v>
      </c>
      <c r="Q710" s="87">
        <v>0</v>
      </c>
      <c r="R710" s="87">
        <v>0</v>
      </c>
      <c r="S710" s="87">
        <v>0</v>
      </c>
      <c r="T710" s="87">
        <v>0</v>
      </c>
      <c r="U710" s="87">
        <v>0</v>
      </c>
      <c r="V710" s="87">
        <v>0</v>
      </c>
      <c r="W710" s="87">
        <v>0</v>
      </c>
      <c r="X710" s="87">
        <v>0</v>
      </c>
      <c r="Y710" s="87">
        <v>0</v>
      </c>
      <c r="Z710" s="87">
        <v>0</v>
      </c>
    </row>
    <row r="711" spans="1:26">
      <c r="A711" s="87" t="str">
        <f t="shared" si="22"/>
        <v>Return Air blocked</v>
      </c>
      <c r="B711" s="87">
        <v>0</v>
      </c>
      <c r="C711" s="87">
        <v>0</v>
      </c>
      <c r="D711" s="87">
        <v>0</v>
      </c>
      <c r="E711" s="87">
        <v>0</v>
      </c>
      <c r="F711" s="87">
        <v>0</v>
      </c>
      <c r="G711" s="87">
        <v>0</v>
      </c>
      <c r="H711" s="87">
        <v>0</v>
      </c>
      <c r="I711" s="87">
        <v>0</v>
      </c>
      <c r="J711" s="87">
        <v>0</v>
      </c>
      <c r="K711" s="87">
        <v>0</v>
      </c>
      <c r="L711" s="87">
        <v>0</v>
      </c>
      <c r="M711" s="87">
        <v>0</v>
      </c>
      <c r="N711" s="87">
        <v>0</v>
      </c>
      <c r="O711" s="87">
        <v>0</v>
      </c>
      <c r="P711" s="87">
        <f>B683</f>
        <v>0</v>
      </c>
      <c r="Q711" s="87">
        <v>0</v>
      </c>
      <c r="R711" s="87">
        <v>0</v>
      </c>
      <c r="S711" s="87">
        <v>0</v>
      </c>
      <c r="T711" s="87">
        <v>0</v>
      </c>
      <c r="U711" s="87">
        <v>0</v>
      </c>
      <c r="V711" s="87">
        <v>0</v>
      </c>
      <c r="W711" s="87">
        <v>0</v>
      </c>
      <c r="X711" s="87">
        <v>0</v>
      </c>
      <c r="Y711" s="87">
        <v>0</v>
      </c>
      <c r="Z711" s="87">
        <v>0</v>
      </c>
    </row>
    <row r="712" spans="1:26">
      <c r="A712" s="87" t="str">
        <f t="shared" si="22"/>
        <v>Unidentified air leak</v>
      </c>
      <c r="B712" s="87">
        <v>0</v>
      </c>
      <c r="C712" s="87">
        <v>0</v>
      </c>
      <c r="D712" s="87">
        <v>0</v>
      </c>
      <c r="E712" s="87">
        <v>0</v>
      </c>
      <c r="F712" s="87">
        <v>0</v>
      </c>
      <c r="G712" s="87">
        <v>0</v>
      </c>
      <c r="H712" s="87">
        <v>0</v>
      </c>
      <c r="I712" s="87">
        <v>0</v>
      </c>
      <c r="J712" s="87">
        <v>0</v>
      </c>
      <c r="K712" s="87">
        <v>0</v>
      </c>
      <c r="L712" s="87">
        <v>0</v>
      </c>
      <c r="M712" s="87">
        <v>0</v>
      </c>
      <c r="N712" s="87">
        <v>0</v>
      </c>
      <c r="O712" s="87">
        <v>0</v>
      </c>
      <c r="P712" s="87">
        <v>0</v>
      </c>
      <c r="Q712" s="87">
        <f>B684</f>
        <v>0</v>
      </c>
      <c r="R712" s="87">
        <v>0</v>
      </c>
      <c r="S712" s="87">
        <v>0</v>
      </c>
      <c r="T712" s="87">
        <v>0</v>
      </c>
      <c r="U712" s="87">
        <v>0</v>
      </c>
      <c r="V712" s="87">
        <v>0</v>
      </c>
      <c r="W712" s="87">
        <v>0</v>
      </c>
      <c r="X712" s="87">
        <v>0</v>
      </c>
      <c r="Y712" s="87">
        <v>0</v>
      </c>
      <c r="Z712" s="87">
        <v>0</v>
      </c>
    </row>
    <row r="713" spans="1:26">
      <c r="A713" s="87" t="str">
        <f t="shared" si="22"/>
        <v>Freedom</v>
      </c>
      <c r="B713" s="87">
        <v>0</v>
      </c>
      <c r="C713" s="87">
        <v>0</v>
      </c>
      <c r="D713" s="87">
        <v>0</v>
      </c>
      <c r="E713" s="87">
        <v>0</v>
      </c>
      <c r="F713" s="87">
        <v>0</v>
      </c>
      <c r="G713" s="87">
        <v>0</v>
      </c>
      <c r="H713" s="87">
        <v>0</v>
      </c>
      <c r="I713" s="87">
        <v>0</v>
      </c>
      <c r="J713" s="87">
        <v>0</v>
      </c>
      <c r="K713" s="87">
        <v>0</v>
      </c>
      <c r="L713" s="87">
        <v>0</v>
      </c>
      <c r="M713" s="87">
        <v>0</v>
      </c>
      <c r="N713" s="87">
        <v>0</v>
      </c>
      <c r="O713" s="87">
        <v>0</v>
      </c>
      <c r="P713" s="87">
        <v>0</v>
      </c>
      <c r="Q713" s="87">
        <v>0</v>
      </c>
      <c r="R713" s="87">
        <f>B685</f>
        <v>0</v>
      </c>
      <c r="S713" s="87">
        <v>0</v>
      </c>
      <c r="T713" s="87">
        <v>0</v>
      </c>
      <c r="U713" s="87">
        <v>0</v>
      </c>
      <c r="V713" s="87">
        <v>0</v>
      </c>
      <c r="W713" s="87">
        <v>0</v>
      </c>
      <c r="X713" s="87">
        <v>0</v>
      </c>
      <c r="Y713" s="87">
        <v>0</v>
      </c>
      <c r="Z713" s="87">
        <v>0</v>
      </c>
    </row>
    <row r="714" spans="1:26">
      <c r="A714" s="87" t="str">
        <f t="shared" si="22"/>
        <v>Heavy case load</v>
      </c>
      <c r="B714" s="87">
        <v>0</v>
      </c>
      <c r="C714" s="87">
        <v>0</v>
      </c>
      <c r="D714" s="87">
        <v>0</v>
      </c>
      <c r="E714" s="87">
        <v>0</v>
      </c>
      <c r="F714" s="87">
        <v>0</v>
      </c>
      <c r="G714" s="87">
        <v>0</v>
      </c>
      <c r="H714" s="87">
        <v>0</v>
      </c>
      <c r="I714" s="87">
        <v>0</v>
      </c>
      <c r="J714" s="87">
        <v>0</v>
      </c>
      <c r="K714" s="87">
        <v>0</v>
      </c>
      <c r="L714" s="87">
        <v>0</v>
      </c>
      <c r="M714" s="87">
        <v>0</v>
      </c>
      <c r="N714" s="87">
        <v>0</v>
      </c>
      <c r="O714" s="87">
        <v>0</v>
      </c>
      <c r="P714" s="87">
        <v>0</v>
      </c>
      <c r="Q714" s="87">
        <v>0</v>
      </c>
      <c r="R714" s="87">
        <v>0</v>
      </c>
      <c r="S714" s="87">
        <f>B686</f>
        <v>0</v>
      </c>
      <c r="T714" s="87">
        <v>0</v>
      </c>
      <c r="U714" s="87">
        <v>0</v>
      </c>
      <c r="V714" s="87">
        <v>0</v>
      </c>
      <c r="W714" s="87">
        <v>0</v>
      </c>
      <c r="X714" s="87">
        <v>0</v>
      </c>
      <c r="Y714" s="87">
        <v>0</v>
      </c>
      <c r="Z714" s="87">
        <v>0</v>
      </c>
    </row>
    <row r="715" spans="1:26">
      <c r="A715" s="87" t="str">
        <f t="shared" si="22"/>
        <v>Unknown</v>
      </c>
      <c r="B715" s="87">
        <v>0</v>
      </c>
      <c r="C715" s="87">
        <v>0</v>
      </c>
      <c r="D715" s="87">
        <v>0</v>
      </c>
      <c r="E715" s="87">
        <v>0</v>
      </c>
      <c r="F715" s="87">
        <v>0</v>
      </c>
      <c r="G715" s="87">
        <v>0</v>
      </c>
      <c r="H715" s="87">
        <v>0</v>
      </c>
      <c r="I715" s="87">
        <v>0</v>
      </c>
      <c r="J715" s="87">
        <v>0</v>
      </c>
      <c r="K715" s="87">
        <v>0</v>
      </c>
      <c r="L715" s="87">
        <v>0</v>
      </c>
      <c r="M715" s="87">
        <v>0</v>
      </c>
      <c r="N715" s="87">
        <v>0</v>
      </c>
      <c r="O715" s="87">
        <v>0</v>
      </c>
      <c r="P715" s="87">
        <v>0</v>
      </c>
      <c r="Q715" s="87">
        <v>0</v>
      </c>
      <c r="R715" s="87">
        <v>0</v>
      </c>
      <c r="S715" s="87">
        <v>0</v>
      </c>
      <c r="T715" s="87">
        <f>B687</f>
        <v>0</v>
      </c>
      <c r="U715" s="87">
        <v>0</v>
      </c>
      <c r="V715" s="87">
        <v>0</v>
      </c>
      <c r="W715" s="87">
        <v>0</v>
      </c>
      <c r="X715" s="87">
        <v>0</v>
      </c>
      <c r="Y715" s="87">
        <v>0</v>
      </c>
      <c r="Z715" s="87">
        <v>0</v>
      </c>
    </row>
    <row r="716" spans="1:26">
      <c r="A716" s="87" t="str">
        <f t="shared" si="22"/>
        <v>Program change - Hussmann</v>
      </c>
      <c r="B716" s="87">
        <v>0</v>
      </c>
      <c r="C716" s="87">
        <v>0</v>
      </c>
      <c r="D716" s="87">
        <v>0</v>
      </c>
      <c r="E716" s="87">
        <v>0</v>
      </c>
      <c r="F716" s="87">
        <v>0</v>
      </c>
      <c r="G716" s="87">
        <v>0</v>
      </c>
      <c r="H716" s="87">
        <v>0</v>
      </c>
      <c r="I716" s="87">
        <v>0</v>
      </c>
      <c r="J716" s="87">
        <v>0</v>
      </c>
      <c r="K716" s="87">
        <v>0</v>
      </c>
      <c r="L716" s="87">
        <v>0</v>
      </c>
      <c r="M716" s="87">
        <v>0</v>
      </c>
      <c r="N716" s="87">
        <v>0</v>
      </c>
      <c r="O716" s="87">
        <v>0</v>
      </c>
      <c r="P716" s="87">
        <v>0</v>
      </c>
      <c r="Q716" s="87">
        <v>0</v>
      </c>
      <c r="R716" s="87">
        <v>0</v>
      </c>
      <c r="S716" s="87">
        <v>0</v>
      </c>
      <c r="T716" s="87">
        <v>0</v>
      </c>
      <c r="U716" s="87">
        <f>B688</f>
        <v>0</v>
      </c>
      <c r="V716" s="87">
        <v>0</v>
      </c>
      <c r="W716" s="87">
        <v>0</v>
      </c>
      <c r="X716" s="87">
        <v>0</v>
      </c>
      <c r="Y716" s="87">
        <v>0</v>
      </c>
      <c r="Z716" s="87">
        <v>0</v>
      </c>
    </row>
    <row r="717" spans="1:26">
      <c r="A717" s="87" t="str">
        <f t="shared" si="22"/>
        <v>Wrong program</v>
      </c>
      <c r="B717" s="87">
        <v>0</v>
      </c>
      <c r="C717" s="87">
        <v>0</v>
      </c>
      <c r="D717" s="87">
        <v>0</v>
      </c>
      <c r="E717" s="87">
        <v>0</v>
      </c>
      <c r="F717" s="87">
        <v>0</v>
      </c>
      <c r="G717" s="87">
        <v>0</v>
      </c>
      <c r="H717" s="87">
        <v>0</v>
      </c>
      <c r="I717" s="87">
        <v>0</v>
      </c>
      <c r="J717" s="87">
        <v>0</v>
      </c>
      <c r="K717" s="87">
        <v>0</v>
      </c>
      <c r="L717" s="87">
        <v>0</v>
      </c>
      <c r="M717" s="87">
        <v>0</v>
      </c>
      <c r="N717" s="87">
        <v>0</v>
      </c>
      <c r="O717" s="87">
        <v>0</v>
      </c>
      <c r="P717" s="87">
        <v>0</v>
      </c>
      <c r="Q717" s="87">
        <v>0</v>
      </c>
      <c r="R717" s="87">
        <v>0</v>
      </c>
      <c r="S717" s="87">
        <v>0</v>
      </c>
      <c r="T717" s="87">
        <v>0</v>
      </c>
      <c r="U717" s="87">
        <v>0</v>
      </c>
      <c r="V717" s="87">
        <f>B689</f>
        <v>0</v>
      </c>
      <c r="W717" s="87">
        <v>0</v>
      </c>
      <c r="X717" s="87">
        <v>0</v>
      </c>
      <c r="Y717" s="87">
        <v>0</v>
      </c>
      <c r="Z717" s="87">
        <v>0</v>
      </c>
    </row>
    <row r="718" spans="1:26">
      <c r="A718" s="87" t="str">
        <f t="shared" si="22"/>
        <v/>
      </c>
      <c r="B718" s="87">
        <v>0</v>
      </c>
      <c r="C718" s="87">
        <v>0</v>
      </c>
      <c r="D718" s="87">
        <v>0</v>
      </c>
      <c r="E718" s="87">
        <v>0</v>
      </c>
      <c r="F718" s="87">
        <v>0</v>
      </c>
      <c r="G718" s="87">
        <v>0</v>
      </c>
      <c r="H718" s="87">
        <v>0</v>
      </c>
      <c r="I718" s="87">
        <v>0</v>
      </c>
      <c r="J718" s="87">
        <v>0</v>
      </c>
      <c r="K718" s="87">
        <v>0</v>
      </c>
      <c r="L718" s="87">
        <v>0</v>
      </c>
      <c r="M718" s="87">
        <v>0</v>
      </c>
      <c r="N718" s="87">
        <v>0</v>
      </c>
      <c r="O718" s="87">
        <v>0</v>
      </c>
      <c r="P718" s="87">
        <v>0</v>
      </c>
      <c r="Q718" s="87">
        <v>0</v>
      </c>
      <c r="R718" s="87">
        <v>0</v>
      </c>
      <c r="S718" s="87">
        <v>0</v>
      </c>
      <c r="T718" s="87">
        <v>0</v>
      </c>
      <c r="U718" s="87">
        <v>0</v>
      </c>
      <c r="V718" s="87">
        <v>0</v>
      </c>
      <c r="W718" s="87" t="str">
        <f>B690</f>
        <v/>
      </c>
      <c r="X718" s="87">
        <v>0</v>
      </c>
      <c r="Y718" s="87">
        <v>0</v>
      </c>
      <c r="Z718" s="87">
        <v>0</v>
      </c>
    </row>
    <row r="719" spans="1:26">
      <c r="A719" s="87" t="str">
        <f t="shared" si="22"/>
        <v/>
      </c>
      <c r="B719" s="87">
        <v>0</v>
      </c>
      <c r="C719" s="87">
        <v>0</v>
      </c>
      <c r="D719" s="87">
        <v>0</v>
      </c>
      <c r="E719" s="87">
        <v>0</v>
      </c>
      <c r="F719" s="87">
        <v>0</v>
      </c>
      <c r="G719" s="87">
        <v>0</v>
      </c>
      <c r="H719" s="87">
        <v>0</v>
      </c>
      <c r="I719" s="87">
        <v>0</v>
      </c>
      <c r="J719" s="87">
        <v>0</v>
      </c>
      <c r="K719" s="87">
        <v>0</v>
      </c>
      <c r="L719" s="87">
        <v>0</v>
      </c>
      <c r="M719" s="87">
        <v>0</v>
      </c>
      <c r="N719" s="87">
        <v>0</v>
      </c>
      <c r="O719" s="87">
        <v>0</v>
      </c>
      <c r="P719" s="87">
        <v>0</v>
      </c>
      <c r="Q719" s="87">
        <v>0</v>
      </c>
      <c r="R719" s="87">
        <v>0</v>
      </c>
      <c r="S719" s="87">
        <v>0</v>
      </c>
      <c r="T719" s="87">
        <v>0</v>
      </c>
      <c r="U719" s="87">
        <v>0</v>
      </c>
      <c r="V719" s="87">
        <v>0</v>
      </c>
      <c r="W719" s="87">
        <v>0</v>
      </c>
      <c r="X719" s="87" t="str">
        <f>B691</f>
        <v/>
      </c>
      <c r="Y719" s="87">
        <v>0</v>
      </c>
      <c r="Z719" s="87">
        <v>0</v>
      </c>
    </row>
    <row r="720" spans="1:26">
      <c r="A720" s="87" t="str">
        <f t="shared" si="22"/>
        <v/>
      </c>
      <c r="B720" s="87">
        <v>0</v>
      </c>
      <c r="C720" s="87">
        <v>0</v>
      </c>
      <c r="D720" s="87">
        <v>0</v>
      </c>
      <c r="E720" s="87">
        <v>0</v>
      </c>
      <c r="F720" s="87">
        <v>0</v>
      </c>
      <c r="G720" s="87">
        <v>0</v>
      </c>
      <c r="H720" s="87">
        <v>0</v>
      </c>
      <c r="I720" s="87">
        <v>0</v>
      </c>
      <c r="J720" s="87">
        <v>0</v>
      </c>
      <c r="K720" s="87">
        <v>0</v>
      </c>
      <c r="L720" s="87">
        <v>0</v>
      </c>
      <c r="M720" s="87">
        <v>0</v>
      </c>
      <c r="N720" s="87">
        <v>0</v>
      </c>
      <c r="O720" s="87">
        <v>0</v>
      </c>
      <c r="P720" s="87">
        <v>0</v>
      </c>
      <c r="Q720" s="87">
        <v>0</v>
      </c>
      <c r="R720" s="87">
        <v>0</v>
      </c>
      <c r="S720" s="87">
        <v>0</v>
      </c>
      <c r="T720" s="87">
        <v>0</v>
      </c>
      <c r="U720" s="87">
        <v>0</v>
      </c>
      <c r="V720" s="87">
        <v>0</v>
      </c>
      <c r="W720" s="87">
        <v>0</v>
      </c>
      <c r="X720" s="87">
        <v>0</v>
      </c>
      <c r="Y720" s="87" t="str">
        <f>B692</f>
        <v/>
      </c>
      <c r="Z720" s="87">
        <v>0</v>
      </c>
    </row>
    <row r="721" spans="1:26">
      <c r="A721" s="87" t="str">
        <f t="shared" si="22"/>
        <v/>
      </c>
      <c r="B721" s="87">
        <v>0</v>
      </c>
      <c r="C721" s="87">
        <v>0</v>
      </c>
      <c r="D721" s="87">
        <v>0</v>
      </c>
      <c r="E721" s="87">
        <v>0</v>
      </c>
      <c r="F721" s="87">
        <v>0</v>
      </c>
      <c r="G721" s="87">
        <v>0</v>
      </c>
      <c r="H721" s="87">
        <v>0</v>
      </c>
      <c r="I721" s="87">
        <v>0</v>
      </c>
      <c r="J721" s="87">
        <v>0</v>
      </c>
      <c r="K721" s="87">
        <v>0</v>
      </c>
      <c r="L721" s="87">
        <v>0</v>
      </c>
      <c r="M721" s="87">
        <v>0</v>
      </c>
      <c r="N721" s="87">
        <v>0</v>
      </c>
      <c r="O721" s="87">
        <v>0</v>
      </c>
      <c r="P721" s="87">
        <v>0</v>
      </c>
      <c r="Q721" s="87">
        <v>0</v>
      </c>
      <c r="R721" s="87">
        <v>0</v>
      </c>
      <c r="S721" s="87">
        <v>0</v>
      </c>
      <c r="T721" s="87">
        <v>0</v>
      </c>
      <c r="U721" s="87">
        <v>0</v>
      </c>
      <c r="V721" s="87">
        <v>0</v>
      </c>
      <c r="W721" s="87">
        <v>0</v>
      </c>
      <c r="X721" s="87">
        <v>0</v>
      </c>
      <c r="Y721" s="87">
        <v>0</v>
      </c>
      <c r="Z721" s="87" t="str">
        <f>B693</f>
        <v/>
      </c>
    </row>
    <row r="724" spans="1:26">
      <c r="A724" s="87" t="s">
        <v>1651</v>
      </c>
      <c r="B724" s="87" t="str">
        <f>"RMN4MA - issues after vs before clean point ("&amp;$B$262&amp;")"</f>
        <v>RMN4MA - issues after vs before clean point (Jun 1 to Jul 15)</v>
      </c>
    </row>
  </sheetData>
  <mergeCells count="26">
    <mergeCell ref="A577:H577"/>
    <mergeCell ref="A266:H266"/>
    <mergeCell ref="A267:H267"/>
    <mergeCell ref="A421:H421"/>
    <mergeCell ref="A422:H422"/>
    <mergeCell ref="A576:H576"/>
    <mergeCell ref="A253:C253"/>
    <mergeCell ref="A254:C254"/>
    <mergeCell ref="A184:F184"/>
    <mergeCell ref="A185:F185"/>
    <mergeCell ref="A210:E210"/>
    <mergeCell ref="A211:E211"/>
    <mergeCell ref="A241:D241"/>
    <mergeCell ref="A242:D242"/>
    <mergeCell ref="A154:AA154"/>
    <mergeCell ref="A3:F3"/>
    <mergeCell ref="A4:F4"/>
    <mergeCell ref="A33:G33"/>
    <mergeCell ref="A34:G34"/>
    <mergeCell ref="A63:D63"/>
    <mergeCell ref="A64:D64"/>
    <mergeCell ref="A93:D93"/>
    <mergeCell ref="A94:D94"/>
    <mergeCell ref="A123:F123"/>
    <mergeCell ref="A124:F124"/>
    <mergeCell ref="A153:AA15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14"/>
  <sheetViews>
    <sheetView showGridLines="0" workbookViewId="0">
      <selection activeCell="D19" sqref="D19"/>
    </sheetView>
  </sheetViews>
  <sheetFormatPr defaultRowHeight="13.8"/>
  <cols>
    <col min="1" max="1" width="33.796875" bestFit="1" customWidth="1"/>
    <col min="2" max="2" width="6.09765625" bestFit="1" customWidth="1"/>
    <col min="3" max="3" width="6.796875" bestFit="1" customWidth="1"/>
    <col min="4" max="4" width="77.8984375" bestFit="1" customWidth="1"/>
    <col min="5" max="5" width="23.59765625" bestFit="1" customWidth="1"/>
  </cols>
  <sheetData>
    <row r="1" spans="1:5" ht="17.399999999999999">
      <c r="A1" s="1" t="s">
        <v>1602</v>
      </c>
      <c r="B1" s="1"/>
      <c r="C1" s="1"/>
      <c r="D1" s="1"/>
      <c r="E1" s="1"/>
    </row>
    <row r="3" spans="1:5">
      <c r="A3" s="89" t="s">
        <v>1286</v>
      </c>
      <c r="B3" s="90" t="s">
        <v>1287</v>
      </c>
      <c r="C3" s="90" t="s">
        <v>1259</v>
      </c>
      <c r="D3" s="90" t="s">
        <v>1288</v>
      </c>
      <c r="E3" s="91" t="s">
        <v>1289</v>
      </c>
    </row>
    <row r="4" spans="1:5">
      <c r="A4" s="3" t="s">
        <v>1603</v>
      </c>
      <c r="B4">
        <f>SUMPRODUCT(--(Summary!$E$5:$E$241&lt;&gt;""))</f>
        <v>157</v>
      </c>
      <c r="C4" s="2" t="str">
        <f>IF(B4&gt;=0,"OK","Review")</f>
        <v>OK</v>
      </c>
      <c r="D4" s="2" t="s">
        <v>1604</v>
      </c>
      <c r="E4" s="4" t="s">
        <v>1290</v>
      </c>
    </row>
    <row r="5" spans="1:5">
      <c r="A5" s="3" t="s">
        <v>1291</v>
      </c>
      <c r="B5" s="2">
        <f>SUMPRODUCT(--(Settings!$A$4:$A$59&lt;&gt;""))</f>
        <v>26</v>
      </c>
      <c r="C5" s="2" t="str">
        <f>IF(B5&gt;0,"OK","Review")</f>
        <v>OK</v>
      </c>
      <c r="D5" s="2" t="s">
        <v>1605</v>
      </c>
      <c r="E5" s="4" t="s">
        <v>1292</v>
      </c>
    </row>
    <row r="6" spans="1:5">
      <c r="A6" s="3" t="s">
        <v>1293</v>
      </c>
      <c r="B6">
        <f>SUMPRODUCT(--(Summary!$E$5:$E$241&lt;&gt;""),--ISNA(MATCH(Summary!$E$5:$E$241,Settings!$A$4:$A$59,0)))</f>
        <v>0</v>
      </c>
      <c r="C6" s="2" t="str">
        <f>IF(B6=0,"OK","Review")</f>
        <v>OK</v>
      </c>
      <c r="D6" s="2" t="s">
        <v>1294</v>
      </c>
      <c r="E6" s="4" t="s">
        <v>1295</v>
      </c>
    </row>
    <row r="7" spans="1:5">
      <c r="A7" s="3" t="s">
        <v>1296</v>
      </c>
      <c r="B7">
        <f>SUMPRODUCT(--(Summary!$B$5:$B$241&lt;&gt;""),--(Summary!$E$5:$E$241=""))</f>
        <v>0</v>
      </c>
      <c r="C7" s="2" t="str">
        <f>IF(B7=0,"OK","Review")</f>
        <v>OK</v>
      </c>
      <c r="D7" s="2" t="s">
        <v>1297</v>
      </c>
      <c r="E7" s="4" t="s">
        <v>1290</v>
      </c>
    </row>
    <row r="8" spans="1:5">
      <c r="A8" s="3" t="s">
        <v>1298</v>
      </c>
      <c r="B8">
        <f>SUMPRODUCT(--(Summary!$B$5:$B$241&lt;&gt;""),--(Summary!$E$5:$E$241&lt;&gt;""),--(Summary!$D$5:$D$241=""))</f>
        <v>6</v>
      </c>
      <c r="C8" s="2" t="str">
        <f>IF(B8=0,"OK","Review")</f>
        <v>Review</v>
      </c>
      <c r="D8" s="2" t="s">
        <v>1299</v>
      </c>
      <c r="E8" s="4" t="s">
        <v>1300</v>
      </c>
    </row>
    <row r="9" spans="1:5">
      <c r="A9" s="5" t="s">
        <v>1301</v>
      </c>
      <c r="B9" s="7">
        <v>121</v>
      </c>
      <c r="C9" s="7" t="s">
        <v>1302</v>
      </c>
      <c r="D9" s="7" t="s">
        <v>1303</v>
      </c>
      <c r="E9" s="6" t="s">
        <v>1304</v>
      </c>
    </row>
    <row r="10" spans="1:5">
      <c r="A10" t="s">
        <v>1606</v>
      </c>
      <c r="B10">
        <f>SUMPRODUCT(--(Calc_Charts!$A$187:$A$206&lt;&gt;TEXT(Calc_Weekly!$A$155:$A$174,"mm/dd")))+SUMPRODUCT(--(Calc_Charts!$C$187:$C$206&lt;&gt;TEXT(Calc_Weekly!$A$106:$A$125,"mm/dd")))</f>
        <v>0</v>
      </c>
      <c r="C10" t="str">
        <f>IF(B10=0,"OK","Review")</f>
        <v>OK</v>
      </c>
      <c r="D10" t="s">
        <v>1607</v>
      </c>
    </row>
    <row r="11" spans="1:5">
      <c r="A11" t="s">
        <v>1608</v>
      </c>
      <c r="B11">
        <f>SUMPRODUCT(--(Settings!$A$4:$A$59&lt;&gt;""),--(Settings!$H$4:$H$59=""))</f>
        <v>0</v>
      </c>
      <c r="C11" t="str">
        <f>IF(B11=0,"OK","Review")</f>
        <v>OK</v>
      </c>
      <c r="D11" t="s">
        <v>1609</v>
      </c>
    </row>
    <row r="12" spans="1:5">
      <c r="A12" t="s">
        <v>1657</v>
      </c>
      <c r="B12">
        <f>SUM(Calc_Charts!D359:D383)-SUMPRODUCT((Calc_Charts!$A$244:$A$249=Calc_Charts!B269)*Calc_Charts!$B$244:$B$249)</f>
        <v>0</v>
      </c>
      <c r="C12" t="str">
        <f>IF(B12=0,"OK","Review")</f>
        <v>OK</v>
      </c>
      <c r="D12" t="s">
        <v>1660</v>
      </c>
      <c r="E12" t="s">
        <v>1661</v>
      </c>
    </row>
    <row r="13" spans="1:5">
      <c r="A13" t="s">
        <v>1658</v>
      </c>
      <c r="B13">
        <f>SUM(Calc_Charts!D514:D538)-SUMPRODUCT((Calc_Charts!$A$244:$A$249=Calc_Charts!B424)*Calc_Charts!$B$244:$B$249)</f>
        <v>0</v>
      </c>
      <c r="C13" t="str">
        <f>IF(B13=0,"OK","Review")</f>
        <v>OK</v>
      </c>
      <c r="D13" t="s">
        <v>1660</v>
      </c>
      <c r="E13" t="s">
        <v>1661</v>
      </c>
    </row>
    <row r="14" spans="1:5">
      <c r="A14" t="s">
        <v>1659</v>
      </c>
      <c r="B14">
        <f>SUM(Calc_Charts!D669:D693)-SUMPRODUCT((Calc_Charts!$A$244:$A$249=Calc_Charts!B579)*Calc_Charts!$B$244:$B$249)</f>
        <v>0</v>
      </c>
      <c r="C14" t="str">
        <f>IF(B14=0,"OK","Review")</f>
        <v>OK</v>
      </c>
      <c r="D14" t="s">
        <v>1660</v>
      </c>
      <c r="E14" t="s">
        <v>1661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showGridLines="0" topLeftCell="C1" workbookViewId="0">
      <selection activeCell="A20" sqref="A20"/>
    </sheetView>
  </sheetViews>
  <sheetFormatPr defaultRowHeight="13.8"/>
  <cols>
    <col min="1" max="2" width="28" customWidth="1"/>
    <col min="3" max="11" width="16" customWidth="1"/>
  </cols>
  <sheetData>
    <row r="1" spans="1:11" ht="17.399999999999999">
      <c r="A1" s="1" t="s">
        <v>1276</v>
      </c>
      <c r="B1" s="1"/>
      <c r="C1" s="1"/>
      <c r="D1" s="1"/>
      <c r="E1" s="1"/>
      <c r="F1" s="1"/>
      <c r="G1" s="1"/>
      <c r="H1" s="1"/>
      <c r="I1" s="1"/>
      <c r="J1" s="1"/>
      <c r="K1" s="1"/>
    </row>
    <row r="3" spans="1:11">
      <c r="A3" s="80" t="s">
        <v>1139</v>
      </c>
      <c r="B3" s="81" t="s">
        <v>1257</v>
      </c>
      <c r="C3" s="81" t="s">
        <v>1277</v>
      </c>
      <c r="D3" s="81" t="s">
        <v>1278</v>
      </c>
      <c r="E3" s="81" t="s">
        <v>1141</v>
      </c>
      <c r="F3" s="82" t="s">
        <v>1260</v>
      </c>
      <c r="H3" s="80" t="s">
        <v>1257</v>
      </c>
      <c r="I3" s="81" t="s">
        <v>1277</v>
      </c>
      <c r="J3" s="81" t="s">
        <v>1278</v>
      </c>
      <c r="K3" s="82" t="s">
        <v>1141</v>
      </c>
    </row>
    <row r="4" spans="1:11">
      <c r="A4" s="3" t="str">
        <f>Settings!A4</f>
        <v>Ref. leak/ Low charge</v>
      </c>
      <c r="B4" s="2" t="str">
        <f>Settings!B4</f>
        <v>Ref. leak/ Low charge</v>
      </c>
      <c r="C4">
        <f>IF(A4="","",SUMPRODUCT(--(Summary!$E$5:$E$241=A4)))</f>
        <v>13</v>
      </c>
      <c r="D4">
        <f ca="1">IF(A4="","",SUMPRODUCT(SUBTOTAL(103,OFFSET(Summary!$E$5,ROW(Summary!$E$5:$E$241)-ROW(Summary!$E$5),0,1)),--(Summary!$E$5:$E$241=A4)))</f>
        <v>0</v>
      </c>
      <c r="E4">
        <f>IF(A4="","",COUNTIFS(Summary!$E$5:$E$241,A4,Summary!$G$5:$G$241,"Yes"))</f>
        <v>2</v>
      </c>
      <c r="F4" s="20">
        <f>Settings!E4</f>
        <v>46132</v>
      </c>
      <c r="H4" s="3" t="str">
        <f>Graphs!$Q$8</f>
        <v>Ref. leak/ Low charge</v>
      </c>
      <c r="I4" s="2">
        <f t="shared" ref="I4:I35" si="0">IF(H4="","",SUMIFS($C$4:$C$59,$B$4:$B$59,H4))</f>
        <v>13</v>
      </c>
      <c r="J4" s="2">
        <f t="shared" ref="J4:J35" ca="1" si="1">IF(H4="","",SUMIFS($D$4:$D$59,$B$4:$B$59,H4))</f>
        <v>0</v>
      </c>
      <c r="K4" s="4">
        <f t="shared" ref="K4:K35" si="2">IF(H4="","",SUMIFS($E$4:$E$59,$B$4:$B$59,H4))</f>
        <v>2</v>
      </c>
    </row>
    <row r="5" spans="1:11">
      <c r="A5" s="3" t="str">
        <f>Settings!A5</f>
        <v>Door Torque</v>
      </c>
      <c r="B5" s="2" t="str">
        <f>Settings!B5</f>
        <v>Doors</v>
      </c>
      <c r="C5">
        <f>IF(A5="","",SUMPRODUCT(--(Summary!$E$5:$E$241=A5)))</f>
        <v>13</v>
      </c>
      <c r="D5">
        <f ca="1">IF(A5="","",SUMPRODUCT(SUBTOTAL(103,OFFSET(Summary!$E$5,ROW(Summary!$E$5:$E$241)-ROW(Summary!$E$5),0,1)),--(Summary!$E$5:$E$241=A5)))</f>
        <v>3</v>
      </c>
      <c r="E5">
        <f>IF(A5="","",COUNTIFS(Summary!$E$5:$E$241,A5,Summary!$G$5:$G$241,"Yes"))</f>
        <v>1</v>
      </c>
      <c r="F5" s="20">
        <f>Settings!E5</f>
        <v>46178</v>
      </c>
      <c r="H5" s="3" t="str">
        <f>Graphs!$Q$9</f>
        <v>Doors</v>
      </c>
      <c r="I5" s="2">
        <f t="shared" si="0"/>
        <v>41</v>
      </c>
      <c r="J5" s="2">
        <f t="shared" ca="1" si="1"/>
        <v>14</v>
      </c>
      <c r="K5" s="4">
        <f t="shared" si="2"/>
        <v>5</v>
      </c>
    </row>
    <row r="6" spans="1:11">
      <c r="A6" s="3" t="str">
        <f>Settings!A6</f>
        <v>Door Gasket</v>
      </c>
      <c r="B6" s="2" t="str">
        <f>Settings!B6</f>
        <v>Doors</v>
      </c>
      <c r="C6">
        <f>IF(A6="","",SUMPRODUCT(--(Summary!$E$5:$E$241=A6)))</f>
        <v>3</v>
      </c>
      <c r="D6">
        <f ca="1">IF(A6="","",SUMPRODUCT(SUBTOTAL(103,OFFSET(Summary!$E$5,ROW(Summary!$E$5:$E$241)-ROW(Summary!$E$5),0,1)),--(Summary!$E$5:$E$241=A6)))</f>
        <v>1</v>
      </c>
      <c r="E6">
        <f>IF(A6="","",COUNTIFS(Summary!$E$5:$E$241,A6,Summary!$G$5:$G$241,"Yes"))</f>
        <v>0</v>
      </c>
      <c r="F6" s="20">
        <f>Settings!E6</f>
        <v>46178</v>
      </c>
      <c r="H6" s="3" t="str">
        <f>Graphs!$Q$10</f>
        <v>Drain tube blocked</v>
      </c>
      <c r="I6" s="2">
        <f t="shared" si="0"/>
        <v>10</v>
      </c>
      <c r="J6" s="2">
        <f t="shared" ca="1" si="1"/>
        <v>3</v>
      </c>
      <c r="K6" s="4">
        <f t="shared" si="2"/>
        <v>0</v>
      </c>
    </row>
    <row r="7" spans="1:11">
      <c r="A7" s="3" t="str">
        <f>Settings!A7</f>
        <v>Door frame heater</v>
      </c>
      <c r="B7" s="2" t="str">
        <f>Settings!B7</f>
        <v>Doors</v>
      </c>
      <c r="C7">
        <f>IF(A7="","",SUMPRODUCT(--(Summary!$E$5:$E$241=A7)))</f>
        <v>4</v>
      </c>
      <c r="D7">
        <f ca="1">IF(A7="","",SUMPRODUCT(SUBTOTAL(103,OFFSET(Summary!$E$5,ROW(Summary!$E$5:$E$241)-ROW(Summary!$E$5),0,1)),--(Summary!$E$5:$E$241=A7)))</f>
        <v>3</v>
      </c>
      <c r="E7">
        <f>IF(A7="","",COUNTIFS(Summary!$E$5:$E$241,A7,Summary!$G$5:$G$241,"Yes"))</f>
        <v>0</v>
      </c>
      <c r="F7" s="20">
        <f>Settings!E7</f>
        <v>46178</v>
      </c>
      <c r="H7" s="3" t="str">
        <f>Graphs!$Q$11</f>
        <v>Wrong / Loose wiring</v>
      </c>
      <c r="I7" s="2">
        <f t="shared" si="0"/>
        <v>7</v>
      </c>
      <c r="J7" s="2">
        <f t="shared" ca="1" si="1"/>
        <v>2</v>
      </c>
      <c r="K7" s="4">
        <f t="shared" si="2"/>
        <v>2</v>
      </c>
    </row>
    <row r="8" spans="1:11">
      <c r="A8" s="3" t="str">
        <f>Settings!A8</f>
        <v>Door Torsion rod</v>
      </c>
      <c r="B8" s="2" t="str">
        <f>Settings!B8</f>
        <v>Doors</v>
      </c>
      <c r="C8">
        <f>IF(A8="","",SUMPRODUCT(--(Summary!$E$5:$E$241=A8)))</f>
        <v>1</v>
      </c>
      <c r="D8">
        <f ca="1">IF(A8="","",SUMPRODUCT(SUBTOTAL(103,OFFSET(Summary!$E$5,ROW(Summary!$E$5:$E$241)-ROW(Summary!$E$5),0,1)),--(Summary!$E$5:$E$241=A8)))</f>
        <v>0</v>
      </c>
      <c r="E8">
        <f>IF(A8="","",COUNTIFS(Summary!$E$5:$E$241,A8,Summary!$G$5:$G$241,"Yes"))</f>
        <v>1</v>
      </c>
      <c r="F8" s="20">
        <f>Settings!E8</f>
        <v>46178</v>
      </c>
      <c r="H8" s="3" t="str">
        <f>Graphs!$Q$12</f>
        <v>Communication problem</v>
      </c>
      <c r="I8" s="2">
        <f t="shared" si="0"/>
        <v>9</v>
      </c>
      <c r="J8" s="2">
        <f t="shared" ca="1" si="1"/>
        <v>0</v>
      </c>
      <c r="K8" s="4">
        <f t="shared" si="2"/>
        <v>1</v>
      </c>
    </row>
    <row r="9" spans="1:11">
      <c r="A9" s="3" t="str">
        <f>Settings!A9</f>
        <v>Door not closed (Overnight)</v>
      </c>
      <c r="B9" s="2" t="str">
        <f>Settings!B9</f>
        <v>Doors</v>
      </c>
      <c r="C9">
        <f>IF(A9="","",SUMPRODUCT(--(Summary!$E$5:$E$241=A9)))</f>
        <v>14</v>
      </c>
      <c r="D9">
        <f ca="1">IF(A9="","",SUMPRODUCT(SUBTOTAL(103,OFFSET(Summary!$E$5,ROW(Summary!$E$5:$E$241)-ROW(Summary!$E$5),0,1)),--(Summary!$E$5:$E$241=A9)))</f>
        <v>6</v>
      </c>
      <c r="E9">
        <f>IF(A9="","",COUNTIFS(Summary!$E$5:$E$241,A9,Summary!$G$5:$G$241,"Yes"))</f>
        <v>2</v>
      </c>
      <c r="F9" s="20">
        <f>Settings!E9</f>
        <v>46178</v>
      </c>
      <c r="H9" s="3" t="str">
        <f>Graphs!$Q$13</f>
        <v>High Store RH</v>
      </c>
      <c r="I9" s="2">
        <f t="shared" si="0"/>
        <v>13</v>
      </c>
      <c r="J9" s="2">
        <f t="shared" ca="1" si="1"/>
        <v>5</v>
      </c>
      <c r="K9" s="4">
        <f t="shared" si="2"/>
        <v>4</v>
      </c>
    </row>
    <row r="10" spans="1:11">
      <c r="A10" s="3" t="str">
        <f>Settings!A10</f>
        <v>Door - general</v>
      </c>
      <c r="B10" s="2" t="str">
        <f>Settings!B10</f>
        <v>Doors</v>
      </c>
      <c r="C10">
        <f>IF(A10="","",SUMPRODUCT(--(Summary!$E$5:$E$241=A10)))</f>
        <v>6</v>
      </c>
      <c r="D10">
        <f ca="1">IF(A10="","",SUMPRODUCT(SUBTOTAL(103,OFFSET(Summary!$E$5,ROW(Summary!$E$5:$E$241)-ROW(Summary!$E$5),0,1)),--(Summary!$E$5:$E$241=A10)))</f>
        <v>1</v>
      </c>
      <c r="E10">
        <f>IF(A10="","",COUNTIFS(Summary!$E$5:$E$241,A10,Summary!$G$5:$G$241,"Yes"))</f>
        <v>1</v>
      </c>
      <c r="F10" s="20">
        <f>Settings!E10</f>
        <v>46178</v>
      </c>
      <c r="H10" s="3" t="str">
        <f>Graphs!$Q$14</f>
        <v>Enclosure Seal</v>
      </c>
      <c r="I10" s="2">
        <f t="shared" si="0"/>
        <v>3</v>
      </c>
      <c r="J10" s="2">
        <f t="shared" ca="1" si="1"/>
        <v>0</v>
      </c>
      <c r="K10" s="4">
        <f t="shared" si="2"/>
        <v>0</v>
      </c>
    </row>
    <row r="11" spans="1:11">
      <c r="A11" s="3" t="str">
        <f>Settings!A11</f>
        <v>Drain tube blocked</v>
      </c>
      <c r="B11" s="2" t="str">
        <f>Settings!B11</f>
        <v>Drain tube blocked</v>
      </c>
      <c r="C11">
        <f>IF(A11="","",SUMPRODUCT(--(Summary!$E$5:$E$241=A11)))</f>
        <v>10</v>
      </c>
      <c r="D11">
        <f ca="1">IF(A11="","",SUMPRODUCT(SUBTOTAL(103,OFFSET(Summary!$E$5,ROW(Summary!$E$5:$E$241)-ROW(Summary!$E$5),0,1)),--(Summary!$E$5:$E$241=A11)))</f>
        <v>3</v>
      </c>
      <c r="E11">
        <f>IF(A11="","",COUNTIFS(Summary!$E$5:$E$241,A11,Summary!$G$5:$G$241,"Yes"))</f>
        <v>0</v>
      </c>
      <c r="F11" s="20">
        <f>Settings!E11</f>
        <v>46213</v>
      </c>
      <c r="H11" s="3" t="str">
        <f>Graphs!$Q$15</f>
        <v>Component Failure</v>
      </c>
      <c r="I11" s="2">
        <f t="shared" si="0"/>
        <v>6</v>
      </c>
      <c r="J11" s="2">
        <f t="shared" ca="1" si="1"/>
        <v>0</v>
      </c>
      <c r="K11" s="4">
        <f t="shared" si="2"/>
        <v>0</v>
      </c>
    </row>
    <row r="12" spans="1:11">
      <c r="A12" s="3" t="str">
        <f>Settings!A12</f>
        <v>Wrong / Loose wiring</v>
      </c>
      <c r="B12" s="2" t="str">
        <f>Settings!B12</f>
        <v>Wrong / Loose wiring</v>
      </c>
      <c r="C12">
        <f>IF(A12="","",SUMPRODUCT(--(Summary!$E$5:$E$241=A12)))</f>
        <v>7</v>
      </c>
      <c r="D12">
        <f ca="1">IF(A12="","",SUMPRODUCT(SUBTOTAL(103,OFFSET(Summary!$E$5,ROW(Summary!$E$5:$E$241)-ROW(Summary!$E$5),0,1)),--(Summary!$E$5:$E$241=A12)))</f>
        <v>2</v>
      </c>
      <c r="E12">
        <f>IF(A12="","",COUNTIFS(Summary!$E$5:$E$241,A12,Summary!$G$5:$G$241,"Yes"))</f>
        <v>2</v>
      </c>
      <c r="F12" s="20">
        <f>Settings!E12</f>
        <v>46108</v>
      </c>
      <c r="H12" s="3" t="str">
        <f>Graphs!$Q$16</f>
        <v>Defrost Sync</v>
      </c>
      <c r="I12" s="2">
        <f t="shared" si="0"/>
        <v>4</v>
      </c>
      <c r="J12" s="2">
        <f t="shared" ca="1" si="1"/>
        <v>0</v>
      </c>
      <c r="K12" s="4">
        <f t="shared" si="2"/>
        <v>0</v>
      </c>
    </row>
    <row r="13" spans="1:11">
      <c r="A13" s="3" t="str">
        <f>Settings!A13</f>
        <v>Communication problem</v>
      </c>
      <c r="B13" s="2" t="str">
        <f>Settings!B13</f>
        <v>Communication problem</v>
      </c>
      <c r="C13">
        <f>IF(A13="","",SUMPRODUCT(--(Summary!$E$5:$E$241=A13)))</f>
        <v>9</v>
      </c>
      <c r="D13">
        <f ca="1">IF(A13="","",SUMPRODUCT(SUBTOTAL(103,OFFSET(Summary!$E$5,ROW(Summary!$E$5:$E$241)-ROW(Summary!$E$5),0,1)),--(Summary!$E$5:$E$241=A13)))</f>
        <v>0</v>
      </c>
      <c r="E13">
        <f>IF(A13="","",COUNTIFS(Summary!$E$5:$E$241,A13,Summary!$G$5:$G$241,"Yes"))</f>
        <v>1</v>
      </c>
      <c r="F13" s="20">
        <f>Settings!E13</f>
        <v>46191</v>
      </c>
      <c r="H13" s="3" t="str">
        <f>Graphs!$Q$17</f>
        <v>False Alarm</v>
      </c>
      <c r="I13" s="2">
        <f t="shared" si="0"/>
        <v>15</v>
      </c>
      <c r="J13" s="2">
        <f t="shared" ca="1" si="1"/>
        <v>4</v>
      </c>
      <c r="K13" s="4">
        <f t="shared" si="2"/>
        <v>5</v>
      </c>
    </row>
    <row r="14" spans="1:11">
      <c r="A14" s="3" t="str">
        <f>Settings!A14</f>
        <v>High Store RH</v>
      </c>
      <c r="B14" s="2" t="str">
        <f>Settings!B14</f>
        <v>High Store RH</v>
      </c>
      <c r="C14">
        <f>IF(A14="","",SUMPRODUCT(--(Summary!$E$5:$E$241=A14)))</f>
        <v>13</v>
      </c>
      <c r="D14">
        <f ca="1">IF(A14="","",SUMPRODUCT(SUBTOTAL(103,OFFSET(Summary!$E$5,ROW(Summary!$E$5:$E$241)-ROW(Summary!$E$5),0,1)),--(Summary!$E$5:$E$241=A14)))</f>
        <v>5</v>
      </c>
      <c r="E14">
        <f>IF(A14="","",COUNTIFS(Summary!$E$5:$E$241,A14,Summary!$G$5:$G$241,"Yes"))</f>
        <v>4</v>
      </c>
      <c r="F14" s="20">
        <f>Settings!E14</f>
        <v>46171</v>
      </c>
      <c r="H14" s="3" t="str">
        <f>Graphs!$Q$18</f>
        <v>Setpoint change</v>
      </c>
      <c r="I14" s="2">
        <f t="shared" si="0"/>
        <v>1</v>
      </c>
      <c r="J14" s="2">
        <f t="shared" ca="1" si="1"/>
        <v>1</v>
      </c>
      <c r="K14" s="4">
        <f t="shared" si="2"/>
        <v>1</v>
      </c>
    </row>
    <row r="15" spans="1:11">
      <c r="A15" s="3" t="str">
        <f>Settings!A15</f>
        <v>Enclosure Seal</v>
      </c>
      <c r="B15" s="2" t="str">
        <f>Settings!B15</f>
        <v>Enclosure Seal</v>
      </c>
      <c r="C15">
        <f>IF(A15="","",SUMPRODUCT(--(Summary!$E$5:$E$241=A15)))</f>
        <v>3</v>
      </c>
      <c r="D15">
        <f ca="1">IF(A15="","",SUMPRODUCT(SUBTOTAL(103,OFFSET(Summary!$E$5,ROW(Summary!$E$5:$E$241)-ROW(Summary!$E$5),0,1)),--(Summary!$E$5:$E$241=A15)))</f>
        <v>0</v>
      </c>
      <c r="E15">
        <f>IF(A15="","",COUNTIFS(Summary!$E$5:$E$241,A15,Summary!$G$5:$G$241,"Yes"))</f>
        <v>0</v>
      </c>
      <c r="F15" s="20">
        <f>Settings!E15</f>
        <v>46135</v>
      </c>
      <c r="H15" s="3" t="str">
        <f>Graphs!$Q$19</f>
        <v>Overstocking</v>
      </c>
      <c r="I15" s="2">
        <f t="shared" si="0"/>
        <v>4</v>
      </c>
      <c r="J15" s="2">
        <f t="shared" ca="1" si="1"/>
        <v>2</v>
      </c>
      <c r="K15" s="4">
        <f t="shared" si="2"/>
        <v>3</v>
      </c>
    </row>
    <row r="16" spans="1:11">
      <c r="A16" s="3" t="str">
        <f>Settings!A16</f>
        <v>Component Failure</v>
      </c>
      <c r="B16" s="2" t="str">
        <f>Settings!B16</f>
        <v>Component Failure</v>
      </c>
      <c r="C16">
        <f>IF(A16="","",SUMPRODUCT(--(Summary!$E$5:$E$241=A16)))</f>
        <v>6</v>
      </c>
      <c r="D16">
        <f ca="1">IF(A16="","",SUMPRODUCT(SUBTOTAL(103,OFFSET(Summary!$E$5,ROW(Summary!$E$5:$E$241)-ROW(Summary!$E$5),0,1)),--(Summary!$E$5:$E$241=A16)))</f>
        <v>0</v>
      </c>
      <c r="E16">
        <f>IF(A16="","",COUNTIFS(Summary!$E$5:$E$241,A16,Summary!$G$5:$G$241,"Yes"))</f>
        <v>0</v>
      </c>
      <c r="F16" s="20">
        <f>Settings!E16</f>
        <v>0</v>
      </c>
      <c r="H16" s="3" t="str">
        <f>Graphs!$Q$20</f>
        <v>Case End Seal</v>
      </c>
      <c r="I16" s="2">
        <f t="shared" si="0"/>
        <v>1</v>
      </c>
      <c r="J16" s="2">
        <f t="shared" ca="1" si="1"/>
        <v>0</v>
      </c>
      <c r="K16" s="4">
        <f t="shared" si="2"/>
        <v>0</v>
      </c>
    </row>
    <row r="17" spans="1:11">
      <c r="A17" s="3" t="str">
        <f>Settings!A17</f>
        <v>Defrost Sync</v>
      </c>
      <c r="B17" s="2" t="str">
        <f>Settings!B17</f>
        <v>Defrost Sync</v>
      </c>
      <c r="C17">
        <f>IF(A17="","",SUMPRODUCT(--(Summary!$E$5:$E$241=A17)))</f>
        <v>4</v>
      </c>
      <c r="D17">
        <f ca="1">IF(A17="","",SUMPRODUCT(SUBTOTAL(103,OFFSET(Summary!$E$5,ROW(Summary!$E$5:$E$241)-ROW(Summary!$E$5),0,1)),--(Summary!$E$5:$E$241=A17)))</f>
        <v>0</v>
      </c>
      <c r="E17">
        <f>IF(A17="","",COUNTIFS(Summary!$E$5:$E$241,A17,Summary!$G$5:$G$241,"Yes"))</f>
        <v>0</v>
      </c>
      <c r="F17" s="20">
        <f>Settings!E17</f>
        <v>46185</v>
      </c>
      <c r="H17" s="3" t="str">
        <f>Graphs!$Q$21</f>
        <v>Return Air blocked</v>
      </c>
      <c r="I17" s="2">
        <f t="shared" si="0"/>
        <v>1</v>
      </c>
      <c r="J17" s="2">
        <f t="shared" ca="1" si="1"/>
        <v>0</v>
      </c>
      <c r="K17" s="4">
        <f t="shared" si="2"/>
        <v>0</v>
      </c>
    </row>
    <row r="18" spans="1:11">
      <c r="A18" s="3" t="str">
        <f>Settings!A18</f>
        <v>False Alarm</v>
      </c>
      <c r="B18" s="2" t="str">
        <f>Settings!B18</f>
        <v>False Alarm</v>
      </c>
      <c r="C18">
        <f>IF(A18="","",SUMPRODUCT(--(Summary!$E$5:$E$241=A18)))</f>
        <v>15</v>
      </c>
      <c r="D18">
        <f ca="1">IF(A18="","",SUMPRODUCT(SUBTOTAL(103,OFFSET(Summary!$E$5,ROW(Summary!$E$5:$E$241)-ROW(Summary!$E$5),0,1)),--(Summary!$E$5:$E$241=A18)))</f>
        <v>4</v>
      </c>
      <c r="E18">
        <f>IF(A18="","",COUNTIFS(Summary!$E$5:$E$241,A18,Summary!$G$5:$G$241,"Yes"))</f>
        <v>5</v>
      </c>
      <c r="F18" s="20">
        <f>Settings!E18</f>
        <v>46164</v>
      </c>
      <c r="H18" s="3" t="str">
        <f>Graphs!$Q$22</f>
        <v>Unidentified air leak</v>
      </c>
      <c r="I18" s="2">
        <f t="shared" si="0"/>
        <v>3</v>
      </c>
      <c r="J18" s="2">
        <f t="shared" ca="1" si="1"/>
        <v>1</v>
      </c>
      <c r="K18" s="4">
        <f t="shared" si="2"/>
        <v>0</v>
      </c>
    </row>
    <row r="19" spans="1:11">
      <c r="A19" s="3" t="s">
        <v>1173</v>
      </c>
      <c r="B19" s="2" t="s">
        <v>1173</v>
      </c>
      <c r="C19">
        <f>IF(A19="","",SUMPRODUCT(--(Summary!$E$5:$E$241=A19)))</f>
        <v>1</v>
      </c>
      <c r="D19">
        <f ca="1">IF(A19="","",SUMPRODUCT(SUBTOTAL(103,OFFSET(Summary!$E$5,ROW(Summary!$E$5:$E$241)-ROW(Summary!$E$5),0,1)),--(Summary!$E$5:$E$241=A19)))</f>
        <v>1</v>
      </c>
      <c r="E19">
        <f>IF(A19="","",COUNTIFS(Summary!$E$5:$E$241,A19,Summary!$G$5:$G$241,"Yes"))</f>
        <v>1</v>
      </c>
      <c r="F19" s="20">
        <f>Settings!E19</f>
        <v>46097</v>
      </c>
      <c r="H19" s="3" t="str">
        <f>Graphs!$Q$23</f>
        <v>Freedom</v>
      </c>
      <c r="I19" s="2">
        <f t="shared" si="0"/>
        <v>5</v>
      </c>
      <c r="J19" s="2">
        <f t="shared" ca="1" si="1"/>
        <v>0</v>
      </c>
      <c r="K19" s="4">
        <f t="shared" si="2"/>
        <v>0</v>
      </c>
    </row>
    <row r="20" spans="1:11">
      <c r="A20" s="3" t="str">
        <f>Settings!A20</f>
        <v>Overstocking</v>
      </c>
      <c r="B20" s="2" t="str">
        <f>Settings!B20</f>
        <v>Overstocking</v>
      </c>
      <c r="C20">
        <f>IF(A20="","",SUMPRODUCT(--(Summary!$E$5:$E$241=A20)))</f>
        <v>4</v>
      </c>
      <c r="D20">
        <f ca="1">IF(A20="","",SUMPRODUCT(SUBTOTAL(103,OFFSET(Summary!$E$5,ROW(Summary!$E$5:$E$241)-ROW(Summary!$E$5),0,1)),--(Summary!$E$5:$E$241=A20)))</f>
        <v>2</v>
      </c>
      <c r="E20">
        <f>IF(A20="","",COUNTIFS(Summary!$E$5:$E$241,A20,Summary!$G$5:$G$241,"Yes"))</f>
        <v>3</v>
      </c>
      <c r="F20" s="20">
        <f>Settings!E20</f>
        <v>46171</v>
      </c>
      <c r="H20" s="3" t="str">
        <f>Graphs!$Q$24</f>
        <v>Heavy case load</v>
      </c>
      <c r="I20" s="2">
        <f t="shared" si="0"/>
        <v>1</v>
      </c>
      <c r="J20" s="2">
        <f t="shared" ca="1" si="1"/>
        <v>0</v>
      </c>
      <c r="K20" s="4">
        <f t="shared" si="2"/>
        <v>0</v>
      </c>
    </row>
    <row r="21" spans="1:11">
      <c r="A21" s="3" t="str">
        <f>Settings!A21</f>
        <v>Case End Seal</v>
      </c>
      <c r="B21" s="2" t="str">
        <f>Settings!B21</f>
        <v>Case End Seal</v>
      </c>
      <c r="C21">
        <f>IF(A21="","",SUMPRODUCT(--(Summary!$E$5:$E$241=A21)))</f>
        <v>1</v>
      </c>
      <c r="D21">
        <f ca="1">IF(A21="","",SUMPRODUCT(SUBTOTAL(103,OFFSET(Summary!$E$5,ROW(Summary!$E$5:$E$241)-ROW(Summary!$E$5),0,1)),--(Summary!$E$5:$E$241=A21)))</f>
        <v>0</v>
      </c>
      <c r="E21">
        <f>IF(A21="","",COUNTIFS(Summary!$E$5:$E$241,A21,Summary!$G$5:$G$241,"Yes"))</f>
        <v>0</v>
      </c>
      <c r="F21" s="20">
        <f>Settings!E21</f>
        <v>46171</v>
      </c>
      <c r="H21" s="3" t="str">
        <f>Graphs!$Q$25</f>
        <v>DG Installation issue</v>
      </c>
      <c r="I21" s="2">
        <f t="shared" si="0"/>
        <v>8</v>
      </c>
      <c r="J21" s="2">
        <f t="shared" ca="1" si="1"/>
        <v>3</v>
      </c>
      <c r="K21" s="4">
        <f t="shared" si="2"/>
        <v>1</v>
      </c>
    </row>
    <row r="22" spans="1:11">
      <c r="A22" s="3" t="str">
        <f>Settings!A22</f>
        <v>Return Air blocked</v>
      </c>
      <c r="B22" s="2" t="str">
        <f>Settings!B22</f>
        <v>Return Air blocked</v>
      </c>
      <c r="C22">
        <f>IF(A22="","",SUMPRODUCT(--(Summary!$E$5:$E$241=A22)))</f>
        <v>1</v>
      </c>
      <c r="D22">
        <f ca="1">IF(A22="","",SUMPRODUCT(SUBTOTAL(103,OFFSET(Summary!$E$5,ROW(Summary!$E$5:$E$241)-ROW(Summary!$E$5),0,1)),--(Summary!$E$5:$E$241=A22)))</f>
        <v>0</v>
      </c>
      <c r="E22">
        <f>IF(A22="","",COUNTIFS(Summary!$E$5:$E$241,A22,Summary!$G$5:$G$241,"Yes"))</f>
        <v>0</v>
      </c>
      <c r="F22" s="20">
        <f>Settings!E22</f>
        <v>46171</v>
      </c>
      <c r="H22" s="3" t="str">
        <f>Graphs!$Q$26</f>
        <v>Unknown</v>
      </c>
      <c r="I22" s="2">
        <f t="shared" si="0"/>
        <v>7</v>
      </c>
      <c r="J22" s="2">
        <f t="shared" ca="1" si="1"/>
        <v>2</v>
      </c>
      <c r="K22" s="4">
        <f t="shared" si="2"/>
        <v>0</v>
      </c>
    </row>
    <row r="23" spans="1:11">
      <c r="A23" s="3" t="str">
        <f>Settings!A23</f>
        <v>Unidentified air leak</v>
      </c>
      <c r="B23" s="2" t="str">
        <f>Settings!B23</f>
        <v>Unidentified air leak</v>
      </c>
      <c r="C23">
        <f>IF(A23="","",SUMPRODUCT(--(Summary!$E$5:$E$241=A23)))</f>
        <v>3</v>
      </c>
      <c r="D23">
        <f ca="1">IF(A23="","",SUMPRODUCT(SUBTOTAL(103,OFFSET(Summary!$E$5,ROW(Summary!$E$5:$E$241)-ROW(Summary!$E$5),0,1)),--(Summary!$E$5:$E$241=A23)))</f>
        <v>1</v>
      </c>
      <c r="E23">
        <f>IF(A23="","",COUNTIFS(Summary!$E$5:$E$241,A23,Summary!$G$5:$G$241,"Yes"))</f>
        <v>0</v>
      </c>
      <c r="F23" s="20">
        <f>Settings!E23</f>
        <v>46189</v>
      </c>
      <c r="H23" s="3" t="str">
        <f>Graphs!$Q$27</f>
        <v>Program change - Hussmann</v>
      </c>
      <c r="I23" s="2">
        <f t="shared" si="0"/>
        <v>1</v>
      </c>
      <c r="J23" s="2">
        <f t="shared" ca="1" si="1"/>
        <v>0</v>
      </c>
      <c r="K23" s="4">
        <f t="shared" si="2"/>
        <v>0</v>
      </c>
    </row>
    <row r="24" spans="1:11">
      <c r="A24" s="3" t="str">
        <f>Settings!A24</f>
        <v>Freedom</v>
      </c>
      <c r="B24" s="2" t="str">
        <f>Settings!B24</f>
        <v>Freedom</v>
      </c>
      <c r="C24">
        <f>IF(A24="","",SUMPRODUCT(--(Summary!$E$5:$E$241=A24)))</f>
        <v>5</v>
      </c>
      <c r="D24">
        <f ca="1">IF(A24="","",SUMPRODUCT(SUBTOTAL(103,OFFSET(Summary!$E$5,ROW(Summary!$E$5:$E$241)-ROW(Summary!$E$5),0,1)),--(Summary!$E$5:$E$241=A24)))</f>
        <v>0</v>
      </c>
      <c r="E24">
        <f>IF(A24="","",COUNTIFS(Summary!$E$5:$E$241,A24,Summary!$G$5:$G$241,"Yes"))</f>
        <v>0</v>
      </c>
      <c r="F24" s="20">
        <f>Settings!E24</f>
        <v>0</v>
      </c>
      <c r="H24" s="3" t="str">
        <f>Graphs!$Q$28</f>
        <v>Wrong program</v>
      </c>
      <c r="I24" s="2">
        <f t="shared" si="0"/>
        <v>4</v>
      </c>
      <c r="J24" s="2">
        <f t="shared" ca="1" si="1"/>
        <v>1</v>
      </c>
      <c r="K24" s="4">
        <f t="shared" si="2"/>
        <v>0</v>
      </c>
    </row>
    <row r="25" spans="1:11">
      <c r="A25" s="3" t="str">
        <f>Settings!A25</f>
        <v>Heavy case load</v>
      </c>
      <c r="B25" s="2" t="str">
        <f>Settings!B25</f>
        <v>Heavy case load</v>
      </c>
      <c r="C25">
        <f>IF(A25="","",SUMPRODUCT(--(Summary!$E$5:$E$241=A25)))</f>
        <v>1</v>
      </c>
      <c r="D25">
        <f ca="1">IF(A25="","",SUMPRODUCT(SUBTOTAL(103,OFFSET(Summary!$E$5,ROW(Summary!$E$5:$E$241)-ROW(Summary!$E$5),0,1)),--(Summary!$E$5:$E$241=A25)))</f>
        <v>0</v>
      </c>
      <c r="E25">
        <f>IF(A25="","",COUNTIFS(Summary!$E$5:$E$241,A25,Summary!$G$5:$G$241,"Yes"))</f>
        <v>0</v>
      </c>
      <c r="F25" s="20">
        <f>Settings!E25</f>
        <v>46171</v>
      </c>
      <c r="H25" s="3" t="str">
        <f>Graphs!$Q$29</f>
        <v>Value</v>
      </c>
      <c r="I25" s="2">
        <f t="shared" si="0"/>
        <v>0</v>
      </c>
      <c r="J25" s="2">
        <f t="shared" si="1"/>
        <v>0</v>
      </c>
      <c r="K25" s="4">
        <f t="shared" si="2"/>
        <v>0</v>
      </c>
    </row>
    <row r="26" spans="1:11">
      <c r="A26" s="3" t="str">
        <f>Settings!A26</f>
        <v>DG Installation issue</v>
      </c>
      <c r="B26" s="2" t="str">
        <f>Settings!B26</f>
        <v>DG Installation issue</v>
      </c>
      <c r="C26">
        <f>IF(A26="","",SUMPRODUCT(--(Summary!$E$5:$E$241=A26)))</f>
        <v>8</v>
      </c>
      <c r="D26">
        <f ca="1">IF(A26="","",SUMPRODUCT(SUBTOTAL(103,OFFSET(Summary!$E$5,ROW(Summary!$E$5:$E$241)-ROW(Summary!$E$5),0,1)),--(Summary!$E$5:$E$241=A26)))</f>
        <v>3</v>
      </c>
      <c r="E26">
        <f>IF(A26="","",COUNTIFS(Summary!$E$5:$E$241,A26,Summary!$G$5:$G$241,"Yes"))</f>
        <v>1</v>
      </c>
      <c r="F26" s="20">
        <f>Settings!E26</f>
        <v>46171</v>
      </c>
      <c r="H26" s="3">
        <f>Graphs!$Q$30</f>
        <v>240</v>
      </c>
      <c r="I26" s="2">
        <f t="shared" si="0"/>
        <v>0</v>
      </c>
      <c r="J26" s="2">
        <f t="shared" si="1"/>
        <v>0</v>
      </c>
      <c r="K26" s="4">
        <f t="shared" si="2"/>
        <v>0</v>
      </c>
    </row>
    <row r="27" spans="1:11">
      <c r="A27" s="3" t="str">
        <f>Settings!A27</f>
        <v>Unknown</v>
      </c>
      <c r="B27" s="2" t="str">
        <f>Settings!B27</f>
        <v>Unknown</v>
      </c>
      <c r="C27">
        <f>IF(A27="","",SUMPRODUCT(--(Summary!$E$5:$E$241=A27)))</f>
        <v>7</v>
      </c>
      <c r="D27">
        <f ca="1">IF(A27="","",SUMPRODUCT(SUBTOTAL(103,OFFSET(Summary!$E$5,ROW(Summary!$E$5:$E$241)-ROW(Summary!$E$5),0,1)),--(Summary!$E$5:$E$241=A27)))</f>
        <v>2</v>
      </c>
      <c r="E27">
        <f>IF(A27="","",COUNTIFS(Summary!$E$5:$E$241,A27,Summary!$G$5:$G$241,"Yes"))</f>
        <v>0</v>
      </c>
      <c r="F27" s="20">
        <f>Settings!E27</f>
        <v>0</v>
      </c>
      <c r="H27" s="3">
        <f>Graphs!$Q$31</f>
        <v>400</v>
      </c>
      <c r="I27" s="2">
        <f t="shared" si="0"/>
        <v>0</v>
      </c>
      <c r="J27" s="2">
        <f t="shared" si="1"/>
        <v>0</v>
      </c>
      <c r="K27" s="4">
        <f t="shared" si="2"/>
        <v>0</v>
      </c>
    </row>
    <row r="28" spans="1:11">
      <c r="A28" s="3" t="s">
        <v>1169</v>
      </c>
      <c r="B28" s="2" t="s">
        <v>1169</v>
      </c>
      <c r="C28">
        <f>IF(A28="","",SUMPRODUCT(--(Summary!$E$5:$E$241=A28)))</f>
        <v>1</v>
      </c>
      <c r="D28">
        <f ca="1">IF(A28="","",SUMPRODUCT(SUBTOTAL(103,OFFSET(Summary!$E$5,ROW(Summary!$E$5:$E$241)-ROW(Summary!$E$5),0,1)),--(Summary!$E$5:$E$241=A28)))</f>
        <v>0</v>
      </c>
      <c r="E28">
        <f>IF(A28="","",COUNTIFS(Summary!$E$5:$E$241,A28,Summary!$G$5:$G$241,"Yes"))</f>
        <v>0</v>
      </c>
      <c r="F28" s="20">
        <f>Settings!E28</f>
        <v>46171</v>
      </c>
      <c r="H28" s="3">
        <f>Graphs!$Q$32</f>
        <v>80</v>
      </c>
      <c r="I28" s="2">
        <f t="shared" si="0"/>
        <v>0</v>
      </c>
      <c r="J28" s="2">
        <f t="shared" si="1"/>
        <v>0</v>
      </c>
      <c r="K28" s="4">
        <f t="shared" si="2"/>
        <v>0</v>
      </c>
    </row>
    <row r="29" spans="1:11">
      <c r="A29" s="3" t="str">
        <f>Settings!A29</f>
        <v>Wrong program</v>
      </c>
      <c r="B29" s="2" t="str">
        <f>Settings!B29</f>
        <v>Wrong program</v>
      </c>
      <c r="C29">
        <f>IF(A29="","",SUMPRODUCT(--(Summary!$E$5:$E$241=A29)))</f>
        <v>4</v>
      </c>
      <c r="D29">
        <f ca="1">IF(A29="","",SUMPRODUCT(SUBTOTAL(103,OFFSET(Summary!$E$5,ROW(Summary!$E$5:$E$241)-ROW(Summary!$E$5),0,1)),--(Summary!$E$5:$E$241=A29)))</f>
        <v>1</v>
      </c>
      <c r="E29">
        <f>IF(A29="","",COUNTIFS(Summary!$E$5:$E$241,A29,Summary!$G$5:$G$241,"Yes"))</f>
        <v>0</v>
      </c>
      <c r="F29" s="20">
        <f>Settings!E29</f>
        <v>0</v>
      </c>
      <c r="H29" s="3"/>
      <c r="I29" s="2" t="str">
        <f t="shared" si="0"/>
        <v/>
      </c>
      <c r="J29" s="2" t="str">
        <f t="shared" si="1"/>
        <v/>
      </c>
      <c r="K29" s="4" t="str">
        <f t="shared" si="2"/>
        <v/>
      </c>
    </row>
    <row r="30" spans="1:11">
      <c r="A30" s="3">
        <f>Settings!A30</f>
        <v>0</v>
      </c>
      <c r="B30" s="2">
        <f>Settings!B30</f>
        <v>0</v>
      </c>
      <c r="C30">
        <f>IF(A30="","",SUMPRODUCT(--(Summary!$E$5:$E$241=A30)))</f>
        <v>80</v>
      </c>
      <c r="D30">
        <f ca="1">IF(A30="","",SUMPRODUCT(SUBTOTAL(103,OFFSET(Summary!$E$5,ROW(Summary!$E$5:$E$241)-ROW(Summary!$E$5),0,1)),--(Summary!$E$5:$E$241=A30)))</f>
        <v>0</v>
      </c>
      <c r="E30">
        <f>IF(A30="","",COUNTIFS(Summary!$E$5:$E$241,A30,Summary!$G$5:$G$241,"Yes"))</f>
        <v>0</v>
      </c>
      <c r="F30" s="20">
        <f>Settings!E30</f>
        <v>0</v>
      </c>
      <c r="H30" s="3"/>
      <c r="I30" s="2" t="str">
        <f t="shared" si="0"/>
        <v/>
      </c>
      <c r="J30" s="2" t="str">
        <f t="shared" si="1"/>
        <v/>
      </c>
      <c r="K30" s="4" t="str">
        <f t="shared" si="2"/>
        <v/>
      </c>
    </row>
    <row r="31" spans="1:11">
      <c r="A31" s="3">
        <f>Settings!A31</f>
        <v>0</v>
      </c>
      <c r="B31" s="2">
        <f>Settings!B31</f>
        <v>0</v>
      </c>
      <c r="C31">
        <f>IF(A31="","",SUMPRODUCT(--(Summary!$E$5:$E$241=A31)))</f>
        <v>80</v>
      </c>
      <c r="D31">
        <f ca="1">IF(A31="","",SUMPRODUCT(SUBTOTAL(103,OFFSET(Summary!$E$5,ROW(Summary!$E$5:$E$241)-ROW(Summary!$E$5),0,1)),--(Summary!$E$5:$E$241=A31)))</f>
        <v>0</v>
      </c>
      <c r="E31">
        <f>IF(A31="","",COUNTIFS(Summary!$E$5:$E$241,A31,Summary!$G$5:$G$241,"Yes"))</f>
        <v>0</v>
      </c>
      <c r="F31" s="20">
        <f>Settings!E31</f>
        <v>0</v>
      </c>
      <c r="H31" s="3"/>
      <c r="I31" s="2" t="str">
        <f t="shared" si="0"/>
        <v/>
      </c>
      <c r="J31" s="2" t="str">
        <f t="shared" si="1"/>
        <v/>
      </c>
      <c r="K31" s="4" t="str">
        <f t="shared" si="2"/>
        <v/>
      </c>
    </row>
    <row r="32" spans="1:11">
      <c r="A32" s="3">
        <f>Settings!A32</f>
        <v>0</v>
      </c>
      <c r="B32" s="2">
        <f>Settings!B32</f>
        <v>0</v>
      </c>
      <c r="C32">
        <f>IF(A32="","",SUMPRODUCT(--(Summary!$E$5:$E$241=A32)))</f>
        <v>80</v>
      </c>
      <c r="D32">
        <f ca="1">IF(A32="","",SUMPRODUCT(SUBTOTAL(103,OFFSET(Summary!$E$5,ROW(Summary!$E$5:$E$241)-ROW(Summary!$E$5),0,1)),--(Summary!$E$5:$E$241=A32)))</f>
        <v>0</v>
      </c>
      <c r="E32">
        <f>IF(A32="","",COUNTIFS(Summary!$E$5:$E$241,A32,Summary!$G$5:$G$241,"Yes"))</f>
        <v>0</v>
      </c>
      <c r="F32" s="20">
        <f>Settings!E32</f>
        <v>0</v>
      </c>
      <c r="H32" s="3"/>
      <c r="I32" s="2" t="str">
        <f t="shared" si="0"/>
        <v/>
      </c>
      <c r="J32" s="2" t="str">
        <f t="shared" si="1"/>
        <v/>
      </c>
      <c r="K32" s="4" t="str">
        <f t="shared" si="2"/>
        <v/>
      </c>
    </row>
    <row r="33" spans="1:11">
      <c r="A33" s="3">
        <f>Settings!A33</f>
        <v>0</v>
      </c>
      <c r="B33" s="2">
        <f>Settings!B33</f>
        <v>0</v>
      </c>
      <c r="C33">
        <f>IF(A33="","",SUMPRODUCT(--(Summary!$E$5:$E$241=A33)))</f>
        <v>80</v>
      </c>
      <c r="D33">
        <f ca="1">IF(A33="","",SUMPRODUCT(SUBTOTAL(103,OFFSET(Summary!$E$5,ROW(Summary!$E$5:$E$241)-ROW(Summary!$E$5),0,1)),--(Summary!$E$5:$E$241=A33)))</f>
        <v>0</v>
      </c>
      <c r="E33">
        <f>IF(A33="","",COUNTIFS(Summary!$E$5:$E$241,A33,Summary!$G$5:$G$241,"Yes"))</f>
        <v>0</v>
      </c>
      <c r="F33" s="20">
        <f>Settings!E33</f>
        <v>0</v>
      </c>
      <c r="H33" s="3"/>
      <c r="I33" s="2" t="str">
        <f t="shared" si="0"/>
        <v/>
      </c>
      <c r="J33" s="2" t="str">
        <f t="shared" si="1"/>
        <v/>
      </c>
      <c r="K33" s="4" t="str">
        <f t="shared" si="2"/>
        <v/>
      </c>
    </row>
    <row r="34" spans="1:11">
      <c r="A34" s="3">
        <f>Settings!A34</f>
        <v>0</v>
      </c>
      <c r="B34" s="2">
        <f>Settings!B34</f>
        <v>0</v>
      </c>
      <c r="C34">
        <f>IF(A34="","",SUMPRODUCT(--(Summary!$E$5:$E$241=A34)))</f>
        <v>80</v>
      </c>
      <c r="D34">
        <f ca="1">IF(A34="","",SUMPRODUCT(SUBTOTAL(103,OFFSET(Summary!$E$5,ROW(Summary!$E$5:$E$241)-ROW(Summary!$E$5),0,1)),--(Summary!$E$5:$E$241=A34)))</f>
        <v>0</v>
      </c>
      <c r="E34">
        <f>IF(A34="","",COUNTIFS(Summary!$E$5:$E$241,A34,Summary!$G$5:$G$241,"Yes"))</f>
        <v>0</v>
      </c>
      <c r="F34" s="20">
        <f>Settings!E34</f>
        <v>0</v>
      </c>
      <c r="H34" s="3"/>
      <c r="I34" s="2" t="str">
        <f t="shared" si="0"/>
        <v/>
      </c>
      <c r="J34" s="2" t="str">
        <f t="shared" si="1"/>
        <v/>
      </c>
      <c r="K34" s="4" t="str">
        <f t="shared" si="2"/>
        <v/>
      </c>
    </row>
    <row r="35" spans="1:11">
      <c r="A35" s="3">
        <f>Settings!A35</f>
        <v>0</v>
      </c>
      <c r="B35" s="2">
        <f>Settings!B35</f>
        <v>0</v>
      </c>
      <c r="C35">
        <f>IF(A35="","",SUMPRODUCT(--(Summary!$E$5:$E$241=A35)))</f>
        <v>80</v>
      </c>
      <c r="D35">
        <f ca="1">IF(A35="","",SUMPRODUCT(SUBTOTAL(103,OFFSET(Summary!$E$5,ROW(Summary!$E$5:$E$241)-ROW(Summary!$E$5),0,1)),--(Summary!$E$5:$E$241=A35)))</f>
        <v>0</v>
      </c>
      <c r="E35">
        <f>IF(A35="","",COUNTIFS(Summary!$E$5:$E$241,A35,Summary!$G$5:$G$241,"Yes"))</f>
        <v>0</v>
      </c>
      <c r="F35" s="20">
        <f>Settings!E35</f>
        <v>0</v>
      </c>
      <c r="H35" s="3"/>
      <c r="I35" s="2" t="str">
        <f t="shared" si="0"/>
        <v/>
      </c>
      <c r="J35" s="2" t="str">
        <f t="shared" si="1"/>
        <v/>
      </c>
      <c r="K35" s="4" t="str">
        <f t="shared" si="2"/>
        <v/>
      </c>
    </row>
    <row r="36" spans="1:11">
      <c r="A36" s="3">
        <f>Settings!A36</f>
        <v>0</v>
      </c>
      <c r="B36" s="2">
        <f>Settings!B36</f>
        <v>0</v>
      </c>
      <c r="C36">
        <f>IF(A36="","",SUMPRODUCT(--(Summary!$E$5:$E$241=A36)))</f>
        <v>80</v>
      </c>
      <c r="D36">
        <f ca="1">IF(A36="","",SUMPRODUCT(SUBTOTAL(103,OFFSET(Summary!$E$5,ROW(Summary!$E$5:$E$241)-ROW(Summary!$E$5),0,1)),--(Summary!$E$5:$E$241=A36)))</f>
        <v>0</v>
      </c>
      <c r="E36">
        <f>IF(A36="","",COUNTIFS(Summary!$E$5:$E$241,A36,Summary!$G$5:$G$241,"Yes"))</f>
        <v>0</v>
      </c>
      <c r="F36" s="20">
        <f>Settings!E36</f>
        <v>0</v>
      </c>
      <c r="H36" s="3"/>
      <c r="I36" s="2" t="str">
        <f t="shared" ref="I36:I59" si="3">IF(H36="","",SUMIFS($C$4:$C$59,$B$4:$B$59,H36))</f>
        <v/>
      </c>
      <c r="J36" s="2" t="str">
        <f t="shared" ref="J36:J59" si="4">IF(H36="","",SUMIFS($D$4:$D$59,$B$4:$B$59,H36))</f>
        <v/>
      </c>
      <c r="K36" s="4" t="str">
        <f t="shared" ref="K36:K59" si="5">IF(H36="","",SUMIFS($E$4:$E$59,$B$4:$B$59,H36))</f>
        <v/>
      </c>
    </row>
    <row r="37" spans="1:11">
      <c r="A37" s="3">
        <f>Settings!A37</f>
        <v>0</v>
      </c>
      <c r="B37" s="2">
        <f>Settings!B37</f>
        <v>0</v>
      </c>
      <c r="C37">
        <f>IF(A37="","",SUMPRODUCT(--(Summary!$E$5:$E$241=A37)))</f>
        <v>80</v>
      </c>
      <c r="D37">
        <f ca="1">IF(A37="","",SUMPRODUCT(SUBTOTAL(103,OFFSET(Summary!$E$5,ROW(Summary!$E$5:$E$241)-ROW(Summary!$E$5),0,1)),--(Summary!$E$5:$E$241=A37)))</f>
        <v>0</v>
      </c>
      <c r="E37">
        <f>IF(A37="","",COUNTIFS(Summary!$E$5:$E$241,A37,Summary!$G$5:$G$241,"Yes"))</f>
        <v>0</v>
      </c>
      <c r="F37" s="20">
        <f>Settings!E37</f>
        <v>0</v>
      </c>
      <c r="H37" s="3"/>
      <c r="I37" s="2" t="str">
        <f t="shared" si="3"/>
        <v/>
      </c>
      <c r="J37" s="2" t="str">
        <f t="shared" si="4"/>
        <v/>
      </c>
      <c r="K37" s="4" t="str">
        <f t="shared" si="5"/>
        <v/>
      </c>
    </row>
    <row r="38" spans="1:11">
      <c r="A38" s="3">
        <f>Settings!A38</f>
        <v>0</v>
      </c>
      <c r="B38" s="2">
        <f>Settings!B38</f>
        <v>0</v>
      </c>
      <c r="C38">
        <f>IF(A38="","",SUMPRODUCT(--(Summary!$E$5:$E$241=A38)))</f>
        <v>80</v>
      </c>
      <c r="D38">
        <f ca="1">IF(A38="","",SUMPRODUCT(SUBTOTAL(103,OFFSET(Summary!$E$5,ROW(Summary!$E$5:$E$241)-ROW(Summary!$E$5),0,1)),--(Summary!$E$5:$E$241=A38)))</f>
        <v>0</v>
      </c>
      <c r="E38">
        <f>IF(A38="","",COUNTIFS(Summary!$E$5:$E$241,A38,Summary!$G$5:$G$241,"Yes"))</f>
        <v>0</v>
      </c>
      <c r="F38" s="20">
        <f>Settings!E38</f>
        <v>0</v>
      </c>
      <c r="H38" s="3"/>
      <c r="I38" s="2" t="str">
        <f t="shared" si="3"/>
        <v/>
      </c>
      <c r="J38" s="2" t="str">
        <f t="shared" si="4"/>
        <v/>
      </c>
      <c r="K38" s="4" t="str">
        <f t="shared" si="5"/>
        <v/>
      </c>
    </row>
    <row r="39" spans="1:11">
      <c r="A39" s="3">
        <f>Settings!A39</f>
        <v>0</v>
      </c>
      <c r="B39" s="2">
        <f>Settings!B39</f>
        <v>0</v>
      </c>
      <c r="C39">
        <f>IF(A39="","",SUMPRODUCT(--(Summary!$E$5:$E$241=A39)))</f>
        <v>80</v>
      </c>
      <c r="D39">
        <f ca="1">IF(A39="","",SUMPRODUCT(SUBTOTAL(103,OFFSET(Summary!$E$5,ROW(Summary!$E$5:$E$241)-ROW(Summary!$E$5),0,1)),--(Summary!$E$5:$E$241=A39)))</f>
        <v>0</v>
      </c>
      <c r="E39">
        <f>IF(A39="","",COUNTIFS(Summary!$E$5:$E$241,A39,Summary!$G$5:$G$241,"Yes"))</f>
        <v>0</v>
      </c>
      <c r="F39" s="20">
        <f>Settings!E39</f>
        <v>0</v>
      </c>
      <c r="H39" s="3"/>
      <c r="I39" s="2" t="str">
        <f t="shared" si="3"/>
        <v/>
      </c>
      <c r="J39" s="2" t="str">
        <f t="shared" si="4"/>
        <v/>
      </c>
      <c r="K39" s="4" t="str">
        <f t="shared" si="5"/>
        <v/>
      </c>
    </row>
    <row r="40" spans="1:11">
      <c r="A40" s="3">
        <f>Settings!A40</f>
        <v>0</v>
      </c>
      <c r="B40" s="2">
        <f>Settings!B40</f>
        <v>0</v>
      </c>
      <c r="C40">
        <f>IF(A40="","",SUMPRODUCT(--(Summary!$E$5:$E$241=A40)))</f>
        <v>80</v>
      </c>
      <c r="D40">
        <f ca="1">IF(A40="","",SUMPRODUCT(SUBTOTAL(103,OFFSET(Summary!$E$5,ROW(Summary!$E$5:$E$241)-ROW(Summary!$E$5),0,1)),--(Summary!$E$5:$E$241=A40)))</f>
        <v>0</v>
      </c>
      <c r="E40">
        <f>IF(A40="","",COUNTIFS(Summary!$E$5:$E$241,A40,Summary!$G$5:$G$241,"Yes"))</f>
        <v>0</v>
      </c>
      <c r="F40" s="20">
        <f>Settings!E40</f>
        <v>0</v>
      </c>
      <c r="H40" s="3"/>
      <c r="I40" s="2" t="str">
        <f t="shared" si="3"/>
        <v/>
      </c>
      <c r="J40" s="2" t="str">
        <f t="shared" si="4"/>
        <v/>
      </c>
      <c r="K40" s="4" t="str">
        <f t="shared" si="5"/>
        <v/>
      </c>
    </row>
    <row r="41" spans="1:11">
      <c r="A41" s="3">
        <f>Settings!A41</f>
        <v>0</v>
      </c>
      <c r="B41" s="2">
        <f>Settings!B41</f>
        <v>0</v>
      </c>
      <c r="C41">
        <f>IF(A41="","",SUMPRODUCT(--(Summary!$E$5:$E$241=A41)))</f>
        <v>80</v>
      </c>
      <c r="D41">
        <f ca="1">IF(A41="","",SUMPRODUCT(SUBTOTAL(103,OFFSET(Summary!$E$5,ROW(Summary!$E$5:$E$241)-ROW(Summary!$E$5),0,1)),--(Summary!$E$5:$E$241=A41)))</f>
        <v>0</v>
      </c>
      <c r="E41">
        <f>IF(A41="","",COUNTIFS(Summary!$E$5:$E$241,A41,Summary!$G$5:$G$241,"Yes"))</f>
        <v>0</v>
      </c>
      <c r="F41" s="20">
        <f>Settings!E41</f>
        <v>0</v>
      </c>
      <c r="H41" s="3"/>
      <c r="I41" s="2" t="str">
        <f t="shared" si="3"/>
        <v/>
      </c>
      <c r="J41" s="2" t="str">
        <f t="shared" si="4"/>
        <v/>
      </c>
      <c r="K41" s="4" t="str">
        <f t="shared" si="5"/>
        <v/>
      </c>
    </row>
    <row r="42" spans="1:11">
      <c r="A42" s="3">
        <f>Settings!A42</f>
        <v>0</v>
      </c>
      <c r="B42" s="2">
        <f>Settings!B42</f>
        <v>0</v>
      </c>
      <c r="C42">
        <f>IF(A42="","",SUMPRODUCT(--(Summary!$E$5:$E$241=A42)))</f>
        <v>80</v>
      </c>
      <c r="D42">
        <f ca="1">IF(A42="","",SUMPRODUCT(SUBTOTAL(103,OFFSET(Summary!$E$5,ROW(Summary!$E$5:$E$241)-ROW(Summary!$E$5),0,1)),--(Summary!$E$5:$E$241=A42)))</f>
        <v>0</v>
      </c>
      <c r="E42">
        <f>IF(A42="","",COUNTIFS(Summary!$E$5:$E$241,A42,Summary!$G$5:$G$241,"Yes"))</f>
        <v>0</v>
      </c>
      <c r="F42" s="20">
        <f>Settings!E42</f>
        <v>0</v>
      </c>
      <c r="H42" s="3"/>
      <c r="I42" s="2" t="str">
        <f t="shared" si="3"/>
        <v/>
      </c>
      <c r="J42" s="2" t="str">
        <f t="shared" si="4"/>
        <v/>
      </c>
      <c r="K42" s="4" t="str">
        <f t="shared" si="5"/>
        <v/>
      </c>
    </row>
    <row r="43" spans="1:11">
      <c r="A43" s="3">
        <f>Settings!A43</f>
        <v>0</v>
      </c>
      <c r="B43" s="2">
        <f>Settings!B43</f>
        <v>0</v>
      </c>
      <c r="C43">
        <f>IF(A43="","",SUMPRODUCT(--(Summary!$E$5:$E$241=A43)))</f>
        <v>80</v>
      </c>
      <c r="D43">
        <f ca="1">IF(A43="","",SUMPRODUCT(SUBTOTAL(103,OFFSET(Summary!$E$5,ROW(Summary!$E$5:$E$241)-ROW(Summary!$E$5),0,1)),--(Summary!$E$5:$E$241=A43)))</f>
        <v>0</v>
      </c>
      <c r="E43">
        <f>IF(A43="","",COUNTIFS(Summary!$E$5:$E$241,A43,Summary!$G$5:$G$241,"Yes"))</f>
        <v>0</v>
      </c>
      <c r="F43" s="20">
        <f>Settings!E43</f>
        <v>0</v>
      </c>
      <c r="H43" s="3"/>
      <c r="I43" s="2" t="str">
        <f t="shared" si="3"/>
        <v/>
      </c>
      <c r="J43" s="2" t="str">
        <f t="shared" si="4"/>
        <v/>
      </c>
      <c r="K43" s="4" t="str">
        <f t="shared" si="5"/>
        <v/>
      </c>
    </row>
    <row r="44" spans="1:11">
      <c r="A44" s="3">
        <f>Settings!A44</f>
        <v>0</v>
      </c>
      <c r="B44" s="2">
        <f>Settings!B44</f>
        <v>0</v>
      </c>
      <c r="C44">
        <f>IF(A44="","",SUMPRODUCT(--(Summary!$E$5:$E$241=A44)))</f>
        <v>80</v>
      </c>
      <c r="D44">
        <f ca="1">IF(A44="","",SUMPRODUCT(SUBTOTAL(103,OFFSET(Summary!$E$5,ROW(Summary!$E$5:$E$241)-ROW(Summary!$E$5),0,1)),--(Summary!$E$5:$E$241=A44)))</f>
        <v>0</v>
      </c>
      <c r="E44">
        <f>IF(A44="","",COUNTIFS(Summary!$E$5:$E$241,A44,Summary!$G$5:$G$241,"Yes"))</f>
        <v>0</v>
      </c>
      <c r="F44" s="20">
        <f>Settings!E44</f>
        <v>0</v>
      </c>
      <c r="H44" s="3"/>
      <c r="I44" s="2" t="str">
        <f t="shared" si="3"/>
        <v/>
      </c>
      <c r="J44" s="2" t="str">
        <f t="shared" si="4"/>
        <v/>
      </c>
      <c r="K44" s="4" t="str">
        <f t="shared" si="5"/>
        <v/>
      </c>
    </row>
    <row r="45" spans="1:11">
      <c r="A45" s="3">
        <f>Settings!A45</f>
        <v>0</v>
      </c>
      <c r="B45" s="2">
        <f>Settings!B45</f>
        <v>0</v>
      </c>
      <c r="C45">
        <f>IF(A45="","",SUMPRODUCT(--(Summary!$E$5:$E$241=A45)))</f>
        <v>80</v>
      </c>
      <c r="D45">
        <f ca="1">IF(A45="","",SUMPRODUCT(SUBTOTAL(103,OFFSET(Summary!$E$5,ROW(Summary!$E$5:$E$241)-ROW(Summary!$E$5),0,1)),--(Summary!$E$5:$E$241=A45)))</f>
        <v>0</v>
      </c>
      <c r="E45">
        <f>IF(A45="","",COUNTIFS(Summary!$E$5:$E$241,A45,Summary!$G$5:$G$241,"Yes"))</f>
        <v>0</v>
      </c>
      <c r="F45" s="20">
        <f>Settings!E45</f>
        <v>0</v>
      </c>
      <c r="H45" s="3"/>
      <c r="I45" s="2" t="str">
        <f t="shared" si="3"/>
        <v/>
      </c>
      <c r="J45" s="2" t="str">
        <f t="shared" si="4"/>
        <v/>
      </c>
      <c r="K45" s="4" t="str">
        <f t="shared" si="5"/>
        <v/>
      </c>
    </row>
    <row r="46" spans="1:11">
      <c r="A46" s="3">
        <f>Settings!A46</f>
        <v>0</v>
      </c>
      <c r="B46" s="2">
        <f>Settings!B46</f>
        <v>0</v>
      </c>
      <c r="C46">
        <f>IF(A46="","",SUMPRODUCT(--(Summary!$E$5:$E$241=A46)))</f>
        <v>80</v>
      </c>
      <c r="D46">
        <f ca="1">IF(A46="","",SUMPRODUCT(SUBTOTAL(103,OFFSET(Summary!$E$5,ROW(Summary!$E$5:$E$241)-ROW(Summary!$E$5),0,1)),--(Summary!$E$5:$E$241=A46)))</f>
        <v>0</v>
      </c>
      <c r="E46">
        <f>IF(A46="","",COUNTIFS(Summary!$E$5:$E$241,A46,Summary!$G$5:$G$241,"Yes"))</f>
        <v>0</v>
      </c>
      <c r="F46" s="20">
        <f>Settings!E46</f>
        <v>0</v>
      </c>
      <c r="H46" s="3"/>
      <c r="I46" s="2" t="str">
        <f t="shared" si="3"/>
        <v/>
      </c>
      <c r="J46" s="2" t="str">
        <f t="shared" si="4"/>
        <v/>
      </c>
      <c r="K46" s="4" t="str">
        <f t="shared" si="5"/>
        <v/>
      </c>
    </row>
    <row r="47" spans="1:11">
      <c r="A47" s="3">
        <f>Settings!A47</f>
        <v>0</v>
      </c>
      <c r="B47" s="2">
        <f>Settings!B47</f>
        <v>0</v>
      </c>
      <c r="C47">
        <f>IF(A47="","",SUMPRODUCT(--(Summary!$E$5:$E$241=A47)))</f>
        <v>80</v>
      </c>
      <c r="D47">
        <f ca="1">IF(A47="","",SUMPRODUCT(SUBTOTAL(103,OFFSET(Summary!$E$5,ROW(Summary!$E$5:$E$241)-ROW(Summary!$E$5),0,1)),--(Summary!$E$5:$E$241=A47)))</f>
        <v>0</v>
      </c>
      <c r="E47">
        <f>IF(A47="","",COUNTIFS(Summary!$E$5:$E$241,A47,Summary!$G$5:$G$241,"Yes"))</f>
        <v>0</v>
      </c>
      <c r="F47" s="20">
        <f>Settings!E47</f>
        <v>0</v>
      </c>
      <c r="H47" s="3"/>
      <c r="I47" s="2" t="str">
        <f t="shared" si="3"/>
        <v/>
      </c>
      <c r="J47" s="2" t="str">
        <f t="shared" si="4"/>
        <v/>
      </c>
      <c r="K47" s="4" t="str">
        <f t="shared" si="5"/>
        <v/>
      </c>
    </row>
    <row r="48" spans="1:11">
      <c r="A48" s="3">
        <f>Settings!A48</f>
        <v>0</v>
      </c>
      <c r="B48" s="2">
        <f>Settings!B48</f>
        <v>0</v>
      </c>
      <c r="C48">
        <f>IF(A48="","",SUMPRODUCT(--(Summary!$E$5:$E$241=A48)))</f>
        <v>80</v>
      </c>
      <c r="D48">
        <f ca="1">IF(A48="","",SUMPRODUCT(SUBTOTAL(103,OFFSET(Summary!$E$5,ROW(Summary!$E$5:$E$241)-ROW(Summary!$E$5),0,1)),--(Summary!$E$5:$E$241=A48)))</f>
        <v>0</v>
      </c>
      <c r="E48">
        <f>IF(A48="","",COUNTIFS(Summary!$E$5:$E$241,A48,Summary!$G$5:$G$241,"Yes"))</f>
        <v>0</v>
      </c>
      <c r="F48" s="20">
        <f>Settings!E48</f>
        <v>0</v>
      </c>
      <c r="H48" s="3"/>
      <c r="I48" s="2" t="str">
        <f t="shared" si="3"/>
        <v/>
      </c>
      <c r="J48" s="2" t="str">
        <f t="shared" si="4"/>
        <v/>
      </c>
      <c r="K48" s="4" t="str">
        <f t="shared" si="5"/>
        <v/>
      </c>
    </row>
    <row r="49" spans="1:11">
      <c r="A49" s="3">
        <f>Settings!A49</f>
        <v>0</v>
      </c>
      <c r="B49" s="2">
        <f>Settings!B49</f>
        <v>0</v>
      </c>
      <c r="C49">
        <f>IF(A49="","",SUMPRODUCT(--(Summary!$E$5:$E$241=A49)))</f>
        <v>80</v>
      </c>
      <c r="D49">
        <f ca="1">IF(A49="","",SUMPRODUCT(SUBTOTAL(103,OFFSET(Summary!$E$5,ROW(Summary!$E$5:$E$241)-ROW(Summary!$E$5),0,1)),--(Summary!$E$5:$E$241=A49)))</f>
        <v>0</v>
      </c>
      <c r="E49">
        <f>IF(A49="","",COUNTIFS(Summary!$E$5:$E$241,A49,Summary!$G$5:$G$241,"Yes"))</f>
        <v>0</v>
      </c>
      <c r="F49" s="20">
        <f>Settings!E49</f>
        <v>0</v>
      </c>
      <c r="H49" s="3"/>
      <c r="I49" s="2" t="str">
        <f t="shared" si="3"/>
        <v/>
      </c>
      <c r="J49" s="2" t="str">
        <f t="shared" si="4"/>
        <v/>
      </c>
      <c r="K49" s="4" t="str">
        <f t="shared" si="5"/>
        <v/>
      </c>
    </row>
    <row r="50" spans="1:11">
      <c r="A50" s="3">
        <f>Settings!A50</f>
        <v>0</v>
      </c>
      <c r="B50" s="2">
        <f>Settings!B50</f>
        <v>0</v>
      </c>
      <c r="C50">
        <f>IF(A50="","",SUMPRODUCT(--(Summary!$E$5:$E$241=A50)))</f>
        <v>80</v>
      </c>
      <c r="D50">
        <f ca="1">IF(A50="","",SUMPRODUCT(SUBTOTAL(103,OFFSET(Summary!$E$5,ROW(Summary!$E$5:$E$241)-ROW(Summary!$E$5),0,1)),--(Summary!$E$5:$E$241=A50)))</f>
        <v>0</v>
      </c>
      <c r="E50">
        <f>IF(A50="","",COUNTIFS(Summary!$E$5:$E$241,A50,Summary!$G$5:$G$241,"Yes"))</f>
        <v>0</v>
      </c>
      <c r="F50" s="20">
        <f>Settings!E50</f>
        <v>0</v>
      </c>
      <c r="H50" s="3"/>
      <c r="I50" s="2" t="str">
        <f t="shared" si="3"/>
        <v/>
      </c>
      <c r="J50" s="2" t="str">
        <f t="shared" si="4"/>
        <v/>
      </c>
      <c r="K50" s="4" t="str">
        <f t="shared" si="5"/>
        <v/>
      </c>
    </row>
    <row r="51" spans="1:11">
      <c r="A51" s="3">
        <f>Settings!A51</f>
        <v>0</v>
      </c>
      <c r="B51" s="2">
        <f>Settings!B51</f>
        <v>0</v>
      </c>
      <c r="C51">
        <f>IF(A51="","",SUMPRODUCT(--(Summary!$E$5:$E$241=A51)))</f>
        <v>80</v>
      </c>
      <c r="D51">
        <f ca="1">IF(A51="","",SUMPRODUCT(SUBTOTAL(103,OFFSET(Summary!$E$5,ROW(Summary!$E$5:$E$241)-ROW(Summary!$E$5),0,1)),--(Summary!$E$5:$E$241=A51)))</f>
        <v>0</v>
      </c>
      <c r="E51">
        <f>IF(A51="","",COUNTIFS(Summary!$E$5:$E$241,A51,Summary!$G$5:$G$241,"Yes"))</f>
        <v>0</v>
      </c>
      <c r="F51" s="20">
        <f>Settings!E51</f>
        <v>0</v>
      </c>
      <c r="H51" s="3"/>
      <c r="I51" s="2" t="str">
        <f t="shared" si="3"/>
        <v/>
      </c>
      <c r="J51" s="2" t="str">
        <f t="shared" si="4"/>
        <v/>
      </c>
      <c r="K51" s="4" t="str">
        <f t="shared" si="5"/>
        <v/>
      </c>
    </row>
    <row r="52" spans="1:11">
      <c r="A52" s="3">
        <f>Settings!A52</f>
        <v>0</v>
      </c>
      <c r="B52" s="2">
        <f>Settings!B52</f>
        <v>0</v>
      </c>
      <c r="C52">
        <f>IF(A52="","",SUMPRODUCT(--(Summary!$E$5:$E$241=A52)))</f>
        <v>80</v>
      </c>
      <c r="D52">
        <f ca="1">IF(A52="","",SUMPRODUCT(SUBTOTAL(103,OFFSET(Summary!$E$5,ROW(Summary!$E$5:$E$241)-ROW(Summary!$E$5),0,1)),--(Summary!$E$5:$E$241=A52)))</f>
        <v>0</v>
      </c>
      <c r="E52">
        <f>IF(A52="","",COUNTIFS(Summary!$E$5:$E$241,A52,Summary!$G$5:$G$241,"Yes"))</f>
        <v>0</v>
      </c>
      <c r="F52" s="20">
        <f>Settings!E52</f>
        <v>0</v>
      </c>
      <c r="H52" s="3"/>
      <c r="I52" s="2" t="str">
        <f t="shared" si="3"/>
        <v/>
      </c>
      <c r="J52" s="2" t="str">
        <f t="shared" si="4"/>
        <v/>
      </c>
      <c r="K52" s="4" t="str">
        <f t="shared" si="5"/>
        <v/>
      </c>
    </row>
    <row r="53" spans="1:11">
      <c r="A53" s="3">
        <f>Settings!A53</f>
        <v>0</v>
      </c>
      <c r="B53" s="2">
        <f>Settings!B53</f>
        <v>0</v>
      </c>
      <c r="C53">
        <f>IF(A53="","",SUMPRODUCT(--(Summary!$E$5:$E$241=A53)))</f>
        <v>80</v>
      </c>
      <c r="D53">
        <f ca="1">IF(A53="","",SUMPRODUCT(SUBTOTAL(103,OFFSET(Summary!$E$5,ROW(Summary!$E$5:$E$241)-ROW(Summary!$E$5),0,1)),--(Summary!$E$5:$E$241=A53)))</f>
        <v>0</v>
      </c>
      <c r="E53">
        <f>IF(A53="","",COUNTIFS(Summary!$E$5:$E$241,A53,Summary!$G$5:$G$241,"Yes"))</f>
        <v>0</v>
      </c>
      <c r="F53" s="20">
        <f>Settings!E53</f>
        <v>0</v>
      </c>
      <c r="H53" s="3"/>
      <c r="I53" s="2" t="str">
        <f t="shared" si="3"/>
        <v/>
      </c>
      <c r="J53" s="2" t="str">
        <f t="shared" si="4"/>
        <v/>
      </c>
      <c r="K53" s="4" t="str">
        <f t="shared" si="5"/>
        <v/>
      </c>
    </row>
    <row r="54" spans="1:11">
      <c r="A54" s="3">
        <f>Settings!A54</f>
        <v>0</v>
      </c>
      <c r="B54" s="2">
        <f>Settings!B54</f>
        <v>0</v>
      </c>
      <c r="C54">
        <f>IF(A54="","",SUMPRODUCT(--(Summary!$E$5:$E$241=A54)))</f>
        <v>80</v>
      </c>
      <c r="D54">
        <f ca="1">IF(A54="","",SUMPRODUCT(SUBTOTAL(103,OFFSET(Summary!$E$5,ROW(Summary!$E$5:$E$241)-ROW(Summary!$E$5),0,1)),--(Summary!$E$5:$E$241=A54)))</f>
        <v>0</v>
      </c>
      <c r="E54">
        <f>IF(A54="","",COUNTIFS(Summary!$E$5:$E$241,A54,Summary!$G$5:$G$241,"Yes"))</f>
        <v>0</v>
      </c>
      <c r="F54" s="20">
        <f>Settings!E54</f>
        <v>0</v>
      </c>
      <c r="H54" s="3"/>
      <c r="I54" s="2" t="str">
        <f t="shared" si="3"/>
        <v/>
      </c>
      <c r="J54" s="2" t="str">
        <f t="shared" si="4"/>
        <v/>
      </c>
      <c r="K54" s="4" t="str">
        <f t="shared" si="5"/>
        <v/>
      </c>
    </row>
    <row r="55" spans="1:11">
      <c r="A55" s="3">
        <f>Settings!A55</f>
        <v>0</v>
      </c>
      <c r="B55" s="2">
        <f>Settings!B55</f>
        <v>0</v>
      </c>
      <c r="C55">
        <f>IF(A55="","",SUMPRODUCT(--(Summary!$E$5:$E$241=A55)))</f>
        <v>80</v>
      </c>
      <c r="D55">
        <f ca="1">IF(A55="","",SUMPRODUCT(SUBTOTAL(103,OFFSET(Summary!$E$5,ROW(Summary!$E$5:$E$241)-ROW(Summary!$E$5),0,1)),--(Summary!$E$5:$E$241=A55)))</f>
        <v>0</v>
      </c>
      <c r="E55">
        <f>IF(A55="","",COUNTIFS(Summary!$E$5:$E$241,A55,Summary!$G$5:$G$241,"Yes"))</f>
        <v>0</v>
      </c>
      <c r="F55" s="20">
        <f>Settings!E55</f>
        <v>0</v>
      </c>
      <c r="H55" s="3"/>
      <c r="I55" s="2" t="str">
        <f t="shared" si="3"/>
        <v/>
      </c>
      <c r="J55" s="2" t="str">
        <f t="shared" si="4"/>
        <v/>
      </c>
      <c r="K55" s="4" t="str">
        <f t="shared" si="5"/>
        <v/>
      </c>
    </row>
    <row r="56" spans="1:11">
      <c r="A56" s="3">
        <f>Settings!A56</f>
        <v>0</v>
      </c>
      <c r="B56" s="2">
        <f>Settings!B56</f>
        <v>0</v>
      </c>
      <c r="C56">
        <f>IF(A56="","",SUMPRODUCT(--(Summary!$E$5:$E$241=A56)))</f>
        <v>80</v>
      </c>
      <c r="D56">
        <f ca="1">IF(A56="","",SUMPRODUCT(SUBTOTAL(103,OFFSET(Summary!$E$5,ROW(Summary!$E$5:$E$241)-ROW(Summary!$E$5),0,1)),--(Summary!$E$5:$E$241=A56)))</f>
        <v>0</v>
      </c>
      <c r="E56">
        <f>IF(A56="","",COUNTIFS(Summary!$E$5:$E$241,A56,Summary!$G$5:$G$241,"Yes"))</f>
        <v>0</v>
      </c>
      <c r="F56" s="20">
        <f>Settings!E56</f>
        <v>0</v>
      </c>
      <c r="H56" s="3"/>
      <c r="I56" s="2" t="str">
        <f t="shared" si="3"/>
        <v/>
      </c>
      <c r="J56" s="2" t="str">
        <f t="shared" si="4"/>
        <v/>
      </c>
      <c r="K56" s="4" t="str">
        <f t="shared" si="5"/>
        <v/>
      </c>
    </row>
    <row r="57" spans="1:11">
      <c r="A57" s="3">
        <f>Settings!A57</f>
        <v>0</v>
      </c>
      <c r="B57" s="2">
        <f>Settings!B57</f>
        <v>0</v>
      </c>
      <c r="C57">
        <f>IF(A57="","",SUMPRODUCT(--(Summary!$E$5:$E$241=A57)))</f>
        <v>80</v>
      </c>
      <c r="D57">
        <f ca="1">IF(A57="","",SUMPRODUCT(SUBTOTAL(103,OFFSET(Summary!$E$5,ROW(Summary!$E$5:$E$241)-ROW(Summary!$E$5),0,1)),--(Summary!$E$5:$E$241=A57)))</f>
        <v>0</v>
      </c>
      <c r="E57">
        <f>IF(A57="","",COUNTIFS(Summary!$E$5:$E$241,A57,Summary!$G$5:$G$241,"Yes"))</f>
        <v>0</v>
      </c>
      <c r="F57" s="20">
        <f>Settings!E57</f>
        <v>0</v>
      </c>
      <c r="H57" s="3"/>
      <c r="I57" s="2" t="str">
        <f t="shared" si="3"/>
        <v/>
      </c>
      <c r="J57" s="2" t="str">
        <f t="shared" si="4"/>
        <v/>
      </c>
      <c r="K57" s="4" t="str">
        <f t="shared" si="5"/>
        <v/>
      </c>
    </row>
    <row r="58" spans="1:11">
      <c r="A58" s="3">
        <f>Settings!A58</f>
        <v>0</v>
      </c>
      <c r="B58" s="2">
        <f>Settings!B58</f>
        <v>0</v>
      </c>
      <c r="C58">
        <f>IF(A58="","",SUMPRODUCT(--(Summary!$E$5:$E$241=A58)))</f>
        <v>80</v>
      </c>
      <c r="D58">
        <f ca="1">IF(A58="","",SUMPRODUCT(SUBTOTAL(103,OFFSET(Summary!$E$5,ROW(Summary!$E$5:$E$241)-ROW(Summary!$E$5),0,1)),--(Summary!$E$5:$E$241=A58)))</f>
        <v>0</v>
      </c>
      <c r="E58">
        <f>IF(A58="","",COUNTIFS(Summary!$E$5:$E$241,A58,Summary!$G$5:$G$241,"Yes"))</f>
        <v>0</v>
      </c>
      <c r="F58" s="20">
        <f>Settings!E58</f>
        <v>0</v>
      </c>
      <c r="H58" s="3"/>
      <c r="I58" s="2" t="str">
        <f t="shared" si="3"/>
        <v/>
      </c>
      <c r="J58" s="2" t="str">
        <f t="shared" si="4"/>
        <v/>
      </c>
      <c r="K58" s="4" t="str">
        <f t="shared" si="5"/>
        <v/>
      </c>
    </row>
    <row r="59" spans="1:11">
      <c r="A59" s="5">
        <f>Settings!A59</f>
        <v>0</v>
      </c>
      <c r="B59" s="7">
        <f>Settings!B59</f>
        <v>0</v>
      </c>
      <c r="C59" s="68">
        <f>IF(A59="","",SUMPRODUCT(--(Summary!$E$5:$E$241=A59)))</f>
        <v>80</v>
      </c>
      <c r="D59" s="68">
        <f ca="1">IF(A59="","",SUMPRODUCT(SUBTOTAL(103,OFFSET(Summary!$E$5,ROW(Summary!$E$5:$E$241)-ROW(Summary!$E$5),0,1)),--(Summary!$E$5:$E$241=A59)))</f>
        <v>0</v>
      </c>
      <c r="E59" s="68">
        <f>IF(A59="","",COUNTIFS(Summary!$E$5:$E$241,A59,Summary!$G$5:$G$241,"Yes"))</f>
        <v>0</v>
      </c>
      <c r="F59" s="21">
        <f>Settings!E59</f>
        <v>0</v>
      </c>
      <c r="H59" s="5"/>
      <c r="I59" s="7" t="str">
        <f t="shared" si="3"/>
        <v/>
      </c>
      <c r="J59" s="7" t="str">
        <f t="shared" si="4"/>
        <v/>
      </c>
      <c r="K59" s="6" t="str">
        <f t="shared" si="5"/>
        <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G80"/>
  <sheetViews>
    <sheetView showGridLines="0" topLeftCell="A135" zoomScale="55" zoomScaleNormal="55" workbookViewId="0">
      <selection activeCell="L26" sqref="L26"/>
    </sheetView>
  </sheetViews>
  <sheetFormatPr defaultRowHeight="13.8"/>
  <cols>
    <col min="1" max="1" width="24" customWidth="1"/>
    <col min="2" max="2" width="10" customWidth="1"/>
    <col min="4" max="4" width="17.19921875" customWidth="1"/>
    <col min="5" max="5" width="16.8984375" customWidth="1"/>
    <col min="11" max="15" width="13" customWidth="1"/>
    <col min="17" max="17" width="14.19921875" customWidth="1"/>
    <col min="22" max="22" width="16.19921875" customWidth="1"/>
    <col min="40" max="43" width="6" customWidth="1"/>
    <col min="53" max="53" width="20.8984375" customWidth="1"/>
    <col min="54" max="81" width="3" customWidth="1"/>
  </cols>
  <sheetData>
    <row r="1" spans="1:43" ht="17.399999999999999">
      <c r="A1" s="22" t="s">
        <v>1495</v>
      </c>
      <c r="H1" t="str">
        <f>"Issues by root cause  ("&amp;$B$5&amp;")"</f>
        <v>Issues by root cause  (Jun 1 to Jul 15)</v>
      </c>
      <c r="AN1" s="23" t="str">
        <f>TEXT(Calc_Weekly!A155,"mm/dd")</f>
        <v>03/02</v>
      </c>
      <c r="AO1" s="23" t="str">
        <f>TEXT(Calc_Weekly!A106,"mm/dd")</f>
        <v>03/09</v>
      </c>
      <c r="AP1">
        <f>SUM(Calc_Weekly!C155:V155)</f>
        <v>6</v>
      </c>
      <c r="AQ1">
        <f>SUM(Calc_Weekly!C106:AA106)</f>
        <v>4</v>
      </c>
    </row>
    <row r="2" spans="1:43">
      <c r="H2" t="str">
        <f>"Issues after clean point  ("&amp;$B$5&amp;")"</f>
        <v>Issues after clean point  (Jun 1 to Jul 15)</v>
      </c>
      <c r="AN2" s="23" t="str">
        <f>TEXT(Calc_Weekly!A156,"mm/dd")</f>
        <v>03/09</v>
      </c>
      <c r="AO2" s="23" t="str">
        <f>TEXT(Calc_Weekly!A107,"mm/dd")</f>
        <v>03/16</v>
      </c>
      <c r="AP2">
        <f>SUM(Calc_Weekly!C156:V156)</f>
        <v>7</v>
      </c>
      <c r="AQ2">
        <f>SUM(Calc_Weekly!C107:AA107)</f>
        <v>3</v>
      </c>
    </row>
    <row r="3" spans="1:43" ht="14.4">
      <c r="A3" s="24" t="s">
        <v>1496</v>
      </c>
      <c r="B3" s="25">
        <f>Dashboard!$B$3</f>
        <v>46174</v>
      </c>
      <c r="C3" s="26" t="s">
        <v>1497</v>
      </c>
      <c r="H3" t="s">
        <v>1498</v>
      </c>
      <c r="AN3" s="23" t="str">
        <f>TEXT(Calc_Weekly!A157,"mm/dd")</f>
        <v>03/16</v>
      </c>
      <c r="AO3" s="23" t="str">
        <f>TEXT(Calc_Weekly!A108,"mm/dd")</f>
        <v>03/23</v>
      </c>
      <c r="AP3">
        <f>SUM(Calc_Weekly!C157:V157)</f>
        <v>24</v>
      </c>
      <c r="AQ3">
        <f>SUM(Calc_Weekly!C108:AA108)</f>
        <v>2</v>
      </c>
    </row>
    <row r="4" spans="1:43" ht="14.4">
      <c r="A4" s="24" t="s">
        <v>1499</v>
      </c>
      <c r="B4" s="25">
        <f>Dashboard!$B$4</f>
        <v>46218</v>
      </c>
      <c r="C4" s="26" t="s">
        <v>1500</v>
      </c>
      <c r="H4" t="s">
        <v>1501</v>
      </c>
      <c r="AA4">
        <f>IF(Settings!A4="","",IF(COUNTIF(Settings!$B$4:'Settings'!B4,Settings!B4)=1,ROW(Settings!B4),""))</f>
        <v>4</v>
      </c>
      <c r="AC4" t="str">
        <f>IF(Settings!A4="","",IF(Settings!B4=$B$34,ROW(Settings!B4),""))</f>
        <v/>
      </c>
      <c r="AN4" s="23" t="str">
        <f>TEXT(Calc_Weekly!A158,"mm/dd")</f>
        <v>03/23</v>
      </c>
      <c r="AO4" s="23" t="str">
        <f>TEXT(Calc_Weekly!A109,"mm/dd")</f>
        <v>03/30</v>
      </c>
      <c r="AP4">
        <f>SUM(Calc_Weekly!C158:V158)</f>
        <v>16</v>
      </c>
      <c r="AQ4">
        <f>SUM(Calc_Weekly!C109:AA109)</f>
        <v>4</v>
      </c>
    </row>
    <row r="5" spans="1:43">
      <c r="A5" s="24" t="s">
        <v>1502</v>
      </c>
      <c r="B5" s="27" t="str">
        <f>IF(AND($B$3="",$B$4=""),"All data",IF($B$3="","…",TEXT($B$3,"mmm d"))&amp;" to "&amp;IF($B$4="","…",TEXT($B$4,"mmm d")))</f>
        <v>Jun 1 to Jul 15</v>
      </c>
      <c r="AA5">
        <f>IF(Settings!A5="","",IF(COUNTIF(Settings!$B$4:'Settings'!B5,Settings!B5)=1,ROW(Settings!B5),""))</f>
        <v>5</v>
      </c>
      <c r="AC5">
        <f>IF(Settings!A5="","",IF(Settings!B5=$B$34,ROW(Settings!B5),""))</f>
        <v>5</v>
      </c>
      <c r="AN5" s="23" t="str">
        <f>TEXT(Calc_Weekly!A159,"mm/dd")</f>
        <v>03/30</v>
      </c>
      <c r="AO5" s="23" t="str">
        <f>TEXT(Calc_Weekly!A110,"mm/dd")</f>
        <v>04/06</v>
      </c>
      <c r="AP5">
        <f>SUM(Calc_Weekly!C159:V159)</f>
        <v>4</v>
      </c>
      <c r="AQ5">
        <f>SUM(Calc_Weekly!C110:AA110)</f>
        <v>9</v>
      </c>
    </row>
    <row r="6" spans="1:43">
      <c r="H6" t="str">
        <f>"Issues by root cause - after vs before clean point  ("&amp;$B$5&amp;")"</f>
        <v>Issues by root cause - after vs before clean point  (Jun 1 to Jul 15)</v>
      </c>
      <c r="AA6" t="str">
        <f>IF(Settings!A6="","",IF(COUNTIF(Settings!$B$4:'Settings'!B6,Settings!B6)=1,ROW(Settings!B6),""))</f>
        <v/>
      </c>
      <c r="AC6">
        <f>IF(Settings!A6="","",IF(Settings!B6=$B$34,ROW(Settings!B6),""))</f>
        <v>6</v>
      </c>
      <c r="AN6" s="23" t="str">
        <f>TEXT(Calc_Weekly!A160,"mm/dd")</f>
        <v>04/06</v>
      </c>
      <c r="AO6" s="23" t="str">
        <f>TEXT(Calc_Weekly!A111,"mm/dd")</f>
        <v>04/13</v>
      </c>
      <c r="AP6">
        <f>SUM(Calc_Weekly!C160:V160)</f>
        <v>15</v>
      </c>
      <c r="AQ6">
        <f>SUM(Calc_Weekly!C111:AA111)</f>
        <v>16</v>
      </c>
    </row>
    <row r="7" spans="1:43" ht="27.6">
      <c r="A7" s="17" t="s">
        <v>1139</v>
      </c>
      <c r="B7" s="17" t="s">
        <v>1503</v>
      </c>
      <c r="C7" s="17" t="s">
        <v>1504</v>
      </c>
      <c r="E7" s="17" t="s">
        <v>1139</v>
      </c>
      <c r="F7" s="17" t="s">
        <v>1504</v>
      </c>
      <c r="AA7" t="str">
        <f>IF(Settings!A7="","",IF(COUNTIF(Settings!$B$4:'Settings'!B7,Settings!B7)=1,ROW(Settings!B7),""))</f>
        <v/>
      </c>
      <c r="AC7">
        <f>IF(Settings!A7="","",IF(Settings!B7=$B$34,ROW(Settings!B7),""))</f>
        <v>7</v>
      </c>
      <c r="AN7" s="23" t="str">
        <f>TEXT(Calc_Weekly!A161,"mm/dd")</f>
        <v>04/13</v>
      </c>
      <c r="AO7" s="23" t="str">
        <f>TEXT(Calc_Weekly!A112,"mm/dd")</f>
        <v>04/20</v>
      </c>
      <c r="AP7">
        <f>SUM(Calc_Weekly!C161:V161)</f>
        <v>17</v>
      </c>
      <c r="AQ7">
        <f>SUM(Calc_Weekly!C112:AA112)</f>
        <v>8</v>
      </c>
    </row>
    <row r="8" spans="1:43">
      <c r="A8" t="str">
        <f>IFERROR(INDEX($K$8:$K$47,MATCH(LARGE($N$8:$N$47,1),$N$8:$N$47,0)),"")</f>
        <v>Door not closed (Overnight)</v>
      </c>
      <c r="B8">
        <f>IFERROR(INDEX($L$8:$L$47,MATCH(LARGE($N$8:$N$47,1),$N$8:$N$47,0)),"")</f>
        <v>14</v>
      </c>
      <c r="C8">
        <f>IFERROR(INDEX($M$8:$M$47,MATCH(LARGE($N$8:$N$47,1),$N$8:$N$47,0)),"")</f>
        <v>2</v>
      </c>
      <c r="E8" t="str">
        <f>IFERROR(INDEX($K$8:$K$47,MATCH(LARGE($O$8:$O$47,1),$O$8:$O$47,0)),"")</f>
        <v>False Alarm</v>
      </c>
      <c r="F8">
        <f>IFERROR(INDEX($M$8:$M$47,MATCH(LARGE($O$8:$O$47,1),$O$8:$O$47,0)),"")</f>
        <v>5</v>
      </c>
      <c r="K8" t="str">
        <f>IFERROR(INDEX(Settings!$A$4:$A$80,1),"")</f>
        <v>Ref. leak/ Low charge</v>
      </c>
      <c r="L8">
        <f>IF($K8="","",SUMPRODUCT((Summary!$E$5:$E$241=$K8)*ISNUMBER(Summary!$A$5:$A$241)*(Summary!$A$5:$A$241&gt;=IF($B$3="",0,$B$3))*(Summary!$A$5:$A$241&lt;IF($B$4="",2958465,$B$4+1))))</f>
        <v>4</v>
      </c>
      <c r="M8">
        <f>IF($K8="","",SUMPRODUCT((Summary!$E$5:$E$241=$K8)*(Summary!$G$5:$G$241="Yes")*ISNUMBER(Summary!$A$5:$A$241)*(Summary!$A$5:$A$241&gt;=IF($B$3="",0,$B$3))*(Summary!$A$5:$A$241&lt;IF($B$4="",2958465,$B$4+1))))</f>
        <v>2</v>
      </c>
      <c r="N8">
        <f>IF($K8="","",L8+(40)/100000)</f>
        <v>4.0004</v>
      </c>
      <c r="O8">
        <f>IF($K8="","",M8+(40)/100000)</f>
        <v>2.0004</v>
      </c>
      <c r="P8" t="str">
        <f>IFERROR(INDEX(Settings!$B$4:$B$80,1),"")</f>
        <v>Ref. leak/ Low charge</v>
      </c>
      <c r="Q8" t="str">
        <f>IFERROR(INDEX(Settings!$B$4:$B$80,SMALL($AA$4:$AA$80,1)-3),"")</f>
        <v>Ref. leak/ Low charge</v>
      </c>
      <c r="R8">
        <f t="shared" ref="R8:R32" si="0">IF($Q8="","",SUMIF($P$8:$P$47,$Q8,$L$8:$L$47))</f>
        <v>4</v>
      </c>
      <c r="S8">
        <f t="shared" ref="S8:S32" si="1">IF($Q8="","",SUMIF($P$8:$P$47,$Q8,$M$8:$M$47))</f>
        <v>2</v>
      </c>
      <c r="T8">
        <f>IF($Q8="","",R8+(25)/100000)</f>
        <v>4.0002500000000003</v>
      </c>
      <c r="U8">
        <f>IF($Q8="","",S8+(25)/100000)</f>
        <v>2.0002499999999999</v>
      </c>
      <c r="V8" t="str">
        <f>IFERROR(INDEX($Q$8:$Q$32,MATCH(LARGE($T$8:$T$32,1),$T$8:$T$32,0)),"")</f>
        <v>Doors</v>
      </c>
      <c r="W8">
        <f>IFERROR(INDEX($R$8:$R$32,MATCH(LARGE($T$8:$T$32,1),$T$8:$T$32,0)),"")</f>
        <v>29</v>
      </c>
      <c r="X8" t="str">
        <f>IFERROR(INDEX($Q$8:$Q$32,MATCH(LARGE($U$8:$U$32,1),$U$8:$U$32,0)),"")</f>
        <v>Doors</v>
      </c>
      <c r="Y8">
        <f>IFERROR(INDEX($S$8:$S$32,MATCH(LARGE($U$8:$U$32,1),$U$8:$U$32,0)),"")</f>
        <v>5</v>
      </c>
      <c r="AA8" t="str">
        <f>IF(Settings!A8="","",IF(COUNTIF(Settings!$B$4:'Settings'!B8,Settings!B8)=1,ROW(Settings!B8),""))</f>
        <v/>
      </c>
      <c r="AC8">
        <f>IF(Settings!A8="","",IF(Settings!B8=$B$34,ROW(Settings!B8),""))</f>
        <v>8</v>
      </c>
      <c r="AD8">
        <f>IF($Q8="","",COUNTIF(Settings!$B$4:$B$80,$Q8))</f>
        <v>1</v>
      </c>
      <c r="AE8" t="str">
        <f t="shared" ref="AE8:AE32" si="2">IF(AND($Q8&lt;&gt;"",$AD8&gt;1),ROW(),"")</f>
        <v/>
      </c>
      <c r="AN8" s="23" t="str">
        <f>TEXT(Calc_Weekly!A162,"mm/dd")</f>
        <v>04/20</v>
      </c>
      <c r="AO8" s="23" t="str">
        <f>TEXT(Calc_Weekly!A113,"mm/dd")</f>
        <v>04/27</v>
      </c>
      <c r="AP8">
        <f>SUM(Calc_Weekly!C162:V162)</f>
        <v>6</v>
      </c>
      <c r="AQ8">
        <f>SUM(Calc_Weekly!C113:AA113)</f>
        <v>1</v>
      </c>
    </row>
    <row r="9" spans="1:43">
      <c r="A9" t="str">
        <f>IFERROR(INDEX($K$8:$K$47,MATCH(LARGE($N$8:$N$47,2),$N$8:$N$47,0)),"")</f>
        <v>False Alarm</v>
      </c>
      <c r="B9">
        <f>IFERROR(INDEX($L$8:$L$47,MATCH(LARGE($N$8:$N$47,2),$N$8:$N$47,0)),"")</f>
        <v>11</v>
      </c>
      <c r="C9">
        <f>IFERROR(INDEX($M$8:$M$47,MATCH(LARGE($N$8:$N$47,2),$N$8:$N$47,0)),"")</f>
        <v>5</v>
      </c>
      <c r="E9" t="str">
        <f>IFERROR(INDEX($K$8:$K$47,MATCH(LARGE($O$8:$O$47,2),$O$8:$O$47,0)),"")</f>
        <v>High Store RH</v>
      </c>
      <c r="F9">
        <f>IFERROR(INDEX($M$8:$M$47,MATCH(LARGE($O$8:$O$47,2),$O$8:$O$47,0)),"")</f>
        <v>4</v>
      </c>
      <c r="K9" t="str">
        <f>IFERROR(INDEX(Settings!$A$4:$A$80,2),"")</f>
        <v>Door Torque</v>
      </c>
      <c r="L9">
        <f>IF($K9="","",SUMPRODUCT((Summary!$E$5:$E$241=$K9)*ISNUMBER(Summary!$A$5:$A$241)*(Summary!$A$5:$A$241&gt;=IF($B$3="",0,$B$3))*(Summary!$A$5:$A$241&lt;IF($B$4="",2958465,$B$4+1))))</f>
        <v>7</v>
      </c>
      <c r="M9">
        <f>IF($K9="","",SUMPRODUCT((Summary!$E$5:$E$241=$K9)*(Summary!$G$5:$G$241="Yes")*ISNUMBER(Summary!$A$5:$A$241)*(Summary!$A$5:$A$241&gt;=IF($B$3="",0,$B$3))*(Summary!$A$5:$A$241&lt;IF($B$4="",2958465,$B$4+1))))</f>
        <v>1</v>
      </c>
      <c r="N9">
        <f>IF($K9="","",L9+(39)/100000)</f>
        <v>7.0003900000000003</v>
      </c>
      <c r="O9">
        <f>IF($K9="","",M9+(39)/100000)</f>
        <v>1.0003899999999999</v>
      </c>
      <c r="P9" t="str">
        <f>IFERROR(INDEX(Settings!$B$4:$B$80,2),"")</f>
        <v>Doors</v>
      </c>
      <c r="Q9" t="str">
        <f>IFERROR(INDEX(Settings!$B$4:$B$80,SMALL($AA$4:$AA$80,2)-3),"")</f>
        <v>Doors</v>
      </c>
      <c r="R9">
        <f t="shared" si="0"/>
        <v>29</v>
      </c>
      <c r="S9">
        <f t="shared" si="1"/>
        <v>5</v>
      </c>
      <c r="T9">
        <f>IF($Q9="","",R9+(24)/100000)</f>
        <v>29.000240000000002</v>
      </c>
      <c r="U9">
        <f>IF($Q9="","",S9+(24)/100000)</f>
        <v>5.0002399999999998</v>
      </c>
      <c r="V9" t="str">
        <f>IFERROR(INDEX($Q$8:$Q$32,MATCH(LARGE($T$8:$T$32,2),$T$8:$T$32,0)),"")</f>
        <v>False Alarm</v>
      </c>
      <c r="W9">
        <f>IFERROR(INDEX($R$8:$R$32,MATCH(LARGE($T$8:$T$32,2),$T$8:$T$32,0)),"")</f>
        <v>11</v>
      </c>
      <c r="X9" t="str">
        <f>IFERROR(INDEX($Q$8:$Q$32,MATCH(LARGE($U$8:$U$32,2),$U$8:$U$32,0)),"")</f>
        <v>False Alarm</v>
      </c>
      <c r="Y9">
        <f>IFERROR(INDEX($S$8:$S$32,MATCH(LARGE($U$8:$U$32,2),$U$8:$U$32,0)),"")</f>
        <v>5</v>
      </c>
      <c r="AA9" t="str">
        <f>IF(Settings!A9="","",IF(COUNTIF(Settings!$B$4:'Settings'!B9,Settings!B9)=1,ROW(Settings!B9),""))</f>
        <v/>
      </c>
      <c r="AC9">
        <f>IF(Settings!A9="","",IF(Settings!B9=$B$34,ROW(Settings!B9),""))</f>
        <v>9</v>
      </c>
      <c r="AD9">
        <f>IF($Q9="","",COUNTIF(Settings!$B$4:$B$80,$Q9))</f>
        <v>6</v>
      </c>
      <c r="AE9">
        <f t="shared" si="2"/>
        <v>9</v>
      </c>
      <c r="AN9" s="23" t="str">
        <f>TEXT(Calc_Weekly!A163,"mm/dd")</f>
        <v>04/27</v>
      </c>
      <c r="AO9" s="23" t="str">
        <f>TEXT(Calc_Weekly!A114,"mm/dd")</f>
        <v>05/04</v>
      </c>
      <c r="AP9">
        <f>SUM(Calc_Weekly!C163:V163)</f>
        <v>7</v>
      </c>
      <c r="AQ9">
        <f>SUM(Calc_Weekly!C114:AA114)</f>
        <v>5</v>
      </c>
    </row>
    <row r="10" spans="1:43">
      <c r="A10" t="str">
        <f>IFERROR(INDEX($K$8:$K$47,MATCH(LARGE($N$8:$N$47,3),$N$8:$N$47,0)),"")</f>
        <v>High Store RH</v>
      </c>
      <c r="B10">
        <f>IFERROR(INDEX($L$8:$L$47,MATCH(LARGE($N$8:$N$47,3),$N$8:$N$47,0)),"")</f>
        <v>9</v>
      </c>
      <c r="C10">
        <f>IFERROR(INDEX($M$8:$M$47,MATCH(LARGE($N$8:$N$47,3),$N$8:$N$47,0)),"")</f>
        <v>4</v>
      </c>
      <c r="E10" t="str">
        <f>IFERROR(INDEX($K$8:$K$47,MATCH(LARGE($O$8:$O$47,3),$O$8:$O$47,0)),"")</f>
        <v>Overstocking</v>
      </c>
      <c r="F10">
        <f>IFERROR(INDEX($M$8:$M$47,MATCH(LARGE($O$8:$O$47,3),$O$8:$O$47,0)),"")</f>
        <v>3</v>
      </c>
      <c r="K10" t="str">
        <f>IFERROR(INDEX(Settings!$A$4:$A$80,3),"")</f>
        <v>Door Gasket</v>
      </c>
      <c r="L10">
        <f>IF($K10="","",SUMPRODUCT((Summary!$E$5:$E$241=$K10)*ISNUMBER(Summary!$A$5:$A$241)*(Summary!$A$5:$A$241&gt;=IF($B$3="",0,$B$3))*(Summary!$A$5:$A$241&lt;IF($B$4="",2958465,$B$4+1))))</f>
        <v>3</v>
      </c>
      <c r="M10">
        <f>IF($K10="","",SUMPRODUCT((Summary!$E$5:$E$241=$K10)*(Summary!$G$5:$G$241="Yes")*ISNUMBER(Summary!$A$5:$A$241)*(Summary!$A$5:$A$241&gt;=IF($B$3="",0,$B$3))*(Summary!$A$5:$A$241&lt;IF($B$4="",2958465,$B$4+1))))</f>
        <v>0</v>
      </c>
      <c r="N10">
        <f>IF($K10="","",L10+(38)/100000)</f>
        <v>3.0003799999999998</v>
      </c>
      <c r="O10">
        <f>IF($K10="","",M10+(38)/100000)</f>
        <v>3.8000000000000002E-4</v>
      </c>
      <c r="P10" t="str">
        <f>IFERROR(INDEX(Settings!$B$4:$B$80,3),"")</f>
        <v>Doors</v>
      </c>
      <c r="Q10" t="str">
        <f>IFERROR(INDEX(Settings!$B$4:$B$80,SMALL($AA$4:$AA$80,3)-3),"")</f>
        <v>Drain tube blocked</v>
      </c>
      <c r="R10">
        <f t="shared" si="0"/>
        <v>3</v>
      </c>
      <c r="S10">
        <f t="shared" si="1"/>
        <v>0</v>
      </c>
      <c r="T10">
        <f>IF($Q10="","",R10+(23)/100000)</f>
        <v>3.0002300000000002</v>
      </c>
      <c r="U10">
        <f>IF($Q10="","",S10+(23)/100000)</f>
        <v>2.3000000000000001E-4</v>
      </c>
      <c r="V10" t="str">
        <f>IFERROR(INDEX($Q$8:$Q$32,MATCH(LARGE($T$8:$T$32,3),$T$8:$T$32,0)),"")</f>
        <v>High Store RH</v>
      </c>
      <c r="W10">
        <f>IFERROR(INDEX($R$8:$R$32,MATCH(LARGE($T$8:$T$32,3),$T$8:$T$32,0)),"")</f>
        <v>9</v>
      </c>
      <c r="X10" t="str">
        <f>IFERROR(INDEX($Q$8:$Q$32,MATCH(LARGE($U$8:$U$32,3),$U$8:$U$32,0)),"")</f>
        <v>High Store RH</v>
      </c>
      <c r="Y10">
        <f>IFERROR(INDEX($S$8:$S$32,MATCH(LARGE($U$8:$U$32,3),$U$8:$U$32,0)),"")</f>
        <v>4</v>
      </c>
      <c r="AA10" t="str">
        <f>IF(Settings!A10="","",IF(COUNTIF(Settings!$B$4:'Settings'!B10,Settings!B10)=1,ROW(Settings!B10),""))</f>
        <v/>
      </c>
      <c r="AC10">
        <f>IF(Settings!A10="","",IF(Settings!B10=$B$34,ROW(Settings!B10),""))</f>
        <v>10</v>
      </c>
      <c r="AD10">
        <f>IF($Q10="","",COUNTIF(Settings!$B$4:$B$80,$Q10))</f>
        <v>1</v>
      </c>
      <c r="AE10" t="str">
        <f t="shared" si="2"/>
        <v/>
      </c>
      <c r="AN10" s="23" t="str">
        <f>TEXT(Calc_Weekly!A164,"mm/dd")</f>
        <v>05/04</v>
      </c>
      <c r="AO10" s="23" t="str">
        <f>TEXT(Calc_Weekly!A115,"mm/dd")</f>
        <v>05/11</v>
      </c>
      <c r="AP10">
        <f>SUM(Calc_Weekly!C164:V164)</f>
        <v>8</v>
      </c>
      <c r="AQ10">
        <f>SUM(Calc_Weekly!C115:AA115)</f>
        <v>11</v>
      </c>
    </row>
    <row r="11" spans="1:43">
      <c r="A11" t="str">
        <f>IFERROR(INDEX($K$8:$K$47,MATCH(LARGE($N$8:$N$47,4),$N$8:$N$47,0)),"")</f>
        <v>Door Torque</v>
      </c>
      <c r="B11">
        <f>IFERROR(INDEX($L$8:$L$47,MATCH(LARGE($N$8:$N$47,4),$N$8:$N$47,0)),"")</f>
        <v>7</v>
      </c>
      <c r="C11">
        <f>IFERROR(INDEX($M$8:$M$47,MATCH(LARGE($N$8:$N$47,4),$N$8:$N$47,0)),"")</f>
        <v>1</v>
      </c>
      <c r="E11" t="str">
        <f>IFERROR(INDEX($K$8:$K$47,MATCH(LARGE($O$8:$O$47,4),$O$8:$O$47,0)),"")</f>
        <v>Ref. leak/ Low charge</v>
      </c>
      <c r="F11">
        <f>IFERROR(INDEX($M$8:$M$47,MATCH(LARGE($O$8:$O$47,4),$O$8:$O$47,0)),"")</f>
        <v>2</v>
      </c>
      <c r="K11" t="str">
        <f>IFERROR(INDEX(Settings!$A$4:$A$80,4),"")</f>
        <v>Door frame heater</v>
      </c>
      <c r="L11">
        <f>IF($K11="","",SUMPRODUCT((Summary!$E$5:$E$241=$K11)*ISNUMBER(Summary!$A$5:$A$241)*(Summary!$A$5:$A$241&gt;=IF($B$3="",0,$B$3))*(Summary!$A$5:$A$241&lt;IF($B$4="",2958465,$B$4+1))))</f>
        <v>3</v>
      </c>
      <c r="M11">
        <f>IF($K11="","",SUMPRODUCT((Summary!$E$5:$E$241=$K11)*(Summary!$G$5:$G$241="Yes")*ISNUMBER(Summary!$A$5:$A$241)*(Summary!$A$5:$A$241&gt;=IF($B$3="",0,$B$3))*(Summary!$A$5:$A$241&lt;IF($B$4="",2958465,$B$4+1))))</f>
        <v>0</v>
      </c>
      <c r="N11">
        <f>IF($K11="","",L11+(37)/100000)</f>
        <v>3.0003700000000002</v>
      </c>
      <c r="O11">
        <f>IF($K11="","",M11+(37)/100000)</f>
        <v>3.6999999999999999E-4</v>
      </c>
      <c r="P11" t="str">
        <f>IFERROR(INDEX(Settings!$B$4:$B$80,4),"")</f>
        <v>Doors</v>
      </c>
      <c r="Q11" t="str">
        <f>IFERROR(INDEX(Settings!$B$4:$B$80,SMALL($AA$4:$AA$80,4)-3),"")</f>
        <v>Wrong / Loose wiring</v>
      </c>
      <c r="R11">
        <f t="shared" si="0"/>
        <v>2</v>
      </c>
      <c r="S11">
        <f t="shared" si="1"/>
        <v>2</v>
      </c>
      <c r="T11">
        <f>IF($Q11="","",R11+(22)/100000)</f>
        <v>2.0002200000000001</v>
      </c>
      <c r="U11">
        <f>IF($Q11="","",S11+(22)/100000)</f>
        <v>2.0002200000000001</v>
      </c>
      <c r="V11" t="str">
        <f>IFERROR(INDEX($Q$8:$Q$32,MATCH(LARGE($T$8:$T$32,4),$T$8:$T$32,0)),"")</f>
        <v>DG Installation issue</v>
      </c>
      <c r="W11">
        <f>IFERROR(INDEX($R$8:$R$32,MATCH(LARGE($T$8:$T$32,4),$T$8:$T$32,0)),"")</f>
        <v>5</v>
      </c>
      <c r="X11" t="str">
        <f>IFERROR(INDEX($Q$8:$Q$32,MATCH(LARGE($U$8:$U$32,4),$U$8:$U$32,0)),"")</f>
        <v>Overstocking</v>
      </c>
      <c r="Y11">
        <f>IFERROR(INDEX($S$8:$S$32,MATCH(LARGE($U$8:$U$32,4),$U$8:$U$32,0)),"")</f>
        <v>3</v>
      </c>
      <c r="AA11">
        <f>IF(Settings!A11="","",IF(COUNTIF(Settings!$B$4:'Settings'!B11,Settings!B11)=1,ROW(Settings!B11),""))</f>
        <v>11</v>
      </c>
      <c r="AC11" t="str">
        <f>IF(Settings!A11="","",IF(Settings!B11=$B$34,ROW(Settings!B11),""))</f>
        <v/>
      </c>
      <c r="AD11">
        <f>IF($Q11="","",COUNTIF(Settings!$B$4:$B$80,$Q11))</f>
        <v>1</v>
      </c>
      <c r="AE11" t="str">
        <f t="shared" si="2"/>
        <v/>
      </c>
      <c r="AN11" s="23" t="str">
        <f>TEXT(Calc_Weekly!A165,"mm/dd")</f>
        <v>05/11</v>
      </c>
      <c r="AO11" s="23" t="str">
        <f>TEXT(Calc_Weekly!A116,"mm/dd")</f>
        <v>05/18</v>
      </c>
      <c r="AP11">
        <f>SUM(Calc_Weekly!C165:V165)</f>
        <v>2</v>
      </c>
      <c r="AQ11">
        <f>SUM(Calc_Weekly!C116:AA116)</f>
        <v>4</v>
      </c>
    </row>
    <row r="12" spans="1:43">
      <c r="A12" t="str">
        <f>IFERROR(INDEX($K$8:$K$47,MATCH(LARGE($N$8:$N$47,5),$N$8:$N$47,0)),"")</f>
        <v>DG Installation issue</v>
      </c>
      <c r="B12">
        <f>IFERROR(INDEX($L$8:$L$47,MATCH(LARGE($N$8:$N$47,5),$N$8:$N$47,0)),"")</f>
        <v>5</v>
      </c>
      <c r="C12">
        <f>IFERROR(INDEX($M$8:$M$47,MATCH(LARGE($N$8:$N$47,5),$N$8:$N$47,0)),"")</f>
        <v>1</v>
      </c>
      <c r="E12" t="str">
        <f>IFERROR(INDEX($K$8:$K$47,MATCH(LARGE($O$8:$O$47,5),$O$8:$O$47,0)),"")</f>
        <v>Door not closed (Overnight)</v>
      </c>
      <c r="F12">
        <f>IFERROR(INDEX($M$8:$M$47,MATCH(LARGE($O$8:$O$47,5),$O$8:$O$47,0)),"")</f>
        <v>2</v>
      </c>
      <c r="K12" t="str">
        <f>IFERROR(INDEX(Settings!$A$4:$A$80,5),"")</f>
        <v>Door Torsion rod</v>
      </c>
      <c r="L12">
        <f>IF($K12="","",SUMPRODUCT((Summary!$E$5:$E$241=$K12)*ISNUMBER(Summary!$A$5:$A$241)*(Summary!$A$5:$A$241&gt;=IF($B$3="",0,$B$3))*(Summary!$A$5:$A$241&lt;IF($B$4="",2958465,$B$4+1))))</f>
        <v>1</v>
      </c>
      <c r="M12">
        <f>IF($K12="","",SUMPRODUCT((Summary!$E$5:$E$241=$K12)*(Summary!$G$5:$G$241="Yes")*ISNUMBER(Summary!$A$5:$A$241)*(Summary!$A$5:$A$241&gt;=IF($B$3="",0,$B$3))*(Summary!$A$5:$A$241&lt;IF($B$4="",2958465,$B$4+1))))</f>
        <v>1</v>
      </c>
      <c r="N12">
        <f>IF($K12="","",L12+(36)/100000)</f>
        <v>1.0003599999999999</v>
      </c>
      <c r="O12">
        <f>IF($K12="","",M12+(36)/100000)</f>
        <v>1.0003599999999999</v>
      </c>
      <c r="P12" t="str">
        <f>IFERROR(INDEX(Settings!$B$4:$B$80,5),"")</f>
        <v>Doors</v>
      </c>
      <c r="Q12" t="str">
        <f>IFERROR(INDEX(Settings!$B$4:$B$80,SMALL($AA$4:$AA$80,5)-3),"")</f>
        <v>Communication problem</v>
      </c>
      <c r="R12">
        <f t="shared" si="0"/>
        <v>4</v>
      </c>
      <c r="S12">
        <f t="shared" si="1"/>
        <v>1</v>
      </c>
      <c r="T12">
        <f>IF($Q12="","",R12+(21)/100000)</f>
        <v>4.00021</v>
      </c>
      <c r="U12">
        <f>IF($Q12="","",S12+(21)/100000)</f>
        <v>1.00021</v>
      </c>
      <c r="V12" t="str">
        <f>IFERROR(INDEX($Q$8:$Q$32,MATCH(LARGE($T$8:$T$32,5),$T$8:$T$32,0)),"")</f>
        <v>Unknown</v>
      </c>
      <c r="W12">
        <f>IFERROR(INDEX($R$8:$R$32,MATCH(LARGE($T$8:$T$32,5),$T$8:$T$32,0)),"")</f>
        <v>5</v>
      </c>
      <c r="X12" t="str">
        <f>IFERROR(INDEX($Q$8:$Q$32,MATCH(LARGE($U$8:$U$32,5),$U$8:$U$32,0)),"")</f>
        <v>Ref. leak/ Low charge</v>
      </c>
      <c r="Y12">
        <f>IFERROR(INDEX($S$8:$S$32,MATCH(LARGE($U$8:$U$32,5),$U$8:$U$32,0)),"")</f>
        <v>2</v>
      </c>
      <c r="AA12">
        <f>IF(Settings!A12="","",IF(COUNTIF(Settings!$B$4:'Settings'!B12,Settings!B12)=1,ROW(Settings!B12),""))</f>
        <v>12</v>
      </c>
      <c r="AC12" t="str">
        <f>IF(Settings!A12="","",IF(Settings!B12=$B$34,ROW(Settings!B12),""))</f>
        <v/>
      </c>
      <c r="AD12">
        <f>IF($Q12="","",COUNTIF(Settings!$B$4:$B$80,$Q12))</f>
        <v>1</v>
      </c>
      <c r="AE12" t="str">
        <f t="shared" si="2"/>
        <v/>
      </c>
      <c r="AN12" s="23" t="str">
        <f>TEXT(Calc_Weekly!A166,"mm/dd")</f>
        <v>05/18</v>
      </c>
      <c r="AO12" s="23" t="str">
        <f>TEXT(Calc_Weekly!A117,"mm/dd")</f>
        <v>05/25</v>
      </c>
      <c r="AP12">
        <f>SUM(Calc_Weekly!C166:V166)</f>
        <v>5</v>
      </c>
      <c r="AQ12">
        <f>SUM(Calc_Weekly!C117:AA117)</f>
        <v>6</v>
      </c>
    </row>
    <row r="13" spans="1:43">
      <c r="A13" t="str">
        <f>IFERROR(INDEX($K$8:$K$47,MATCH(LARGE($N$8:$N$47,6),$N$8:$N$47,0)),"")</f>
        <v>Unknown</v>
      </c>
      <c r="B13">
        <f>IFERROR(INDEX($L$8:$L$47,MATCH(LARGE($N$8:$N$47,6),$N$8:$N$47,0)),"")</f>
        <v>5</v>
      </c>
      <c r="C13">
        <f>IFERROR(INDEX($M$8:$M$47,MATCH(LARGE($N$8:$N$47,6),$N$8:$N$47,0)),"")</f>
        <v>0</v>
      </c>
      <c r="E13" t="str">
        <f>IFERROR(INDEX($K$8:$K$47,MATCH(LARGE($O$8:$O$47,6),$O$8:$O$47,0)),"")</f>
        <v>Wrong / Loose wiring</v>
      </c>
      <c r="F13">
        <f>IFERROR(INDEX($M$8:$M$47,MATCH(LARGE($O$8:$O$47,6),$O$8:$O$47,0)),"")</f>
        <v>2</v>
      </c>
      <c r="K13" t="str">
        <f>IFERROR(INDEX(Settings!$A$4:$A$80,6),"")</f>
        <v>Door not closed (Overnight)</v>
      </c>
      <c r="L13">
        <f>IF($K13="","",SUMPRODUCT((Summary!$E$5:$E$241=$K13)*ISNUMBER(Summary!$A$5:$A$241)*(Summary!$A$5:$A$241&gt;=IF($B$3="",0,$B$3))*(Summary!$A$5:$A$241&lt;IF($B$4="",2958465,$B$4+1))))</f>
        <v>14</v>
      </c>
      <c r="M13">
        <f>IF($K13="","",SUMPRODUCT((Summary!$E$5:$E$241=$K13)*(Summary!$G$5:$G$241="Yes")*ISNUMBER(Summary!$A$5:$A$241)*(Summary!$A$5:$A$241&gt;=IF($B$3="",0,$B$3))*(Summary!$A$5:$A$241&lt;IF($B$4="",2958465,$B$4+1))))</f>
        <v>2</v>
      </c>
      <c r="N13">
        <f>IF($K13="","",L13+(35)/100000)</f>
        <v>14.000349999999999</v>
      </c>
      <c r="O13">
        <f>IF($K13="","",M13+(35)/100000)</f>
        <v>2.0003500000000001</v>
      </c>
      <c r="P13" t="str">
        <f>IFERROR(INDEX(Settings!$B$4:$B$80,6),"")</f>
        <v>Doors</v>
      </c>
      <c r="Q13" t="str">
        <f>IFERROR(INDEX(Settings!$B$4:$B$80,SMALL($AA$4:$AA$80,6)-3),"")</f>
        <v>High Store RH</v>
      </c>
      <c r="R13">
        <f t="shared" si="0"/>
        <v>9</v>
      </c>
      <c r="S13">
        <f t="shared" si="1"/>
        <v>4</v>
      </c>
      <c r="T13">
        <f>IF($Q13="","",R13+(20)/100000)</f>
        <v>9.0001999999999995</v>
      </c>
      <c r="U13">
        <f>IF($Q13="","",S13+(20)/100000)</f>
        <v>4.0002000000000004</v>
      </c>
      <c r="V13" t="str">
        <f>IFERROR(INDEX($Q$8:$Q$32,MATCH(LARGE($T$8:$T$32,6),$T$8:$T$32,0)),"")</f>
        <v>Ref. leak/ Low charge</v>
      </c>
      <c r="W13">
        <f>IFERROR(INDEX($R$8:$R$32,MATCH(LARGE($T$8:$T$32,6),$T$8:$T$32,0)),"")</f>
        <v>4</v>
      </c>
      <c r="X13" t="str">
        <f>IFERROR(INDEX($Q$8:$Q$32,MATCH(LARGE($U$8:$U$32,6),$U$8:$U$32,0)),"")</f>
        <v>Wrong / Loose wiring</v>
      </c>
      <c r="Y13">
        <f>IFERROR(INDEX($S$8:$S$32,MATCH(LARGE($U$8:$U$32,6),$U$8:$U$32,0)),"")</f>
        <v>2</v>
      </c>
      <c r="AA13">
        <f>IF(Settings!A13="","",IF(COUNTIF(Settings!$B$4:'Settings'!B13,Settings!B13)=1,ROW(Settings!B13),""))</f>
        <v>13</v>
      </c>
      <c r="AC13" t="str">
        <f>IF(Settings!A13="","",IF(Settings!B13=$B$34,ROW(Settings!B13),""))</f>
        <v/>
      </c>
      <c r="AD13">
        <f>IF($Q13="","",COUNTIF(Settings!$B$4:$B$80,$Q13))</f>
        <v>1</v>
      </c>
      <c r="AE13" t="str">
        <f t="shared" si="2"/>
        <v/>
      </c>
      <c r="AN13" s="23" t="str">
        <f>TEXT(Calc_Weekly!A167,"mm/dd")</f>
        <v>05/25</v>
      </c>
      <c r="AO13" s="23" t="str">
        <f>TEXT(Calc_Weekly!A118,"mm/dd")</f>
        <v>06/01</v>
      </c>
      <c r="AP13">
        <f>SUM(Calc_Weekly!C167:V167)</f>
        <v>4</v>
      </c>
      <c r="AQ13">
        <f>SUM(Calc_Weekly!C118:AA118)</f>
        <v>8</v>
      </c>
    </row>
    <row r="14" spans="1:43">
      <c r="A14" t="str">
        <f>IFERROR(INDEX($K$8:$K$47,MATCH(LARGE($N$8:$N$47,7),$N$8:$N$47,0)),"")</f>
        <v>Ref. leak/ Low charge</v>
      </c>
      <c r="B14">
        <f>IFERROR(INDEX($L$8:$L$47,MATCH(LARGE($N$8:$N$47,7),$N$8:$N$47,0)),"")</f>
        <v>4</v>
      </c>
      <c r="C14">
        <f>IFERROR(INDEX($M$8:$M$47,MATCH(LARGE($N$8:$N$47,7),$N$8:$N$47,0)),"")</f>
        <v>2</v>
      </c>
      <c r="E14" t="str">
        <f>IFERROR(INDEX($K$8:$K$47,MATCH(LARGE($O$8:$O$47,7),$O$8:$O$47,0)),"")</f>
        <v>Door Torque</v>
      </c>
      <c r="F14">
        <f>IFERROR(INDEX($M$8:$M$47,MATCH(LARGE($O$8:$O$47,7),$O$8:$O$47,0)),"")</f>
        <v>1</v>
      </c>
      <c r="K14" t="str">
        <f>IFERROR(INDEX(Settings!$A$4:$A$80,7),"")</f>
        <v>Door - general</v>
      </c>
      <c r="L14">
        <f>IF($K14="","",SUMPRODUCT((Summary!$E$5:$E$241=$K14)*ISNUMBER(Summary!$A$5:$A$241)*(Summary!$A$5:$A$241&gt;=IF($B$3="",0,$B$3))*(Summary!$A$5:$A$241&lt;IF($B$4="",2958465,$B$4+1))))</f>
        <v>1</v>
      </c>
      <c r="M14">
        <f>IF($K14="","",SUMPRODUCT((Summary!$E$5:$E$241=$K14)*(Summary!$G$5:$G$241="Yes")*ISNUMBER(Summary!$A$5:$A$241)*(Summary!$A$5:$A$241&gt;=IF($B$3="",0,$B$3))*(Summary!$A$5:$A$241&lt;IF($B$4="",2958465,$B$4+1))))</f>
        <v>1</v>
      </c>
      <c r="N14">
        <f>IF($K14="","",L14+(34)/100000)</f>
        <v>1.00034</v>
      </c>
      <c r="O14">
        <f>IF($K14="","",M14+(34)/100000)</f>
        <v>1.00034</v>
      </c>
      <c r="P14" t="str">
        <f>IFERROR(INDEX(Settings!$B$4:$B$80,7),"")</f>
        <v>Doors</v>
      </c>
      <c r="Q14" t="str">
        <f>IFERROR(INDEX(Settings!$B$4:$B$80,SMALL($AA$4:$AA$80,7)-3),"")</f>
        <v>Enclosure Seal</v>
      </c>
      <c r="R14">
        <f t="shared" si="0"/>
        <v>0</v>
      </c>
      <c r="S14">
        <f t="shared" si="1"/>
        <v>0</v>
      </c>
      <c r="T14">
        <f>IF($Q14="","",R14+(19)/100000)</f>
        <v>1.9000000000000001E-4</v>
      </c>
      <c r="U14">
        <f>IF($Q14="","",S14+(19)/100000)</f>
        <v>1.9000000000000001E-4</v>
      </c>
      <c r="V14" t="str">
        <f>IFERROR(INDEX($Q$8:$Q$32,MATCH(LARGE($T$8:$T$32,7),$T$8:$T$32,0)),"")</f>
        <v>Communication problem</v>
      </c>
      <c r="W14">
        <f>IFERROR(INDEX($R$8:$R$32,MATCH(LARGE($T$8:$T$32,7),$T$8:$T$32,0)),"")</f>
        <v>4</v>
      </c>
      <c r="X14" t="str">
        <f>IFERROR(INDEX($Q$8:$Q$32,MATCH(LARGE($U$8:$U$32,7),$U$8:$U$32,0)),"")</f>
        <v>Communication problem</v>
      </c>
      <c r="Y14">
        <f>IFERROR(INDEX($S$8:$S$32,MATCH(LARGE($U$8:$U$32,7),$U$8:$U$32,0)),"")</f>
        <v>1</v>
      </c>
      <c r="AA14">
        <f>IF(Settings!A14="","",IF(COUNTIF(Settings!$B$4:'Settings'!B14,Settings!B14)=1,ROW(Settings!B14),""))</f>
        <v>14</v>
      </c>
      <c r="AC14" t="str">
        <f>IF(Settings!A14="","",IF(Settings!B14=$B$34,ROW(Settings!B14),""))</f>
        <v/>
      </c>
      <c r="AD14">
        <f>IF($Q14="","",COUNTIF(Settings!$B$4:$B$80,$Q14))</f>
        <v>1</v>
      </c>
      <c r="AE14" t="str">
        <f t="shared" si="2"/>
        <v/>
      </c>
      <c r="AN14" s="23" t="str">
        <f>TEXT(Calc_Weekly!A168,"mm/dd")</f>
        <v>06/01</v>
      </c>
      <c r="AO14" s="23" t="str">
        <f>TEXT(Calc_Weekly!A119,"mm/dd")</f>
        <v>06/08</v>
      </c>
      <c r="AP14">
        <f>SUM(Calc_Weekly!C168:V168)</f>
        <v>2</v>
      </c>
      <c r="AQ14">
        <f>SUM(Calc_Weekly!C119:AA119)</f>
        <v>16</v>
      </c>
    </row>
    <row r="15" spans="1:43">
      <c r="A15" t="str">
        <f>IFERROR(INDEX($K$8:$K$47,MATCH(LARGE($N$8:$N$47,8),$N$8:$N$47,0)),"")</f>
        <v>Communication problem</v>
      </c>
      <c r="B15">
        <f>IFERROR(INDEX($L$8:$L$47,MATCH(LARGE($N$8:$N$47,8),$N$8:$N$47,0)),"")</f>
        <v>4</v>
      </c>
      <c r="C15">
        <f>IFERROR(INDEX($M$8:$M$47,MATCH(LARGE($N$8:$N$47,8),$N$8:$N$47,0)),"")</f>
        <v>1</v>
      </c>
      <c r="E15" t="str">
        <f>IFERROR(INDEX($K$8:$K$47,MATCH(LARGE($O$8:$O$47,8),$O$8:$O$47,0)),"")</f>
        <v>Door Torsion rod</v>
      </c>
      <c r="F15">
        <f>IFERROR(INDEX($M$8:$M$47,MATCH(LARGE($O$8:$O$47,8),$O$8:$O$47,0)),"")</f>
        <v>1</v>
      </c>
      <c r="K15" t="str">
        <f>IFERROR(INDEX(Settings!$A$4:$A$80,8),"")</f>
        <v>Drain tube blocked</v>
      </c>
      <c r="L15">
        <f>IF($K15="","",SUMPRODUCT((Summary!$E$5:$E$241=$K15)*ISNUMBER(Summary!$A$5:$A$241)*(Summary!$A$5:$A$241&gt;=IF($B$3="",0,$B$3))*(Summary!$A$5:$A$241&lt;IF($B$4="",2958465,$B$4+1))))</f>
        <v>3</v>
      </c>
      <c r="M15">
        <f>IF($K15="","",SUMPRODUCT((Summary!$E$5:$E$241=$K15)*(Summary!$G$5:$G$241="Yes")*ISNUMBER(Summary!$A$5:$A$241)*(Summary!$A$5:$A$241&gt;=IF($B$3="",0,$B$3))*(Summary!$A$5:$A$241&lt;IF($B$4="",2958465,$B$4+1))))</f>
        <v>0</v>
      </c>
      <c r="N15">
        <f>IF($K15="","",L15+(33)/100000)</f>
        <v>3.0003299999999999</v>
      </c>
      <c r="O15">
        <f>IF($K15="","",M15+(33)/100000)</f>
        <v>3.3E-4</v>
      </c>
      <c r="P15" t="str">
        <f>IFERROR(INDEX(Settings!$B$4:$B$80,8),"")</f>
        <v>Drain tube blocked</v>
      </c>
      <c r="Q15" t="str">
        <f>IFERROR(INDEX(Settings!$B$4:$B$80,SMALL($AA$4:$AA$80,8)-3),"")</f>
        <v>Component Failure</v>
      </c>
      <c r="R15">
        <f t="shared" si="0"/>
        <v>2</v>
      </c>
      <c r="S15">
        <f t="shared" si="1"/>
        <v>0</v>
      </c>
      <c r="T15">
        <f>IF($Q15="","",R15+(18)/100000)</f>
        <v>2.0001799999999998</v>
      </c>
      <c r="U15">
        <f>IF($Q15="","",S15+(18)/100000)</f>
        <v>1.8000000000000001E-4</v>
      </c>
      <c r="V15" t="str">
        <f>IFERROR(INDEX($Q$8:$Q$32,MATCH(LARGE($T$8:$T$32,8),$T$8:$T$32,0)),"")</f>
        <v>Drain tube blocked</v>
      </c>
      <c r="W15">
        <f>IFERROR(INDEX($R$8:$R$32,MATCH(LARGE($T$8:$T$32,8),$T$8:$T$32,0)),"")</f>
        <v>3</v>
      </c>
      <c r="X15" t="str">
        <f>IFERROR(INDEX($Q$8:$Q$32,MATCH(LARGE($U$8:$U$32,8),$U$8:$U$32,0)),"")</f>
        <v>Setpoint change</v>
      </c>
      <c r="Y15">
        <f>IFERROR(INDEX($S$8:$S$32,MATCH(LARGE($U$8:$U$32,8),$U$8:$U$32,0)),"")</f>
        <v>1</v>
      </c>
      <c r="AA15">
        <f>IF(Settings!A15="","",IF(COUNTIF(Settings!$B$4:'Settings'!B15,Settings!B15)=1,ROW(Settings!B15),""))</f>
        <v>15</v>
      </c>
      <c r="AC15" t="str">
        <f>IF(Settings!A15="","",IF(Settings!B15=$B$34,ROW(Settings!B15),""))</f>
        <v/>
      </c>
      <c r="AD15">
        <f>IF($Q15="","",COUNTIF(Settings!$B$4:$B$80,$Q15))</f>
        <v>1</v>
      </c>
      <c r="AE15" t="str">
        <f t="shared" si="2"/>
        <v/>
      </c>
      <c r="AN15" s="23" t="str">
        <f>TEXT(Calc_Weekly!A169,"mm/dd")</f>
        <v>06/08</v>
      </c>
      <c r="AO15" s="23" t="str">
        <f>TEXT(Calc_Weekly!A120,"mm/dd")</f>
        <v>06/15</v>
      </c>
      <c r="AP15">
        <f>SUM(Calc_Weekly!C169:V169)</f>
        <v>2</v>
      </c>
      <c r="AQ15">
        <f>SUM(Calc_Weekly!C120:AA120)</f>
        <v>8</v>
      </c>
    </row>
    <row r="16" spans="1:43">
      <c r="A16" t="str">
        <f>IFERROR(INDEX($K$8:$K$47,MATCH(LARGE($N$8:$N$47,9),$N$8:$N$47,0)),"")</f>
        <v>Door Gasket</v>
      </c>
      <c r="B16">
        <f>IFERROR(INDEX($L$8:$L$47,MATCH(LARGE($N$8:$N$47,9),$N$8:$N$47,0)),"")</f>
        <v>3</v>
      </c>
      <c r="C16">
        <f>IFERROR(INDEX($M$8:$M$47,MATCH(LARGE($N$8:$N$47,9),$N$8:$N$47,0)),"")</f>
        <v>0</v>
      </c>
      <c r="E16" t="str">
        <f>IFERROR(INDEX($K$8:$K$47,MATCH(LARGE($O$8:$O$47,9),$O$8:$O$47,0)),"")</f>
        <v>Door - general</v>
      </c>
      <c r="F16">
        <f>IFERROR(INDEX($M$8:$M$47,MATCH(LARGE($O$8:$O$47,9),$O$8:$O$47,0)),"")</f>
        <v>1</v>
      </c>
      <c r="K16" t="str">
        <f>IFERROR(INDEX(Settings!$A$4:$A$80,9),"")</f>
        <v>Wrong / Loose wiring</v>
      </c>
      <c r="L16">
        <f>IF($K16="","",SUMPRODUCT((Summary!$E$5:$E$241=$K16)*ISNUMBER(Summary!$A$5:$A$241)*(Summary!$A$5:$A$241&gt;=IF($B$3="",0,$B$3))*(Summary!$A$5:$A$241&lt;IF($B$4="",2958465,$B$4+1))))</f>
        <v>2</v>
      </c>
      <c r="M16">
        <f>IF($K16="","",SUMPRODUCT((Summary!$E$5:$E$241=$K16)*(Summary!$G$5:$G$241="Yes")*ISNUMBER(Summary!$A$5:$A$241)*(Summary!$A$5:$A$241&gt;=IF($B$3="",0,$B$3))*(Summary!$A$5:$A$241&lt;IF($B$4="",2958465,$B$4+1))))</f>
        <v>2</v>
      </c>
      <c r="N16">
        <f>IF($K16="","",L16+(32)/100000)</f>
        <v>2.0003199999999999</v>
      </c>
      <c r="O16">
        <f>IF($K16="","",M16+(32)/100000)</f>
        <v>2.0003199999999999</v>
      </c>
      <c r="P16" t="str">
        <f>IFERROR(INDEX(Settings!$B$4:$B$80,9),"")</f>
        <v>Wrong / Loose wiring</v>
      </c>
      <c r="Q16" t="str">
        <f>IFERROR(INDEX(Settings!$B$4:$B$80,SMALL($AA$4:$AA$80,9)-3),"")</f>
        <v>Defrost Sync</v>
      </c>
      <c r="R16">
        <f t="shared" si="0"/>
        <v>0</v>
      </c>
      <c r="S16">
        <f t="shared" si="1"/>
        <v>0</v>
      </c>
      <c r="T16">
        <f>IF($Q16="","",R16+(17)/100000)</f>
        <v>1.7000000000000001E-4</v>
      </c>
      <c r="U16">
        <f>IF($Q16="","",S16+(17)/100000)</f>
        <v>1.7000000000000001E-4</v>
      </c>
      <c r="V16" t="str">
        <f>IFERROR(INDEX($Q$8:$Q$32,MATCH(LARGE($T$8:$T$32,9),$T$8:$T$32,0)),"")</f>
        <v>Overstocking</v>
      </c>
      <c r="W16">
        <f>IFERROR(INDEX($R$8:$R$32,MATCH(LARGE($T$8:$T$32,9),$T$8:$T$32,0)),"")</f>
        <v>3</v>
      </c>
      <c r="X16" t="str">
        <f>IFERROR(INDEX($Q$8:$Q$32,MATCH(LARGE($U$8:$U$32,9),$U$8:$U$32,0)),"")</f>
        <v>DG Installation issue</v>
      </c>
      <c r="Y16">
        <f>IFERROR(INDEX($S$8:$S$32,MATCH(LARGE($U$8:$U$32,9),$U$8:$U$32,0)),"")</f>
        <v>1</v>
      </c>
      <c r="AA16">
        <f>IF(Settings!A16="","",IF(COUNTIF(Settings!$B$4:'Settings'!B16,Settings!B16)=1,ROW(Settings!B16),""))</f>
        <v>16</v>
      </c>
      <c r="AC16" t="str">
        <f>IF(Settings!A16="","",IF(Settings!B16=$B$34,ROW(Settings!B16),""))</f>
        <v/>
      </c>
      <c r="AD16">
        <f>IF($Q16="","",COUNTIF(Settings!$B$4:$B$80,$Q16))</f>
        <v>1</v>
      </c>
      <c r="AE16" t="str">
        <f t="shared" si="2"/>
        <v/>
      </c>
      <c r="AN16" s="23" t="str">
        <f>TEXT(Calc_Weekly!A170,"mm/dd")</f>
        <v>06/15</v>
      </c>
      <c r="AO16" s="23" t="str">
        <f>TEXT(Calc_Weekly!A121,"mm/dd")</f>
        <v>06/22</v>
      </c>
      <c r="AP16">
        <f>SUM(Calc_Weekly!C170:V170)</f>
        <v>8</v>
      </c>
      <c r="AQ16">
        <f>SUM(Calc_Weekly!C121:AA121)</f>
        <v>13</v>
      </c>
    </row>
    <row r="17" spans="1:43">
      <c r="A17" t="str">
        <f>IFERROR(INDEX($K$8:$K$47,MATCH(LARGE($N$8:$N$47,10),$N$8:$N$47,0)),"")</f>
        <v>Door frame heater</v>
      </c>
      <c r="B17">
        <f>IFERROR(INDEX($L$8:$L$47,MATCH(LARGE($N$8:$N$47,10),$N$8:$N$47,0)),"")</f>
        <v>3</v>
      </c>
      <c r="C17">
        <f>IFERROR(INDEX($M$8:$M$47,MATCH(LARGE($N$8:$N$47,10),$N$8:$N$47,0)),"")</f>
        <v>0</v>
      </c>
      <c r="E17" t="str">
        <f>IFERROR(INDEX($K$8:$K$47,MATCH(LARGE($O$8:$O$47,10),$O$8:$O$47,0)),"")</f>
        <v>Communication problem</v>
      </c>
      <c r="F17">
        <f>IFERROR(INDEX($M$8:$M$47,MATCH(LARGE($O$8:$O$47,10),$O$8:$O$47,0)),"")</f>
        <v>1</v>
      </c>
      <c r="K17" t="str">
        <f>IFERROR(INDEX(Settings!$A$4:$A$80,10),"")</f>
        <v>Communication problem</v>
      </c>
      <c r="L17">
        <f>IF($K17="","",SUMPRODUCT((Summary!$E$5:$E$241=$K17)*ISNUMBER(Summary!$A$5:$A$241)*(Summary!$A$5:$A$241&gt;=IF($B$3="",0,$B$3))*(Summary!$A$5:$A$241&lt;IF($B$4="",2958465,$B$4+1))))</f>
        <v>4</v>
      </c>
      <c r="M17">
        <f>IF($K17="","",SUMPRODUCT((Summary!$E$5:$E$241=$K17)*(Summary!$G$5:$G$241="Yes")*ISNUMBER(Summary!$A$5:$A$241)*(Summary!$A$5:$A$241&gt;=IF($B$3="",0,$B$3))*(Summary!$A$5:$A$241&lt;IF($B$4="",2958465,$B$4+1))))</f>
        <v>1</v>
      </c>
      <c r="N17">
        <f>IF($K17="","",L17+(31)/100000)</f>
        <v>4.0003099999999998</v>
      </c>
      <c r="O17">
        <f>IF($K17="","",M17+(31)/100000)</f>
        <v>1.00031</v>
      </c>
      <c r="P17" t="str">
        <f>IFERROR(INDEX(Settings!$B$4:$B$80,10),"")</f>
        <v>Communication problem</v>
      </c>
      <c r="Q17" t="str">
        <f>IFERROR(INDEX(Settings!$B$4:$B$80,SMALL($AA$4:$AA$80,10)-3),"")</f>
        <v>False Alarm</v>
      </c>
      <c r="R17">
        <f t="shared" si="0"/>
        <v>11</v>
      </c>
      <c r="S17">
        <f t="shared" si="1"/>
        <v>5</v>
      </c>
      <c r="T17">
        <f>IF($Q17="","",R17+(16)/100000)</f>
        <v>11.000159999999999</v>
      </c>
      <c r="U17">
        <f>IF($Q17="","",S17+(16)/100000)</f>
        <v>5.0001600000000002</v>
      </c>
      <c r="V17" t="str">
        <f>IFERROR(INDEX($Q$8:$Q$32,MATCH(LARGE($T$8:$T$32,10),$T$8:$T$32,0)),"")</f>
        <v>Wrong / Loose wiring</v>
      </c>
      <c r="W17">
        <f>IFERROR(INDEX($R$8:$R$32,MATCH(LARGE($T$8:$T$32,10),$T$8:$T$32,0)),"")</f>
        <v>2</v>
      </c>
      <c r="X17" t="str">
        <f>IFERROR(INDEX($Q$8:$Q$32,MATCH(LARGE($U$8:$U$32,10),$U$8:$U$32,0)),"")</f>
        <v>Drain tube blocked</v>
      </c>
      <c r="Y17">
        <f>IFERROR(INDEX($S$8:$S$32,MATCH(LARGE($U$8:$U$32,10),$U$8:$U$32,0)),"")</f>
        <v>0</v>
      </c>
      <c r="AA17">
        <f>IF(Settings!A17="","",IF(COUNTIF(Settings!$B$4:'Settings'!B17,Settings!B17)=1,ROW(Settings!B17),""))</f>
        <v>17</v>
      </c>
      <c r="AC17" t="str">
        <f>IF(Settings!A17="","",IF(Settings!B17=$B$34,ROW(Settings!B17),""))</f>
        <v/>
      </c>
      <c r="AD17">
        <f>IF($Q17="","",COUNTIF(Settings!$B$4:$B$80,$Q17))</f>
        <v>1</v>
      </c>
      <c r="AE17" t="str">
        <f t="shared" si="2"/>
        <v/>
      </c>
      <c r="AN17" s="23" t="str">
        <f>TEXT(Calc_Weekly!A171,"mm/dd")</f>
        <v>06/22</v>
      </c>
      <c r="AO17" s="23" t="str">
        <f>TEXT(Calc_Weekly!A122,"mm/dd")</f>
        <v>06/29</v>
      </c>
      <c r="AP17">
        <f>SUM(Calc_Weekly!C171:V171)</f>
        <v>4</v>
      </c>
      <c r="AQ17">
        <f>SUM(Calc_Weekly!C122:AA122)</f>
        <v>12</v>
      </c>
    </row>
    <row r="18" spans="1:43">
      <c r="A18" t="str">
        <f>IFERROR(INDEX($K$8:$K$47,MATCH(LARGE($N$8:$N$47,11),$N$8:$N$47,0)),"")</f>
        <v>Drain tube blocked</v>
      </c>
      <c r="B18">
        <f>IFERROR(INDEX($L$8:$L$47,MATCH(LARGE($N$8:$N$47,11),$N$8:$N$47,0)),"")</f>
        <v>3</v>
      </c>
      <c r="C18">
        <f>IFERROR(INDEX($M$8:$M$47,MATCH(LARGE($N$8:$N$47,11),$N$8:$N$47,0)),"")</f>
        <v>0</v>
      </c>
      <c r="E18" t="str">
        <f>IFERROR(INDEX($K$8:$K$47,MATCH(LARGE($O$8:$O$47,11),$O$8:$O$47,0)),"")</f>
        <v>Setpoint change</v>
      </c>
      <c r="F18">
        <f>IFERROR(INDEX($M$8:$M$47,MATCH(LARGE($O$8:$O$47,11),$O$8:$O$47,0)),"")</f>
        <v>1</v>
      </c>
      <c r="K18" t="str">
        <f>IFERROR(INDEX(Settings!$A$4:$A$80,11),"")</f>
        <v>High Store RH</v>
      </c>
      <c r="L18">
        <f>IF($K18="","",SUMPRODUCT((Summary!$E$5:$E$241=$K18)*ISNUMBER(Summary!$A$5:$A$241)*(Summary!$A$5:$A$241&gt;=IF($B$3="",0,$B$3))*(Summary!$A$5:$A$241&lt;IF($B$4="",2958465,$B$4+1))))</f>
        <v>9</v>
      </c>
      <c r="M18">
        <f>IF($K18="","",SUMPRODUCT((Summary!$E$5:$E$241=$K18)*(Summary!$G$5:$G$241="Yes")*ISNUMBER(Summary!$A$5:$A$241)*(Summary!$A$5:$A$241&gt;=IF($B$3="",0,$B$3))*(Summary!$A$5:$A$241&lt;IF($B$4="",2958465,$B$4+1))))</f>
        <v>4</v>
      </c>
      <c r="N18">
        <f>IF($K18="","",L18+(30)/100000)</f>
        <v>9.0002999999999993</v>
      </c>
      <c r="O18">
        <f>IF($K18="","",M18+(30)/100000)</f>
        <v>4.0003000000000002</v>
      </c>
      <c r="P18" t="str">
        <f>IFERROR(INDEX(Settings!$B$4:$B$80,11),"")</f>
        <v>High Store RH</v>
      </c>
      <c r="Q18" t="str">
        <f>IFERROR(INDEX(Settings!$B$4:$B$80,SMALL($AA$4:$AA$80,11)-3),"")</f>
        <v>Setpoint change</v>
      </c>
      <c r="R18">
        <f t="shared" si="0"/>
        <v>1</v>
      </c>
      <c r="S18">
        <f t="shared" si="1"/>
        <v>1</v>
      </c>
      <c r="T18">
        <f>IF($Q18="","",R18+(15)/100000)</f>
        <v>1.0001500000000001</v>
      </c>
      <c r="U18">
        <f>IF($Q18="","",S18+(15)/100000)</f>
        <v>1.0001500000000001</v>
      </c>
      <c r="V18" t="str">
        <f>IFERROR(INDEX($Q$8:$Q$32,MATCH(LARGE($T$8:$T$32,11),$T$8:$T$32,0)),"")</f>
        <v>Component Failure</v>
      </c>
      <c r="W18">
        <f>IFERROR(INDEX($R$8:$R$32,MATCH(LARGE($T$8:$T$32,11),$T$8:$T$32,0)),"")</f>
        <v>2</v>
      </c>
      <c r="X18" t="str">
        <f>IFERROR(INDEX($Q$8:$Q$32,MATCH(LARGE($U$8:$U$32,11),$U$8:$U$32,0)),"")</f>
        <v>Enclosure Seal</v>
      </c>
      <c r="Y18">
        <f>IFERROR(INDEX($S$8:$S$32,MATCH(LARGE($U$8:$U$32,11),$U$8:$U$32,0)),"")</f>
        <v>0</v>
      </c>
      <c r="AA18">
        <f>IF(Settings!A18="","",IF(COUNTIF(Settings!$B$4:'Settings'!B18,Settings!B18)=1,ROW(Settings!B18),""))</f>
        <v>18</v>
      </c>
      <c r="AC18" t="str">
        <f>IF(Settings!A18="","",IF(Settings!B18=$B$34,ROW(Settings!B18),""))</f>
        <v/>
      </c>
      <c r="AD18">
        <f>IF($Q18="","",COUNTIF(Settings!$B$4:$B$80,$Q18))</f>
        <v>1</v>
      </c>
      <c r="AE18" t="str">
        <f t="shared" si="2"/>
        <v/>
      </c>
      <c r="AN18" s="23" t="str">
        <f>TEXT(Calc_Weekly!A172,"mm/dd")</f>
        <v>06/29</v>
      </c>
      <c r="AO18" s="23" t="str">
        <f>TEXT(Calc_Weekly!A123,"mm/dd")</f>
        <v>07/06</v>
      </c>
      <c r="AP18">
        <f>SUM(Calc_Weekly!C172:V172)</f>
        <v>4</v>
      </c>
      <c r="AQ18">
        <f>SUM(Calc_Weekly!C123:AA123)</f>
        <v>18</v>
      </c>
    </row>
    <row r="19" spans="1:43">
      <c r="A19" t="str">
        <f>IFERROR(INDEX($K$8:$K$47,MATCH(LARGE($N$8:$N$47,12),$N$8:$N$47,0)),"")</f>
        <v>Overstocking</v>
      </c>
      <c r="B19">
        <f>IFERROR(INDEX($L$8:$L$47,MATCH(LARGE($N$8:$N$47,12),$N$8:$N$47,0)),"")</f>
        <v>3</v>
      </c>
      <c r="C19">
        <f>IFERROR(INDEX($M$8:$M$47,MATCH(LARGE($N$8:$N$47,12),$N$8:$N$47,0)),"")</f>
        <v>3</v>
      </c>
      <c r="E19" t="str">
        <f>IFERROR(INDEX($K$8:$K$47,MATCH(LARGE($O$8:$O$47,12),$O$8:$O$47,0)),"")</f>
        <v>DG Installation issue</v>
      </c>
      <c r="F19">
        <f>IFERROR(INDEX($M$8:$M$47,MATCH(LARGE($O$8:$O$47,12),$O$8:$O$47,0)),"")</f>
        <v>1</v>
      </c>
      <c r="K19" t="str">
        <f>IFERROR(INDEX(Settings!$A$4:$A$80,12),"")</f>
        <v>Enclosure Seal</v>
      </c>
      <c r="L19">
        <f>IF($K19="","",SUMPRODUCT((Summary!$E$5:$E$241=$K19)*ISNUMBER(Summary!$A$5:$A$241)*(Summary!$A$5:$A$241&gt;=IF($B$3="",0,$B$3))*(Summary!$A$5:$A$241&lt;IF($B$4="",2958465,$B$4+1))))</f>
        <v>0</v>
      </c>
      <c r="M19">
        <f>IF($K19="","",SUMPRODUCT((Summary!$E$5:$E$241=$K19)*(Summary!$G$5:$G$241="Yes")*ISNUMBER(Summary!$A$5:$A$241)*(Summary!$A$5:$A$241&gt;=IF($B$3="",0,$B$3))*(Summary!$A$5:$A$241&lt;IF($B$4="",2958465,$B$4+1))))</f>
        <v>0</v>
      </c>
      <c r="N19">
        <f>IF($K19="","",L19+(29)/100000)</f>
        <v>2.9E-4</v>
      </c>
      <c r="O19">
        <f>IF($K19="","",M19+(29)/100000)</f>
        <v>2.9E-4</v>
      </c>
      <c r="P19" t="str">
        <f>IFERROR(INDEX(Settings!$B$4:$B$80,12),"")</f>
        <v>Enclosure Seal</v>
      </c>
      <c r="Q19" t="str">
        <f>IFERROR(INDEX(Settings!$B$4:$B$80,SMALL($AA$4:$AA$80,12)-3),"")</f>
        <v>Overstocking</v>
      </c>
      <c r="R19">
        <f t="shared" si="0"/>
        <v>3</v>
      </c>
      <c r="S19">
        <f t="shared" si="1"/>
        <v>3</v>
      </c>
      <c r="T19">
        <f>IF($Q19="","",R19+(14)/100000)</f>
        <v>3.00014</v>
      </c>
      <c r="U19">
        <f>IF($Q19="","",S19+(14)/100000)</f>
        <v>3.00014</v>
      </c>
      <c r="V19" t="str">
        <f>IFERROR(INDEX($Q$8:$Q$32,MATCH(LARGE($T$8:$T$32,12),$T$8:$T$32,0)),"")</f>
        <v>Setpoint change</v>
      </c>
      <c r="W19">
        <f>IFERROR(INDEX($R$8:$R$32,MATCH(LARGE($T$8:$T$32,12),$T$8:$T$32,0)),"")</f>
        <v>1</v>
      </c>
      <c r="X19" t="str">
        <f>IFERROR(INDEX($Q$8:$Q$32,MATCH(LARGE($U$8:$U$32,12),$U$8:$U$32,0)),"")</f>
        <v>Component Failure</v>
      </c>
      <c r="Y19">
        <f>IFERROR(INDEX($S$8:$S$32,MATCH(LARGE($U$8:$U$32,12),$U$8:$U$32,0)),"")</f>
        <v>0</v>
      </c>
      <c r="AA19">
        <f>IF(Settings!A19="","",IF(COUNTIF(Settings!$B$4:'Settings'!B19,Settings!B19)=1,ROW(Settings!B19),""))</f>
        <v>19</v>
      </c>
      <c r="AC19" t="str">
        <f>IF(Settings!A19="","",IF(Settings!B19=$B$34,ROW(Settings!B19),""))</f>
        <v/>
      </c>
      <c r="AD19">
        <f>IF($Q19="","",COUNTIF(Settings!$B$4:$B$80,$Q19))</f>
        <v>1</v>
      </c>
      <c r="AE19" t="str">
        <f t="shared" si="2"/>
        <v/>
      </c>
      <c r="AN19" s="23" t="str">
        <f>TEXT(Calc_Weekly!A173,"mm/dd")</f>
        <v>07/06</v>
      </c>
      <c r="AO19" s="23" t="str">
        <f>TEXT(Calc_Weekly!A124,"mm/dd")</f>
        <v>07/13</v>
      </c>
      <c r="AP19">
        <f>SUM(Calc_Weekly!C173:V173)</f>
        <v>5</v>
      </c>
      <c r="AQ19">
        <f>SUM(Calc_Weekly!C124:AA124)</f>
        <v>5</v>
      </c>
    </row>
    <row r="20" spans="1:43">
      <c r="A20" t="str">
        <f>IFERROR(INDEX($K$8:$K$47,MATCH(LARGE($N$8:$N$47,13),$N$8:$N$47,0)),"")</f>
        <v>Wrong / Loose wiring</v>
      </c>
      <c r="B20">
        <f>IFERROR(INDEX($L$8:$L$47,MATCH(LARGE($N$8:$N$47,13),$N$8:$N$47,0)),"")</f>
        <v>2</v>
      </c>
      <c r="C20">
        <f>IFERROR(INDEX($M$8:$M$47,MATCH(LARGE($N$8:$N$47,13),$N$8:$N$47,0)),"")</f>
        <v>2</v>
      </c>
      <c r="E20" t="str">
        <f>IFERROR(INDEX($K$8:$K$47,MATCH(LARGE($O$8:$O$47,13),$O$8:$O$47,0)),"")</f>
        <v>Door Gasket</v>
      </c>
      <c r="F20">
        <f>IFERROR(INDEX($M$8:$M$47,MATCH(LARGE($O$8:$O$47,13),$O$8:$O$47,0)),"")</f>
        <v>0</v>
      </c>
      <c r="K20" t="str">
        <f>IFERROR(INDEX(Settings!$A$4:$A$80,13),"")</f>
        <v>Component Failure</v>
      </c>
      <c r="L20">
        <f>IF($K20="","",SUMPRODUCT((Summary!$E$5:$E$241=$K20)*ISNUMBER(Summary!$A$5:$A$241)*(Summary!$A$5:$A$241&gt;=IF($B$3="",0,$B$3))*(Summary!$A$5:$A$241&lt;IF($B$4="",2958465,$B$4+1))))</f>
        <v>2</v>
      </c>
      <c r="M20">
        <f>IF($K20="","",SUMPRODUCT((Summary!$E$5:$E$241=$K20)*(Summary!$G$5:$G$241="Yes")*ISNUMBER(Summary!$A$5:$A$241)*(Summary!$A$5:$A$241&gt;=IF($B$3="",0,$B$3))*(Summary!$A$5:$A$241&lt;IF($B$4="",2958465,$B$4+1))))</f>
        <v>0</v>
      </c>
      <c r="N20">
        <f>IF($K20="","",L20+(28)/100000)</f>
        <v>2.0002800000000001</v>
      </c>
      <c r="O20">
        <f>IF($K20="","",M20+(28)/100000)</f>
        <v>2.7999999999999998E-4</v>
      </c>
      <c r="P20" t="str">
        <f>IFERROR(INDEX(Settings!$B$4:$B$80,13),"")</f>
        <v>Component Failure</v>
      </c>
      <c r="Q20" t="str">
        <f>IFERROR(INDEX(Settings!$B$4:$B$80,SMALL($AA$4:$AA$80,13)-3),"")</f>
        <v>Case End Seal</v>
      </c>
      <c r="R20">
        <f t="shared" si="0"/>
        <v>0</v>
      </c>
      <c r="S20">
        <f t="shared" si="1"/>
        <v>0</v>
      </c>
      <c r="T20">
        <f>IF($Q20="","",R20+(13)/100000)</f>
        <v>1.2999999999999999E-4</v>
      </c>
      <c r="U20">
        <f>IF($Q20="","",S20+(13)/100000)</f>
        <v>1.2999999999999999E-4</v>
      </c>
      <c r="V20" t="str">
        <f>IFERROR(INDEX($Q$8:$Q$32,MATCH(LARGE($T$8:$T$32,13),$T$8:$T$32,0)),"")</f>
        <v>Unidentified air leak</v>
      </c>
      <c r="W20">
        <f>IFERROR(INDEX($R$8:$R$32,MATCH(LARGE($T$8:$T$32,13),$T$8:$T$32,0)),"")</f>
        <v>1</v>
      </c>
      <c r="X20" t="str">
        <f>IFERROR(INDEX($Q$8:$Q$32,MATCH(LARGE($U$8:$U$32,13),$U$8:$U$32,0)),"")</f>
        <v>Defrost Sync</v>
      </c>
      <c r="Y20">
        <f>IFERROR(INDEX($S$8:$S$32,MATCH(LARGE($U$8:$U$32,13),$U$8:$U$32,0)),"")</f>
        <v>0</v>
      </c>
      <c r="AA20">
        <f>IF(Settings!A20="","",IF(COUNTIF(Settings!$B$4:'Settings'!B20,Settings!B20)=1,ROW(Settings!B20),""))</f>
        <v>20</v>
      </c>
      <c r="AC20" t="str">
        <f>IF(Settings!A20="","",IF(Settings!B20=$B$34,ROW(Settings!B20),""))</f>
        <v/>
      </c>
      <c r="AD20">
        <f>IF($Q20="","",COUNTIF(Settings!$B$4:$B$80,$Q20))</f>
        <v>1</v>
      </c>
      <c r="AE20" t="str">
        <f t="shared" si="2"/>
        <v/>
      </c>
      <c r="AN20" s="23" t="str">
        <f>TEXT(Calc_Weekly!A174,"mm/dd")</f>
        <v>07/13</v>
      </c>
      <c r="AO20" s="23" t="str">
        <f>TEXT(Calc_Weekly!A125,"mm/dd")</f>
        <v>07/20</v>
      </c>
      <c r="AP20">
        <f>SUM(Calc_Weekly!C174:V174)</f>
        <v>0</v>
      </c>
      <c r="AQ20">
        <f>SUM(Calc_Weekly!C125:AA125)</f>
        <v>0</v>
      </c>
    </row>
    <row r="21" spans="1:43">
      <c r="A21" t="str">
        <f>IFERROR(INDEX($K$8:$K$47,MATCH(LARGE($N$8:$N$47,14),$N$8:$N$47,0)),"")</f>
        <v>Component Failure</v>
      </c>
      <c r="B21">
        <f>IFERROR(INDEX($L$8:$L$47,MATCH(LARGE($N$8:$N$47,14),$N$8:$N$47,0)),"")</f>
        <v>2</v>
      </c>
      <c r="C21">
        <f>IFERROR(INDEX($M$8:$M$47,MATCH(LARGE($N$8:$N$47,14),$N$8:$N$47,0)),"")</f>
        <v>0</v>
      </c>
      <c r="E21" t="str">
        <f>IFERROR(INDEX($K$8:$K$47,MATCH(LARGE($O$8:$O$47,14),$O$8:$O$47,0)),"")</f>
        <v>Door frame heater</v>
      </c>
      <c r="F21">
        <f>IFERROR(INDEX($M$8:$M$47,MATCH(LARGE($O$8:$O$47,14),$O$8:$O$47,0)),"")</f>
        <v>0</v>
      </c>
      <c r="K21" t="str">
        <f>IFERROR(INDEX(Settings!$A$4:$A$80,14),"")</f>
        <v>Defrost Sync</v>
      </c>
      <c r="L21">
        <f>IF($K21="","",SUMPRODUCT((Summary!$E$5:$E$241=$K21)*ISNUMBER(Summary!$A$5:$A$241)*(Summary!$A$5:$A$241&gt;=IF($B$3="",0,$B$3))*(Summary!$A$5:$A$241&lt;IF($B$4="",2958465,$B$4+1))))</f>
        <v>0</v>
      </c>
      <c r="M21">
        <f>IF($K21="","",SUMPRODUCT((Summary!$E$5:$E$241=$K21)*(Summary!$G$5:$G$241="Yes")*ISNUMBER(Summary!$A$5:$A$241)*(Summary!$A$5:$A$241&gt;=IF($B$3="",0,$B$3))*(Summary!$A$5:$A$241&lt;IF($B$4="",2958465,$B$4+1))))</f>
        <v>0</v>
      </c>
      <c r="N21">
        <f>IF($K21="","",L21+(27)/100000)</f>
        <v>2.7E-4</v>
      </c>
      <c r="O21">
        <f>IF($K21="","",M21+(27)/100000)</f>
        <v>2.7E-4</v>
      </c>
      <c r="P21" t="str">
        <f>IFERROR(INDEX(Settings!$B$4:$B$80,14),"")</f>
        <v>Defrost Sync</v>
      </c>
      <c r="Q21" t="str">
        <f>IFERROR(INDEX(Settings!$B$4:$B$80,SMALL($AA$4:$AA$80,14)-3),"")</f>
        <v>Return Air blocked</v>
      </c>
      <c r="R21">
        <f t="shared" si="0"/>
        <v>0</v>
      </c>
      <c r="S21">
        <f t="shared" si="1"/>
        <v>0</v>
      </c>
      <c r="T21">
        <f>IF($Q21="","",R21+(12)/100000)</f>
        <v>1.2E-4</v>
      </c>
      <c r="U21">
        <f>IF($Q21="","",S21+(12)/100000)</f>
        <v>1.2E-4</v>
      </c>
      <c r="V21" t="str">
        <f>IFERROR(INDEX($Q$8:$Q$32,MATCH(LARGE($T$8:$T$32,14),$T$8:$T$32,0)),"")</f>
        <v>Freedom</v>
      </c>
      <c r="W21">
        <f>IFERROR(INDEX($R$8:$R$32,MATCH(LARGE($T$8:$T$32,14),$T$8:$T$32,0)),"")</f>
        <v>1</v>
      </c>
      <c r="X21" t="str">
        <f>IFERROR(INDEX($Q$8:$Q$32,MATCH(LARGE($U$8:$U$32,14),$U$8:$U$32,0)),"")</f>
        <v>Case End Seal</v>
      </c>
      <c r="Y21">
        <f>IFERROR(INDEX($S$8:$S$32,MATCH(LARGE($U$8:$U$32,14),$U$8:$U$32,0)),"")</f>
        <v>0</v>
      </c>
      <c r="AA21">
        <f>IF(Settings!A21="","",IF(COUNTIF(Settings!$B$4:'Settings'!B21,Settings!B21)=1,ROW(Settings!B21),""))</f>
        <v>21</v>
      </c>
      <c r="AC21" t="str">
        <f>IF(Settings!A21="","",IF(Settings!B21=$B$34,ROW(Settings!B21),""))</f>
        <v/>
      </c>
      <c r="AD21">
        <f>IF($Q21="","",COUNTIF(Settings!$B$4:$B$80,$Q21))</f>
        <v>1</v>
      </c>
      <c r="AE21" t="str">
        <f t="shared" si="2"/>
        <v/>
      </c>
    </row>
    <row r="22" spans="1:43">
      <c r="A22" t="str">
        <f>IFERROR(INDEX($K$8:$K$47,MATCH(LARGE($N$8:$N$47,15),$N$8:$N$47,0)),"")</f>
        <v>Door Torsion rod</v>
      </c>
      <c r="B22">
        <f>IFERROR(INDEX($L$8:$L$47,MATCH(LARGE($N$8:$N$47,15),$N$8:$N$47,0)),"")</f>
        <v>1</v>
      </c>
      <c r="C22">
        <f>IFERROR(INDEX($M$8:$M$47,MATCH(LARGE($N$8:$N$47,15),$N$8:$N$47,0)),"")</f>
        <v>1</v>
      </c>
      <c r="E22" t="str">
        <f>IFERROR(INDEX($K$8:$K$47,MATCH(LARGE($O$8:$O$47,15),$O$8:$O$47,0)),"")</f>
        <v>Drain tube blocked</v>
      </c>
      <c r="F22">
        <f>IFERROR(INDEX($M$8:$M$47,MATCH(LARGE($O$8:$O$47,15),$O$8:$O$47,0)),"")</f>
        <v>0</v>
      </c>
      <c r="K22" t="str">
        <f>IFERROR(INDEX(Settings!$A$4:$A$80,15),"")</f>
        <v>False Alarm</v>
      </c>
      <c r="L22">
        <f>IF($K22="","",SUMPRODUCT((Summary!$E$5:$E$241=$K22)*ISNUMBER(Summary!$A$5:$A$241)*(Summary!$A$5:$A$241&gt;=IF($B$3="",0,$B$3))*(Summary!$A$5:$A$241&lt;IF($B$4="",2958465,$B$4+1))))</f>
        <v>11</v>
      </c>
      <c r="M22">
        <f>IF($K22="","",SUMPRODUCT((Summary!$E$5:$E$241=$K22)*(Summary!$G$5:$G$241="Yes")*ISNUMBER(Summary!$A$5:$A$241)*(Summary!$A$5:$A$241&gt;=IF($B$3="",0,$B$3))*(Summary!$A$5:$A$241&lt;IF($B$4="",2958465,$B$4+1))))</f>
        <v>5</v>
      </c>
      <c r="N22">
        <f>IF($K22="","",L22+(26)/100000)</f>
        <v>11.000260000000001</v>
      </c>
      <c r="O22">
        <f>IF($K22="","",M22+(26)/100000)</f>
        <v>5.0002599999999999</v>
      </c>
      <c r="P22" t="str">
        <f>IFERROR(INDEX(Settings!$B$4:$B$80,15),"")</f>
        <v>False Alarm</v>
      </c>
      <c r="Q22" t="str">
        <f>IFERROR(INDEX(Settings!$B$4:$B$80,SMALL($AA$4:$AA$80,15)-3),"")</f>
        <v>Unidentified air leak</v>
      </c>
      <c r="R22">
        <f t="shared" si="0"/>
        <v>1</v>
      </c>
      <c r="S22">
        <f t="shared" si="1"/>
        <v>0</v>
      </c>
      <c r="T22">
        <f>IF($Q22="","",R22+(11)/100000)</f>
        <v>1.0001100000000001</v>
      </c>
      <c r="U22">
        <f>IF($Q22="","",S22+(11)/100000)</f>
        <v>1.1E-4</v>
      </c>
      <c r="V22" t="str">
        <f>IFERROR(INDEX($Q$8:$Q$32,MATCH(LARGE($T$8:$T$32,15),$T$8:$T$32,0)),"")</f>
        <v>Wrong program</v>
      </c>
      <c r="W22">
        <f>IFERROR(INDEX($R$8:$R$32,MATCH(LARGE($T$8:$T$32,15),$T$8:$T$32,0)),"")</f>
        <v>1</v>
      </c>
      <c r="X22" t="str">
        <f>IFERROR(INDEX($Q$8:$Q$32,MATCH(LARGE($U$8:$U$32,15),$U$8:$U$32,0)),"")</f>
        <v>Return Air blocked</v>
      </c>
      <c r="Y22">
        <f>IFERROR(INDEX($S$8:$S$32,MATCH(LARGE($U$8:$U$32,15),$U$8:$U$32,0)),"")</f>
        <v>0</v>
      </c>
      <c r="AA22">
        <f>IF(Settings!A22="","",IF(COUNTIF(Settings!$B$4:'Settings'!B22,Settings!B22)=1,ROW(Settings!B22),""))</f>
        <v>22</v>
      </c>
      <c r="AC22" t="str">
        <f>IF(Settings!A22="","",IF(Settings!B22=$B$34,ROW(Settings!B22),""))</f>
        <v/>
      </c>
      <c r="AD22">
        <f>IF($Q22="","",COUNTIF(Settings!$B$4:$B$80,$Q22))</f>
        <v>1</v>
      </c>
      <c r="AE22" t="str">
        <f t="shared" si="2"/>
        <v/>
      </c>
    </row>
    <row r="23" spans="1:43">
      <c r="A23" t="str">
        <f>IFERROR(INDEX($K$8:$K$47,MATCH(LARGE($N$8:$N$47,16),$N$8:$N$47,0)),"")</f>
        <v>Door - general</v>
      </c>
      <c r="B23">
        <f>IFERROR(INDEX($L$8:$L$47,MATCH(LARGE($N$8:$N$47,16),$N$8:$N$47,0)),"")</f>
        <v>1</v>
      </c>
      <c r="C23">
        <f>IFERROR(INDEX($M$8:$M$47,MATCH(LARGE($N$8:$N$47,16),$N$8:$N$47,0)),"")</f>
        <v>1</v>
      </c>
      <c r="E23" t="str">
        <f>IFERROR(INDEX($K$8:$K$47,MATCH(LARGE($O$8:$O$47,16),$O$8:$O$47,0)),"")</f>
        <v>Enclosure Seal</v>
      </c>
      <c r="F23">
        <f>IFERROR(INDEX($M$8:$M$47,MATCH(LARGE($O$8:$O$47,16),$O$8:$O$47,0)),"")</f>
        <v>0</v>
      </c>
      <c r="K23" t="str">
        <f>IFERROR(INDEX(Settings!$A$4:$A$80,16),"")</f>
        <v>Setpoint change</v>
      </c>
      <c r="L23">
        <f>IF($K23="","",SUMPRODUCT((Summary!$E$5:$E$241=$K23)*ISNUMBER(Summary!$A$5:$A$241)*(Summary!$A$5:$A$241&gt;=IF($B$3="",0,$B$3))*(Summary!$A$5:$A$241&lt;IF($B$4="",2958465,$B$4+1))))</f>
        <v>1</v>
      </c>
      <c r="M23">
        <f>IF($K23="","",SUMPRODUCT((Summary!$E$5:$E$241=$K23)*(Summary!$G$5:$G$241="Yes")*ISNUMBER(Summary!$A$5:$A$241)*(Summary!$A$5:$A$241&gt;=IF($B$3="",0,$B$3))*(Summary!$A$5:$A$241&lt;IF($B$4="",2958465,$B$4+1))))</f>
        <v>1</v>
      </c>
      <c r="N23">
        <f>IF($K23="","",L23+(25)/100000)</f>
        <v>1.0002500000000001</v>
      </c>
      <c r="O23">
        <f>IF($K23="","",M23+(25)/100000)</f>
        <v>1.0002500000000001</v>
      </c>
      <c r="P23" t="str">
        <f>IFERROR(INDEX(Settings!$B$4:$B$80,16),"")</f>
        <v>Setpoint change</v>
      </c>
      <c r="Q23" t="str">
        <f>IFERROR(INDEX(Settings!$B$4:$B$80,SMALL($AA$4:$AA$80,16)-3),"")</f>
        <v>Freedom</v>
      </c>
      <c r="R23">
        <f t="shared" si="0"/>
        <v>1</v>
      </c>
      <c r="S23">
        <f t="shared" si="1"/>
        <v>0</v>
      </c>
      <c r="T23">
        <f>IF($Q23="","",R23+(10)/100000)</f>
        <v>1.0001</v>
      </c>
      <c r="U23">
        <f>IF($Q23="","",S23+(10)/100000)</f>
        <v>1E-4</v>
      </c>
      <c r="V23" t="str">
        <f>IFERROR(INDEX($Q$8:$Q$32,MATCH(LARGE($T$8:$T$32,16),$T$8:$T$32,0)),"")</f>
        <v>Enclosure Seal</v>
      </c>
      <c r="W23">
        <f>IFERROR(INDEX($R$8:$R$32,MATCH(LARGE($T$8:$T$32,16),$T$8:$T$32,0)),"")</f>
        <v>0</v>
      </c>
      <c r="X23" t="str">
        <f>IFERROR(INDEX($Q$8:$Q$32,MATCH(LARGE($U$8:$U$32,16),$U$8:$U$32,0)),"")</f>
        <v>Unidentified air leak</v>
      </c>
      <c r="Y23">
        <f>IFERROR(INDEX($S$8:$S$32,MATCH(LARGE($U$8:$U$32,16),$U$8:$U$32,0)),"")</f>
        <v>0</v>
      </c>
      <c r="AA23">
        <f>IF(Settings!A23="","",IF(COUNTIF(Settings!$B$4:'Settings'!B23,Settings!B23)=1,ROW(Settings!B23),""))</f>
        <v>23</v>
      </c>
      <c r="AC23" t="str">
        <f>IF(Settings!A23="","",IF(Settings!B23=$B$34,ROW(Settings!B23),""))</f>
        <v/>
      </c>
      <c r="AD23">
        <f>IF($Q23="","",COUNTIF(Settings!$B$4:$B$80,$Q23))</f>
        <v>1</v>
      </c>
      <c r="AE23" t="str">
        <f t="shared" si="2"/>
        <v/>
      </c>
    </row>
    <row r="24" spans="1:43">
      <c r="A24" t="str">
        <f>IFERROR(INDEX($K$8:$K$47,MATCH(LARGE($N$8:$N$47,17),$N$8:$N$47,0)),"")</f>
        <v>Setpoint change</v>
      </c>
      <c r="B24">
        <f>IFERROR(INDEX($L$8:$L$47,MATCH(LARGE($N$8:$N$47,17),$N$8:$N$47,0)),"")</f>
        <v>1</v>
      </c>
      <c r="C24">
        <f>IFERROR(INDEX($M$8:$M$47,MATCH(LARGE($N$8:$N$47,17),$N$8:$N$47,0)),"")</f>
        <v>1</v>
      </c>
      <c r="E24" t="str">
        <f>IFERROR(INDEX($K$8:$K$47,MATCH(LARGE($O$8:$O$47,17),$O$8:$O$47,0)),"")</f>
        <v>Component Failure</v>
      </c>
      <c r="F24">
        <f>IFERROR(INDEX($M$8:$M$47,MATCH(LARGE($O$8:$O$47,17),$O$8:$O$47,0)),"")</f>
        <v>0</v>
      </c>
      <c r="K24" t="str">
        <f>IFERROR(INDEX(Settings!$A$4:$A$80,17),"")</f>
        <v>Overstocking</v>
      </c>
      <c r="L24">
        <f>IF($K24="","",SUMPRODUCT((Summary!$E$5:$E$241=$K24)*ISNUMBER(Summary!$A$5:$A$241)*(Summary!$A$5:$A$241&gt;=IF($B$3="",0,$B$3))*(Summary!$A$5:$A$241&lt;IF($B$4="",2958465,$B$4+1))))</f>
        <v>3</v>
      </c>
      <c r="M24">
        <f>IF($K24="","",SUMPRODUCT((Summary!$E$5:$E$241=$K24)*(Summary!$G$5:$G$241="Yes")*ISNUMBER(Summary!$A$5:$A$241)*(Summary!$A$5:$A$241&gt;=IF($B$3="",0,$B$3))*(Summary!$A$5:$A$241&lt;IF($B$4="",2958465,$B$4+1))))</f>
        <v>3</v>
      </c>
      <c r="N24">
        <f>IF($K24="","",L24+(24)/100000)</f>
        <v>3.0002399999999998</v>
      </c>
      <c r="O24">
        <f>IF($K24="","",M24+(24)/100000)</f>
        <v>3.0002399999999998</v>
      </c>
      <c r="P24" t="str">
        <f>IFERROR(INDEX(Settings!$B$4:$B$80,17),"")</f>
        <v>Overstocking</v>
      </c>
      <c r="Q24" t="str">
        <f>IFERROR(INDEX(Settings!$B$4:$B$80,SMALL($AA$4:$AA$80,17)-3),"")</f>
        <v>Heavy case load</v>
      </c>
      <c r="R24">
        <f t="shared" si="0"/>
        <v>0</v>
      </c>
      <c r="S24">
        <f t="shared" si="1"/>
        <v>0</v>
      </c>
      <c r="T24">
        <f>IF($Q24="","",R24+(9)/100000)</f>
        <v>9.0000000000000006E-5</v>
      </c>
      <c r="U24">
        <f>IF($Q24="","",S24+(9)/100000)</f>
        <v>9.0000000000000006E-5</v>
      </c>
      <c r="V24" t="str">
        <f>IFERROR(INDEX($Q$8:$Q$32,MATCH(LARGE($T$8:$T$32,17),$T$8:$T$32,0)),"")</f>
        <v>Defrost Sync</v>
      </c>
      <c r="W24">
        <f>IFERROR(INDEX($R$8:$R$32,MATCH(LARGE($T$8:$T$32,17),$T$8:$T$32,0)),"")</f>
        <v>0</v>
      </c>
      <c r="X24" t="str">
        <f>IFERROR(INDEX($Q$8:$Q$32,MATCH(LARGE($U$8:$U$32,17),$U$8:$U$32,0)),"")</f>
        <v>Freedom</v>
      </c>
      <c r="Y24">
        <f>IFERROR(INDEX($S$8:$S$32,MATCH(LARGE($U$8:$U$32,17),$U$8:$U$32,0)),"")</f>
        <v>0</v>
      </c>
      <c r="AA24">
        <f>IF(Settings!A24="","",IF(COUNTIF(Settings!$B$4:'Settings'!B24,Settings!B24)=1,ROW(Settings!B24),""))</f>
        <v>24</v>
      </c>
      <c r="AC24" t="str">
        <f>IF(Settings!A24="","",IF(Settings!B24=$B$34,ROW(Settings!B24),""))</f>
        <v/>
      </c>
      <c r="AD24">
        <f>IF($Q24="","",COUNTIF(Settings!$B$4:$B$80,$Q24))</f>
        <v>1</v>
      </c>
      <c r="AE24" t="str">
        <f t="shared" si="2"/>
        <v/>
      </c>
    </row>
    <row r="25" spans="1:43">
      <c r="A25" t="str">
        <f>IFERROR(INDEX($K$8:$K$47,MATCH(LARGE($N$8:$N$47,18),$N$8:$N$47,0)),"")</f>
        <v>Unidentified air leak</v>
      </c>
      <c r="B25">
        <f>IFERROR(INDEX($L$8:$L$47,MATCH(LARGE($N$8:$N$47,18),$N$8:$N$47,0)),"")</f>
        <v>1</v>
      </c>
      <c r="C25">
        <f>IFERROR(INDEX($M$8:$M$47,MATCH(LARGE($N$8:$N$47,18),$N$8:$N$47,0)),"")</f>
        <v>0</v>
      </c>
      <c r="E25" t="str">
        <f>IFERROR(INDEX($K$8:$K$47,MATCH(LARGE($O$8:$O$47,18),$O$8:$O$47,0)),"")</f>
        <v>Defrost Sync</v>
      </c>
      <c r="F25">
        <f>IFERROR(INDEX($M$8:$M$47,MATCH(LARGE($O$8:$O$47,18),$O$8:$O$47,0)),"")</f>
        <v>0</v>
      </c>
      <c r="K25" t="str">
        <f>IFERROR(INDEX(Settings!$A$4:$A$80,18),"")</f>
        <v>Case End Seal</v>
      </c>
      <c r="L25">
        <f>IF($K25="","",SUMPRODUCT((Summary!$E$5:$E$241=$K25)*ISNUMBER(Summary!$A$5:$A$241)*(Summary!$A$5:$A$241&gt;=IF($B$3="",0,$B$3))*(Summary!$A$5:$A$241&lt;IF($B$4="",2958465,$B$4+1))))</f>
        <v>0</v>
      </c>
      <c r="M25">
        <f>IF($K25="","",SUMPRODUCT((Summary!$E$5:$E$241=$K25)*(Summary!$G$5:$G$241="Yes")*ISNUMBER(Summary!$A$5:$A$241)*(Summary!$A$5:$A$241&gt;=IF($B$3="",0,$B$3))*(Summary!$A$5:$A$241&lt;IF($B$4="",2958465,$B$4+1))))</f>
        <v>0</v>
      </c>
      <c r="N25">
        <f>IF($K25="","",L25+(23)/100000)</f>
        <v>2.3000000000000001E-4</v>
      </c>
      <c r="O25">
        <f>IF($K25="","",M25+(23)/100000)</f>
        <v>2.3000000000000001E-4</v>
      </c>
      <c r="P25" t="str">
        <f>IFERROR(INDEX(Settings!$B$4:$B$80,18),"")</f>
        <v>Case End Seal</v>
      </c>
      <c r="Q25" t="str">
        <f>IFERROR(INDEX(Settings!$B$4:$B$80,SMALL($AA$4:$AA$80,18)-3),"")</f>
        <v>DG Installation issue</v>
      </c>
      <c r="R25">
        <f t="shared" si="0"/>
        <v>5</v>
      </c>
      <c r="S25">
        <f t="shared" si="1"/>
        <v>1</v>
      </c>
      <c r="T25">
        <f>IF($Q25="","",R25+(8)/100000)</f>
        <v>5.0000799999999996</v>
      </c>
      <c r="U25">
        <f>IF($Q25="","",S25+(8)/100000)</f>
        <v>1.0000800000000001</v>
      </c>
      <c r="V25" t="str">
        <f>IFERROR(INDEX($Q$8:$Q$32,MATCH(LARGE($T$8:$T$32,18),$T$8:$T$32,0)),"")</f>
        <v>Case End Seal</v>
      </c>
      <c r="W25">
        <f>IFERROR(INDEX($R$8:$R$32,MATCH(LARGE($T$8:$T$32,18),$T$8:$T$32,0)),"")</f>
        <v>0</v>
      </c>
      <c r="X25" t="str">
        <f>IFERROR(INDEX($Q$8:$Q$32,MATCH(LARGE($U$8:$U$32,18),$U$8:$U$32,0)),"")</f>
        <v>Heavy case load</v>
      </c>
      <c r="Y25">
        <f>IFERROR(INDEX($S$8:$S$32,MATCH(LARGE($U$8:$U$32,18),$U$8:$U$32,0)),"")</f>
        <v>0</v>
      </c>
      <c r="AA25">
        <f>IF(Settings!A25="","",IF(COUNTIF(Settings!$B$4:'Settings'!B25,Settings!B25)=1,ROW(Settings!B25),""))</f>
        <v>25</v>
      </c>
      <c r="AC25" t="str">
        <f>IF(Settings!A25="","",IF(Settings!B25=$B$34,ROW(Settings!B25),""))</f>
        <v/>
      </c>
      <c r="AD25">
        <f>IF($Q25="","",COUNTIF(Settings!$B$4:$B$80,$Q25))</f>
        <v>1</v>
      </c>
      <c r="AE25" t="str">
        <f t="shared" si="2"/>
        <v/>
      </c>
    </row>
    <row r="26" spans="1:43">
      <c r="A26" t="str">
        <f>IFERROR(INDEX($K$8:$K$47,MATCH(LARGE($N$8:$N$47,19),$N$8:$N$47,0)),"")</f>
        <v>Freedom</v>
      </c>
      <c r="B26">
        <f>IFERROR(INDEX($L$8:$L$47,MATCH(LARGE($N$8:$N$47,19),$N$8:$N$47,0)),"")</f>
        <v>1</v>
      </c>
      <c r="C26">
        <f>IFERROR(INDEX($M$8:$M$47,MATCH(LARGE($N$8:$N$47,19),$N$8:$N$47,0)),"")</f>
        <v>0</v>
      </c>
      <c r="E26" t="str">
        <f>IFERROR(INDEX($K$8:$K$47,MATCH(LARGE($O$8:$O$47,19),$O$8:$O$47,0)),"")</f>
        <v>Case End Seal</v>
      </c>
      <c r="F26">
        <f>IFERROR(INDEX($M$8:$M$47,MATCH(LARGE($O$8:$O$47,19),$O$8:$O$47,0)),"")</f>
        <v>0</v>
      </c>
      <c r="K26" t="str">
        <f>IFERROR(INDEX(Settings!$A$4:$A$80,19),"")</f>
        <v>Return Air blocked</v>
      </c>
      <c r="L26">
        <f>IF($K26="","",SUMPRODUCT((Summary!$E$5:$E$241=$K26)*ISNUMBER(Summary!$A$5:$A$241)*(Summary!$A$5:$A$241&gt;=IF($B$3="",0,$B$3))*(Summary!$A$5:$A$241&lt;IF($B$4="",2958465,$B$4+1))))</f>
        <v>0</v>
      </c>
      <c r="M26">
        <f>IF($K26="","",SUMPRODUCT((Summary!$E$5:$E$241=$K26)*(Summary!$G$5:$G$241="Yes")*ISNUMBER(Summary!$A$5:$A$241)*(Summary!$A$5:$A$241&gt;=IF($B$3="",0,$B$3))*(Summary!$A$5:$A$241&lt;IF($B$4="",2958465,$B$4+1))))</f>
        <v>0</v>
      </c>
      <c r="N26">
        <f>IF($K26="","",L26+(22)/100000)</f>
        <v>2.2000000000000001E-4</v>
      </c>
      <c r="O26">
        <f>IF($K26="","",M26+(22)/100000)</f>
        <v>2.2000000000000001E-4</v>
      </c>
      <c r="P26" t="str">
        <f>IFERROR(INDEX(Settings!$B$4:$B$80,19),"")</f>
        <v>Return Air blocked</v>
      </c>
      <c r="Q26" t="str">
        <f>IFERROR(INDEX(Settings!$B$4:$B$80,SMALL($AA$4:$AA$80,19)-3),"")</f>
        <v>Unknown</v>
      </c>
      <c r="R26">
        <f t="shared" si="0"/>
        <v>5</v>
      </c>
      <c r="S26">
        <f t="shared" si="1"/>
        <v>0</v>
      </c>
      <c r="T26">
        <f>IF($Q26="","",R26+(7)/100000)</f>
        <v>5.00007</v>
      </c>
      <c r="U26">
        <f>IF($Q26="","",S26+(7)/100000)</f>
        <v>6.9999999999999994E-5</v>
      </c>
      <c r="V26" t="str">
        <f>IFERROR(INDEX($Q$8:$Q$32,MATCH(LARGE($T$8:$T$32,19),$T$8:$T$32,0)),"")</f>
        <v>Return Air blocked</v>
      </c>
      <c r="W26">
        <f>IFERROR(INDEX($R$8:$R$32,MATCH(LARGE($T$8:$T$32,19),$T$8:$T$32,0)),"")</f>
        <v>0</v>
      </c>
      <c r="X26" t="str">
        <f>IFERROR(INDEX($Q$8:$Q$32,MATCH(LARGE($U$8:$U$32,19),$U$8:$U$32,0)),"")</f>
        <v>Unknown</v>
      </c>
      <c r="Y26">
        <f>IFERROR(INDEX($S$8:$S$32,MATCH(LARGE($U$8:$U$32,19),$U$8:$U$32,0)),"")</f>
        <v>0</v>
      </c>
      <c r="AA26">
        <f>IF(Settings!A26="","",IF(COUNTIF(Settings!$B$4:'Settings'!B26,Settings!B26)=1,ROW(Settings!B26),""))</f>
        <v>26</v>
      </c>
      <c r="AC26" t="str">
        <f>IF(Settings!A26="","",IF(Settings!B26=$B$34,ROW(Settings!B26),""))</f>
        <v/>
      </c>
      <c r="AD26">
        <f>IF($Q26="","",COUNTIF(Settings!$B$4:$B$80,$Q26))</f>
        <v>1</v>
      </c>
      <c r="AE26" t="str">
        <f t="shared" si="2"/>
        <v/>
      </c>
    </row>
    <row r="27" spans="1:43">
      <c r="A27" t="str">
        <f>IFERROR(INDEX($K$8:$K$47,MATCH(LARGE($N$8:$N$47,20),$N$8:$N$47,0)),"")</f>
        <v>Wrong program</v>
      </c>
      <c r="B27">
        <f>IFERROR(INDEX($L$8:$L$47,MATCH(LARGE($N$8:$N$47,20),$N$8:$N$47,0)),"")</f>
        <v>1</v>
      </c>
      <c r="C27">
        <f>IFERROR(INDEX($M$8:$M$47,MATCH(LARGE($N$8:$N$47,20),$N$8:$N$47,0)),"")</f>
        <v>0</v>
      </c>
      <c r="E27" t="str">
        <f>IFERROR(INDEX($K$8:$K$47,MATCH(LARGE($O$8:$O$47,20),$O$8:$O$47,0)),"")</f>
        <v>Return Air blocked</v>
      </c>
      <c r="F27">
        <f>IFERROR(INDEX($M$8:$M$47,MATCH(LARGE($O$8:$O$47,20),$O$8:$O$47,0)),"")</f>
        <v>0</v>
      </c>
      <c r="K27" t="str">
        <f>IFERROR(INDEX(Settings!$A$4:$A$80,20),"")</f>
        <v>Unidentified air leak</v>
      </c>
      <c r="L27">
        <f>IF($K27="","",SUMPRODUCT((Summary!$E$5:$E$241=$K27)*ISNUMBER(Summary!$A$5:$A$241)*(Summary!$A$5:$A$241&gt;=IF($B$3="",0,$B$3))*(Summary!$A$5:$A$241&lt;IF($B$4="",2958465,$B$4+1))))</f>
        <v>1</v>
      </c>
      <c r="M27">
        <f>IF($K27="","",SUMPRODUCT((Summary!$E$5:$E$241=$K27)*(Summary!$G$5:$G$241="Yes")*ISNUMBER(Summary!$A$5:$A$241)*(Summary!$A$5:$A$241&gt;=IF($B$3="",0,$B$3))*(Summary!$A$5:$A$241&lt;IF($B$4="",2958465,$B$4+1))))</f>
        <v>0</v>
      </c>
      <c r="N27">
        <f>IF($K27="","",L27+(21)/100000)</f>
        <v>1.00021</v>
      </c>
      <c r="O27">
        <f>IF($K27="","",M27+(21)/100000)</f>
        <v>2.1000000000000001E-4</v>
      </c>
      <c r="P27" t="str">
        <f>IFERROR(INDEX(Settings!$B$4:$B$80,20),"")</f>
        <v>Unidentified air leak</v>
      </c>
      <c r="Q27" t="str">
        <f>IFERROR(INDEX(Settings!$B$4:$B$80,SMALL($AA$4:$AA$80,20)-3),"")</f>
        <v>Program change - Hussmann</v>
      </c>
      <c r="R27">
        <f t="shared" si="0"/>
        <v>0</v>
      </c>
      <c r="S27">
        <f t="shared" si="1"/>
        <v>0</v>
      </c>
      <c r="T27">
        <f>IF($Q27="","",R27+(6)/100000)</f>
        <v>6.0000000000000002E-5</v>
      </c>
      <c r="U27">
        <f>IF($Q27="","",S27+(6)/100000)</f>
        <v>6.0000000000000002E-5</v>
      </c>
      <c r="V27" t="str">
        <f>IFERROR(INDEX($Q$8:$Q$32,MATCH(LARGE($T$8:$T$32,20),$T$8:$T$32,0)),"")</f>
        <v>Heavy case load</v>
      </c>
      <c r="W27">
        <f>IFERROR(INDEX($R$8:$R$32,MATCH(LARGE($T$8:$T$32,20),$T$8:$T$32,0)),"")</f>
        <v>0</v>
      </c>
      <c r="X27" t="str">
        <f>IFERROR(INDEX($Q$8:$Q$32,MATCH(LARGE($U$8:$U$32,20),$U$8:$U$32,0)),"")</f>
        <v>Program change - Hussmann</v>
      </c>
      <c r="Y27">
        <f>IFERROR(INDEX($S$8:$S$32,MATCH(LARGE($U$8:$U$32,20),$U$8:$U$32,0)),"")</f>
        <v>0</v>
      </c>
      <c r="AA27">
        <f>IF(Settings!A27="","",IF(COUNTIF(Settings!$B$4:'Settings'!B27,Settings!B27)=1,ROW(Settings!B27),""))</f>
        <v>27</v>
      </c>
      <c r="AC27" t="str">
        <f>IF(Settings!A27="","",IF(Settings!B27=$B$34,ROW(Settings!B27),""))</f>
        <v/>
      </c>
      <c r="AD27">
        <f>IF($Q27="","",COUNTIF(Settings!$B$4:$B$80,$Q27))</f>
        <v>1</v>
      </c>
      <c r="AE27" t="str">
        <f t="shared" si="2"/>
        <v/>
      </c>
    </row>
    <row r="28" spans="1:43">
      <c r="A28" t="str">
        <f>IFERROR(INDEX($K$8:$K$47,MATCH(LARGE($N$8:$N$47,21),$N$8:$N$47,0)),"")</f>
        <v>Enclosure Seal</v>
      </c>
      <c r="B28">
        <f>IFERROR(INDEX($L$8:$L$47,MATCH(LARGE($N$8:$N$47,21),$N$8:$N$47,0)),"")</f>
        <v>0</v>
      </c>
      <c r="C28">
        <f>IFERROR(INDEX($M$8:$M$47,MATCH(LARGE($N$8:$N$47,21),$N$8:$N$47,0)),"")</f>
        <v>0</v>
      </c>
      <c r="E28" t="str">
        <f>IFERROR(INDEX($K$8:$K$47,MATCH(LARGE($O$8:$O$47,21),$O$8:$O$47,0)),"")</f>
        <v>Unidentified air leak</v>
      </c>
      <c r="F28">
        <f>IFERROR(INDEX($M$8:$M$47,MATCH(LARGE($O$8:$O$47,21),$O$8:$O$47,0)),"")</f>
        <v>0</v>
      </c>
      <c r="K28" t="str">
        <f>IFERROR(INDEX(Settings!$A$4:$A$80,21),"")</f>
        <v>Freedom</v>
      </c>
      <c r="L28">
        <f>IF($K28="","",SUMPRODUCT((Summary!$E$5:$E$241=$K28)*ISNUMBER(Summary!$A$5:$A$241)*(Summary!$A$5:$A$241&gt;=IF($B$3="",0,$B$3))*(Summary!$A$5:$A$241&lt;IF($B$4="",2958465,$B$4+1))))</f>
        <v>1</v>
      </c>
      <c r="M28">
        <f>IF($K28="","",SUMPRODUCT((Summary!$E$5:$E$241=$K28)*(Summary!$G$5:$G$241="Yes")*ISNUMBER(Summary!$A$5:$A$241)*(Summary!$A$5:$A$241&gt;=IF($B$3="",0,$B$3))*(Summary!$A$5:$A$241&lt;IF($B$4="",2958465,$B$4+1))))</f>
        <v>0</v>
      </c>
      <c r="N28">
        <f>IF($K28="","",L28+(20)/100000)</f>
        <v>1.0002</v>
      </c>
      <c r="O28">
        <f>IF($K28="","",M28+(20)/100000)</f>
        <v>2.0000000000000001E-4</v>
      </c>
      <c r="P28" t="str">
        <f>IFERROR(INDEX(Settings!$B$4:$B$80,21),"")</f>
        <v>Freedom</v>
      </c>
      <c r="Q28" t="str">
        <f>IFERROR(INDEX(Settings!$B$4:$B$80,SMALL($AA$4:$AA$80,21)-3),"")</f>
        <v>Wrong program</v>
      </c>
      <c r="R28">
        <f t="shared" si="0"/>
        <v>1</v>
      </c>
      <c r="S28">
        <f t="shared" si="1"/>
        <v>0</v>
      </c>
      <c r="T28">
        <f>IF($Q28="","",R28+(5)/100000)</f>
        <v>1.0000500000000001</v>
      </c>
      <c r="U28">
        <f>IF($Q28="","",S28+(5)/100000)</f>
        <v>5.0000000000000002E-5</v>
      </c>
      <c r="V28" t="str">
        <f>IFERROR(INDEX($Q$8:$Q$32,MATCH(LARGE($T$8:$T$32,21),$T$8:$T$32,0)),"")</f>
        <v>Program change - Hussmann</v>
      </c>
      <c r="W28">
        <f>IFERROR(INDEX($R$8:$R$32,MATCH(LARGE($T$8:$T$32,21),$T$8:$T$32,0)),"")</f>
        <v>0</v>
      </c>
      <c r="X28" t="str">
        <f>IFERROR(INDEX($Q$8:$Q$32,MATCH(LARGE($U$8:$U$32,21),$U$8:$U$32,0)),"")</f>
        <v>Wrong program</v>
      </c>
      <c r="Y28">
        <f>IFERROR(INDEX($S$8:$S$32,MATCH(LARGE($U$8:$U$32,21),$U$8:$U$32,0)),"")</f>
        <v>0</v>
      </c>
      <c r="AA28">
        <f>IF(Settings!A28="","",IF(COUNTIF(Settings!$B$4:'Settings'!B28,Settings!B28)=1,ROW(Settings!B28),""))</f>
        <v>28</v>
      </c>
      <c r="AC28" t="str">
        <f>IF(Settings!A28="","",IF(Settings!B28=$B$34,ROW(Settings!B28),""))</f>
        <v/>
      </c>
      <c r="AD28">
        <f>IF($Q28="","",COUNTIF(Settings!$B$4:$B$80,$Q28))</f>
        <v>1</v>
      </c>
      <c r="AE28" t="str">
        <f t="shared" si="2"/>
        <v/>
      </c>
    </row>
    <row r="29" spans="1:43">
      <c r="A29" t="str">
        <f>IFERROR(INDEX($K$8:$K$47,MATCH(LARGE($N$8:$N$47,22),$N$8:$N$47,0)),"")</f>
        <v>Defrost Sync</v>
      </c>
      <c r="B29">
        <f>IFERROR(INDEX($L$8:$L$47,MATCH(LARGE($N$8:$N$47,22),$N$8:$N$47,0)),"")</f>
        <v>0</v>
      </c>
      <c r="C29">
        <f>IFERROR(INDEX($M$8:$M$47,MATCH(LARGE($N$8:$N$47,22),$N$8:$N$47,0)),"")</f>
        <v>0</v>
      </c>
      <c r="E29" t="str">
        <f>IFERROR(INDEX($K$8:$K$47,MATCH(LARGE($O$8:$O$47,22),$O$8:$O$47,0)),"")</f>
        <v>Freedom</v>
      </c>
      <c r="F29">
        <f>IFERROR(INDEX($M$8:$M$47,MATCH(LARGE($O$8:$O$47,22),$O$8:$O$47,0)),"")</f>
        <v>0</v>
      </c>
      <c r="K29" t="str">
        <f>IFERROR(INDEX(Settings!$A$4:$A$80,22),"")</f>
        <v>Heavy case load</v>
      </c>
      <c r="L29">
        <f>IF($K29="","",SUMPRODUCT((Summary!$E$5:$E$241=$K29)*ISNUMBER(Summary!$A$5:$A$241)*(Summary!$A$5:$A$241&gt;=IF($B$3="",0,$B$3))*(Summary!$A$5:$A$241&lt;IF($B$4="",2958465,$B$4+1))))</f>
        <v>0</v>
      </c>
      <c r="M29">
        <f>IF($K29="","",SUMPRODUCT((Summary!$E$5:$E$241=$K29)*(Summary!$G$5:$G$241="Yes")*ISNUMBER(Summary!$A$5:$A$241)*(Summary!$A$5:$A$241&gt;=IF($B$3="",0,$B$3))*(Summary!$A$5:$A$241&lt;IF($B$4="",2958465,$B$4+1))))</f>
        <v>0</v>
      </c>
      <c r="N29">
        <f>IF($K29="","",L29+(19)/100000)</f>
        <v>1.9000000000000001E-4</v>
      </c>
      <c r="O29">
        <f>IF($K29="","",M29+(19)/100000)</f>
        <v>1.9000000000000001E-4</v>
      </c>
      <c r="P29" t="str">
        <f>IFERROR(INDEX(Settings!$B$4:$B$80,22),"")</f>
        <v>Heavy case load</v>
      </c>
      <c r="Q29" t="str">
        <f>IFERROR(INDEX(Settings!$B$4:$B$80,SMALL($AA$4:$AA$80,22)-3),"")</f>
        <v>Value</v>
      </c>
      <c r="R29">
        <f t="shared" si="0"/>
        <v>0</v>
      </c>
      <c r="S29">
        <f t="shared" si="1"/>
        <v>0</v>
      </c>
      <c r="T29">
        <f>IF($Q29="","",R29+(4)/100000)</f>
        <v>4.0000000000000003E-5</v>
      </c>
      <c r="U29">
        <f>IF($Q29="","",S29+(4)/100000)</f>
        <v>4.0000000000000003E-5</v>
      </c>
      <c r="V29" t="str">
        <f>IFERROR(INDEX($Q$8:$Q$32,MATCH(LARGE($T$8:$T$32,22),$T$8:$T$32,0)),"")</f>
        <v>Value</v>
      </c>
      <c r="W29">
        <f>IFERROR(INDEX($R$8:$R$32,MATCH(LARGE($T$8:$T$32,22),$T$8:$T$32,0)),"")</f>
        <v>0</v>
      </c>
      <c r="X29" t="str">
        <f>IFERROR(INDEX($Q$8:$Q$32,MATCH(LARGE($U$8:$U$32,22),$U$8:$U$32,0)),"")</f>
        <v>Value</v>
      </c>
      <c r="Y29">
        <f>IFERROR(INDEX($S$8:$S$32,MATCH(LARGE($U$8:$U$32,22),$U$8:$U$32,0)),"")</f>
        <v>0</v>
      </c>
      <c r="AA29">
        <f>IF(Settings!A29="","",IF(COUNTIF(Settings!$B$4:'Settings'!B29,Settings!B29)=1,ROW(Settings!B29),""))</f>
        <v>29</v>
      </c>
      <c r="AC29" t="str">
        <f>IF(Settings!A29="","",IF(Settings!B29=$B$34,ROW(Settings!B29),""))</f>
        <v/>
      </c>
      <c r="AD29">
        <f>IF($Q29="","",COUNTIF(Settings!$B$4:$B$80,$Q29))</f>
        <v>1</v>
      </c>
      <c r="AE29" t="str">
        <f t="shared" si="2"/>
        <v/>
      </c>
    </row>
    <row r="30" spans="1:43">
      <c r="A30" t="str">
        <f>IFERROR(INDEX($K$8:$K$47,MATCH(LARGE($N$8:$N$47,23),$N$8:$N$47,0)),"")</f>
        <v>Case End Seal</v>
      </c>
      <c r="B30">
        <f>IFERROR(INDEX($L$8:$L$47,MATCH(LARGE($N$8:$N$47,23),$N$8:$N$47,0)),"")</f>
        <v>0</v>
      </c>
      <c r="C30">
        <f>IFERROR(INDEX($M$8:$M$47,MATCH(LARGE($N$8:$N$47,23),$N$8:$N$47,0)),"")</f>
        <v>0</v>
      </c>
      <c r="E30" t="str">
        <f>IFERROR(INDEX($K$8:$K$47,MATCH(LARGE($O$8:$O$47,23),$O$8:$O$47,0)),"")</f>
        <v>Heavy case load</v>
      </c>
      <c r="F30">
        <f>IFERROR(INDEX($M$8:$M$47,MATCH(LARGE($O$8:$O$47,23),$O$8:$O$47,0)),"")</f>
        <v>0</v>
      </c>
      <c r="K30" t="str">
        <f>IFERROR(INDEX(Settings!$A$4:$A$80,23),"")</f>
        <v>DG Installation issue</v>
      </c>
      <c r="L30">
        <f>IF($K30="","",SUMPRODUCT((Summary!$E$5:$E$241=$K30)*ISNUMBER(Summary!$A$5:$A$241)*(Summary!$A$5:$A$241&gt;=IF($B$3="",0,$B$3))*(Summary!$A$5:$A$241&lt;IF($B$4="",2958465,$B$4+1))))</f>
        <v>5</v>
      </c>
      <c r="M30">
        <f>IF($K30="","",SUMPRODUCT((Summary!$E$5:$E$241=$K30)*(Summary!$G$5:$G$241="Yes")*ISNUMBER(Summary!$A$5:$A$241)*(Summary!$A$5:$A$241&gt;=IF($B$3="",0,$B$3))*(Summary!$A$5:$A$241&lt;IF($B$4="",2958465,$B$4+1))))</f>
        <v>1</v>
      </c>
      <c r="N30">
        <f>IF($K30="","",L30+(18)/100000)</f>
        <v>5.0001800000000003</v>
      </c>
      <c r="O30">
        <f>IF($K30="","",M30+(18)/100000)</f>
        <v>1.0001800000000001</v>
      </c>
      <c r="P30" t="str">
        <f>IFERROR(INDEX(Settings!$B$4:$B$80,23),"")</f>
        <v>DG Installation issue</v>
      </c>
      <c r="Q30">
        <f>IFERROR(INDEX(Settings!$B$4:$B$80,SMALL($AA$4:$AA$80,23)-3),"")</f>
        <v>240</v>
      </c>
      <c r="R30">
        <f t="shared" si="0"/>
        <v>0</v>
      </c>
      <c r="S30">
        <f t="shared" si="1"/>
        <v>0</v>
      </c>
      <c r="T30">
        <f>IF($Q30="","",R30+(3)/100000)</f>
        <v>3.0000000000000001E-5</v>
      </c>
      <c r="U30">
        <f>IF($Q30="","",S30+(3)/100000)</f>
        <v>3.0000000000000001E-5</v>
      </c>
      <c r="V30">
        <f>IFERROR(INDEX($Q$8:$Q$32,MATCH(LARGE($T$8:$T$32,23),$T$8:$T$32,0)),"")</f>
        <v>240</v>
      </c>
      <c r="W30">
        <f>IFERROR(INDEX($R$8:$R$32,MATCH(LARGE($T$8:$T$32,23),$T$8:$T$32,0)),"")</f>
        <v>0</v>
      </c>
      <c r="X30">
        <f>IFERROR(INDEX($Q$8:$Q$32,MATCH(LARGE($U$8:$U$32,23),$U$8:$U$32,0)),"")</f>
        <v>240</v>
      </c>
      <c r="Y30">
        <f>IFERROR(INDEX($S$8:$S$32,MATCH(LARGE($U$8:$U$32,23),$U$8:$U$32,0)),"")</f>
        <v>0</v>
      </c>
      <c r="AA30" t="str">
        <f>IF(Settings!A30="","",IF(COUNTIF(Settings!$B$4:'Settings'!B30,Settings!B30)=1,ROW(Settings!B30),""))</f>
        <v/>
      </c>
      <c r="AC30" t="str">
        <f>IF(Settings!A30="","",IF(Settings!B30=$B$34,ROW(Settings!B30),""))</f>
        <v/>
      </c>
      <c r="AD30">
        <f>IF($Q30="","",COUNTIF(Settings!$B$4:$B$80,$Q30))</f>
        <v>1</v>
      </c>
      <c r="AE30" t="str">
        <f t="shared" si="2"/>
        <v/>
      </c>
    </row>
    <row r="31" spans="1:43">
      <c r="A31" t="str">
        <f>IFERROR(INDEX($K$8:$K$47,MATCH(LARGE($N$8:$N$47,24),$N$8:$N$47,0)),"")</f>
        <v>Return Air blocked</v>
      </c>
      <c r="B31">
        <f>IFERROR(INDEX($L$8:$L$47,MATCH(LARGE($N$8:$N$47,24),$N$8:$N$47,0)),"")</f>
        <v>0</v>
      </c>
      <c r="C31">
        <f>IFERROR(INDEX($M$8:$M$47,MATCH(LARGE($N$8:$N$47,24),$N$8:$N$47,0)),"")</f>
        <v>0</v>
      </c>
      <c r="E31" t="str">
        <f>IFERROR(INDEX($K$8:$K$47,MATCH(LARGE($O$8:$O$47,24),$O$8:$O$47,0)),"")</f>
        <v>Unknown</v>
      </c>
      <c r="F31">
        <f>IFERROR(INDEX($M$8:$M$47,MATCH(LARGE($O$8:$O$47,24),$O$8:$O$47,0)),"")</f>
        <v>0</v>
      </c>
      <c r="K31" t="str">
        <f>IFERROR(INDEX(Settings!$A$4:$A$80,24),"")</f>
        <v>Unknown</v>
      </c>
      <c r="L31">
        <f>IF($K31="","",SUMPRODUCT((Summary!$E$5:$E$241=$K31)*ISNUMBER(Summary!$A$5:$A$241)*(Summary!$A$5:$A$241&gt;=IF($B$3="",0,$B$3))*(Summary!$A$5:$A$241&lt;IF($B$4="",2958465,$B$4+1))))</f>
        <v>5</v>
      </c>
      <c r="M31">
        <f>IF($K31="","",SUMPRODUCT((Summary!$E$5:$E$241=$K31)*(Summary!$G$5:$G$241="Yes")*ISNUMBER(Summary!$A$5:$A$241)*(Summary!$A$5:$A$241&gt;=IF($B$3="",0,$B$3))*(Summary!$A$5:$A$241&lt;IF($B$4="",2958465,$B$4+1))))</f>
        <v>0</v>
      </c>
      <c r="N31">
        <f>IF($K31="","",L31+(17)/100000)</f>
        <v>5.0001699999999998</v>
      </c>
      <c r="O31">
        <f>IF($K31="","",M31+(17)/100000)</f>
        <v>1.7000000000000001E-4</v>
      </c>
      <c r="P31" t="str">
        <f>IFERROR(INDEX(Settings!$B$4:$B$80,24),"")</f>
        <v>Unknown</v>
      </c>
      <c r="Q31">
        <f>IFERROR(INDEX(Settings!$B$4:$B$80,SMALL($AA$4:$AA$80,24)-3),"")</f>
        <v>400</v>
      </c>
      <c r="R31">
        <f t="shared" si="0"/>
        <v>0</v>
      </c>
      <c r="S31">
        <f t="shared" si="1"/>
        <v>0</v>
      </c>
      <c r="T31">
        <f>IF($Q31="","",R31+(2)/100000)</f>
        <v>2.0000000000000002E-5</v>
      </c>
      <c r="U31">
        <f>IF($Q31="","",S31+(2)/100000)</f>
        <v>2.0000000000000002E-5</v>
      </c>
      <c r="V31">
        <f>IFERROR(INDEX($Q$8:$Q$32,MATCH(LARGE($T$8:$T$32,24),$T$8:$T$32,0)),"")</f>
        <v>400</v>
      </c>
      <c r="W31">
        <f>IFERROR(INDEX($R$8:$R$32,MATCH(LARGE($T$8:$T$32,24),$T$8:$T$32,0)),"")</f>
        <v>0</v>
      </c>
      <c r="X31">
        <f>IFERROR(INDEX($Q$8:$Q$32,MATCH(LARGE($U$8:$U$32,24),$U$8:$U$32,0)),"")</f>
        <v>400</v>
      </c>
      <c r="Y31">
        <f>IFERROR(INDEX($S$8:$S$32,MATCH(LARGE($U$8:$U$32,24),$U$8:$U$32,0)),"")</f>
        <v>0</v>
      </c>
      <c r="AA31" t="str">
        <f>IF(Settings!A31="","",IF(COUNTIF(Settings!$B$4:'Settings'!B31,Settings!B31)=1,ROW(Settings!B31),""))</f>
        <v/>
      </c>
      <c r="AC31" t="str">
        <f>IF(Settings!A31="","",IF(Settings!B31=$B$34,ROW(Settings!B31),""))</f>
        <v/>
      </c>
      <c r="AD31">
        <f>IF($Q31="","",COUNTIF(Settings!$B$4:$B$80,$Q31))</f>
        <v>1</v>
      </c>
      <c r="AE31" t="str">
        <f t="shared" si="2"/>
        <v/>
      </c>
    </row>
    <row r="32" spans="1:43">
      <c r="A32" t="str">
        <f>IFERROR(INDEX($K$8:$K$47,MATCH(LARGE($N$8:$N$47,25),$N$8:$N$47,0)),"")</f>
        <v>Heavy case load</v>
      </c>
      <c r="B32">
        <f>IFERROR(INDEX($L$8:$L$47,MATCH(LARGE($N$8:$N$47,25),$N$8:$N$47,0)),"")</f>
        <v>0</v>
      </c>
      <c r="C32">
        <f>IFERROR(INDEX($M$8:$M$47,MATCH(LARGE($N$8:$N$47,25),$N$8:$N$47,0)),"")</f>
        <v>0</v>
      </c>
      <c r="E32" t="str">
        <f>IFERROR(INDEX($K$8:$K$47,MATCH(LARGE($O$8:$O$47,25),$O$8:$O$47,0)),"")</f>
        <v>Program change - Hussmann</v>
      </c>
      <c r="F32">
        <f>IFERROR(INDEX($M$8:$M$47,MATCH(LARGE($O$8:$O$47,25),$O$8:$O$47,0)),"")</f>
        <v>0</v>
      </c>
      <c r="K32" t="str">
        <f>IFERROR(INDEX(Settings!$A$4:$A$80,25),"")</f>
        <v>Program change - Hussmann</v>
      </c>
      <c r="L32">
        <f>IF($K32="","",SUMPRODUCT((Summary!$E$5:$E$241=$K32)*ISNUMBER(Summary!$A$5:$A$241)*(Summary!$A$5:$A$241&gt;=IF($B$3="",0,$B$3))*(Summary!$A$5:$A$241&lt;IF($B$4="",2958465,$B$4+1))))</f>
        <v>0</v>
      </c>
      <c r="M32">
        <f>IF($K32="","",SUMPRODUCT((Summary!$E$5:$E$241=$K32)*(Summary!$G$5:$G$241="Yes")*ISNUMBER(Summary!$A$5:$A$241)*(Summary!$A$5:$A$241&gt;=IF($B$3="",0,$B$3))*(Summary!$A$5:$A$241&lt;IF($B$4="",2958465,$B$4+1))))</f>
        <v>0</v>
      </c>
      <c r="N32">
        <f>IF($K32="","",L32+(16)/100000)</f>
        <v>1.6000000000000001E-4</v>
      </c>
      <c r="O32">
        <f>IF($K32="","",M32+(16)/100000)</f>
        <v>1.6000000000000001E-4</v>
      </c>
      <c r="P32" t="str">
        <f>IFERROR(INDEX(Settings!$B$4:$B$80,25),"")</f>
        <v>Program change - Hussmann</v>
      </c>
      <c r="Q32">
        <f>IFERROR(INDEX(Settings!$B$4:$B$80,SMALL($AA$4:$AA$80,25)-3),"")</f>
        <v>80</v>
      </c>
      <c r="R32">
        <f t="shared" si="0"/>
        <v>0</v>
      </c>
      <c r="S32">
        <f t="shared" si="1"/>
        <v>0</v>
      </c>
      <c r="T32">
        <f>IF($Q32="","",R32+(1)/100000)</f>
        <v>1.0000000000000001E-5</v>
      </c>
      <c r="U32">
        <f>IF($Q32="","",S32+(1)/100000)</f>
        <v>1.0000000000000001E-5</v>
      </c>
      <c r="V32">
        <f>IFERROR(INDEX($Q$8:$Q$32,MATCH(LARGE($T$8:$T$32,25),$T$8:$T$32,0)),"")</f>
        <v>80</v>
      </c>
      <c r="W32">
        <f>IFERROR(INDEX($R$8:$R$32,MATCH(LARGE($T$8:$T$32,25),$T$8:$T$32,0)),"")</f>
        <v>0</v>
      </c>
      <c r="X32">
        <f>IFERROR(INDEX($Q$8:$Q$32,MATCH(LARGE($U$8:$U$32,25),$U$8:$U$32,0)),"")</f>
        <v>80</v>
      </c>
      <c r="Y32">
        <f>IFERROR(INDEX($S$8:$S$32,MATCH(LARGE($U$8:$U$32,25),$U$8:$U$32,0)),"")</f>
        <v>0</v>
      </c>
      <c r="AA32" t="str">
        <f>IF(Settings!A32="","",IF(COUNTIF(Settings!$B$4:'Settings'!B32,Settings!B32)=1,ROW(Settings!B32),""))</f>
        <v/>
      </c>
      <c r="AC32" t="str">
        <f>IF(Settings!A32="","",IF(Settings!B32=$B$34,ROW(Settings!B32),""))</f>
        <v/>
      </c>
      <c r="AD32">
        <f>IF($Q32="","",COUNTIF(Settings!$B$4:$B$80,$Q32))</f>
        <v>1</v>
      </c>
      <c r="AE32" t="str">
        <f t="shared" si="2"/>
        <v/>
      </c>
    </row>
    <row r="33" spans="1:137">
      <c r="A33" t="str">
        <f>IFERROR(INDEX($K$8:$K$47,MATCH(LARGE($N$8:$N$47,26),$N$8:$N$47,0)),"")</f>
        <v>Program change - Hussmann</v>
      </c>
      <c r="B33">
        <f>IFERROR(INDEX($L$8:$L$47,MATCH(LARGE($N$8:$N$47,26),$N$8:$N$47,0)),"")</f>
        <v>0</v>
      </c>
      <c r="C33">
        <f>IFERROR(INDEX($M$8:$M$47,MATCH(LARGE($N$8:$N$47,26),$N$8:$N$47,0)),"")</f>
        <v>0</v>
      </c>
      <c r="E33" t="str">
        <f>IFERROR(INDEX($K$8:$K$47,MATCH(LARGE($O$8:$O$47,26),$O$8:$O$47,0)),"")</f>
        <v>Wrong program</v>
      </c>
      <c r="F33">
        <f>IFERROR(INDEX($M$8:$M$47,MATCH(LARGE($O$8:$O$47,26),$O$8:$O$47,0)),"")</f>
        <v>0</v>
      </c>
      <c r="K33" t="str">
        <f>IFERROR(INDEX(Settings!$A$4:$A$80,26),"")</f>
        <v>Wrong program</v>
      </c>
      <c r="L33">
        <f>IF($K33="","",SUMPRODUCT((Summary!$E$5:$E$241=$K33)*ISNUMBER(Summary!$A$5:$A$241)*(Summary!$A$5:$A$241&gt;=IF($B$3="",0,$B$3))*(Summary!$A$5:$A$241&lt;IF($B$4="",2958465,$B$4+1))))</f>
        <v>1</v>
      </c>
      <c r="M33">
        <f>IF($K33="","",SUMPRODUCT((Summary!$E$5:$E$241=$K33)*(Summary!$G$5:$G$241="Yes")*ISNUMBER(Summary!$A$5:$A$241)*(Summary!$A$5:$A$241&gt;=IF($B$3="",0,$B$3))*(Summary!$A$5:$A$241&lt;IF($B$4="",2958465,$B$4+1))))</f>
        <v>0</v>
      </c>
      <c r="N33">
        <f>IF($K33="","",L33+(15)/100000)</f>
        <v>1.0001500000000001</v>
      </c>
      <c r="O33">
        <f>IF($K33="","",M33+(15)/100000)</f>
        <v>1.4999999999999999E-4</v>
      </c>
      <c r="P33" t="str">
        <f>IFERROR(INDEX(Settings!$B$4:$B$80,26),"")</f>
        <v>Wrong program</v>
      </c>
      <c r="AA33" t="str">
        <f>IF(Settings!A33="","",IF(COUNTIF(Settings!$B$4:'Settings'!B33,Settings!B33)=1,ROW(Settings!B33),""))</f>
        <v/>
      </c>
      <c r="AC33" t="str">
        <f>IF(Settings!A33="","",IF(Settings!B33=$B$34,ROW(Settings!B33),""))</f>
        <v/>
      </c>
    </row>
    <row r="34" spans="1:137">
      <c r="A34" t="s">
        <v>1505</v>
      </c>
      <c r="B34" t="str">
        <f>IFERROR(INDEX($Q$8:$Q$32,SMALL($AE$8:$AE$32,1)-7),"")</f>
        <v>Doors</v>
      </c>
      <c r="C34">
        <f>IFERROR(INDEX($M$8:$M$47,MATCH(LARGE($N$8:$N$47,27),$N$8:$N$47,0)),"")</f>
        <v>0</v>
      </c>
      <c r="E34">
        <f>IFERROR(INDEX($K$8:$K$47,MATCH(LARGE($O$8:$O$47,27),$O$8:$O$47,0)),"")</f>
        <v>0</v>
      </c>
      <c r="F34">
        <f>IFERROR(INDEX($M$8:$M$47,MATCH(LARGE($O$8:$O$47,27),$O$8:$O$47,0)),"")</f>
        <v>0</v>
      </c>
      <c r="K34">
        <f>IFERROR(INDEX(Settings!$A$4:$A$80,27),"")</f>
        <v>0</v>
      </c>
      <c r="L34">
        <f>IF($K34="","",SUMPRODUCT((Summary!$E$5:$E$241=$K34)*ISNUMBER(Summary!$A$5:$A$241)*(Summary!$A$5:$A$241&gt;=IF($B$3="",0,$B$3))*(Summary!$A$5:$A$241&lt;IF($B$4="",2958465,$B$4+1))))</f>
        <v>0</v>
      </c>
      <c r="M34">
        <f>IF($K34="","",SUMPRODUCT((Summary!$E$5:$E$241=$K34)*(Summary!$G$5:$G$241="Yes")*ISNUMBER(Summary!$A$5:$A$241)*(Summary!$A$5:$A$241&gt;=IF($B$3="",0,$B$3))*(Summary!$A$5:$A$241&lt;IF($B$4="",2958465,$B$4+1))))</f>
        <v>0</v>
      </c>
      <c r="N34">
        <f>IF($K34="","",L34+(14)/100000)</f>
        <v>1.3999999999999999E-4</v>
      </c>
      <c r="O34">
        <f>IF($K34="","",M34+(14)/100000)</f>
        <v>1.3999999999999999E-4</v>
      </c>
      <c r="P34">
        <f>IFERROR(INDEX(Settings!$B$4:$B$80,27),"")</f>
        <v>0</v>
      </c>
      <c r="AA34" t="str">
        <f>IF(Settings!A34="","",IF(COUNTIF(Settings!$B$4:'Settings'!B34,Settings!B34)=1,ROW(Settings!B34),""))</f>
        <v/>
      </c>
      <c r="AC34" t="str">
        <f>IF(Settings!A34="","",IF(Settings!B34=$B$34,ROW(Settings!B34),""))</f>
        <v/>
      </c>
    </row>
    <row r="35" spans="1:137">
      <c r="A35" t="s">
        <v>1506</v>
      </c>
      <c r="B35" t="str">
        <f>IFERROR(INDEX(Settings!$A$4:$A$80,SMALL($AC$4:$AC$80,1)-3),"")</f>
        <v>Door Torque</v>
      </c>
      <c r="C35" t="str">
        <f>IFERROR(INDEX(Settings!$A$4:$A$80,SMALL($AC$4:$AC$80,2)-3),"")</f>
        <v>Door Gasket</v>
      </c>
      <c r="D35" t="str">
        <f>IFERROR(INDEX(Settings!$A$4:$A$80,SMALL($AC$4:$AC$80,3)-3),"")</f>
        <v>Door frame heater</v>
      </c>
      <c r="E35" t="str">
        <f>IFERROR(INDEX(Settings!$A$4:$A$80,SMALL($AC$4:$AC$80,4)-3),"")</f>
        <v>Door Torsion rod</v>
      </c>
      <c r="F35" t="str">
        <f>IFERROR(INDEX(Settings!$A$4:$A$80,SMALL($AC$4:$AC$80,5)-3),"")</f>
        <v>Door not closed (Overnight)</v>
      </c>
      <c r="G35" t="str">
        <f>IFERROR(INDEX(Settings!$A$4:$A$80,SMALL($AC$4:$AC$80,6)-3),"")</f>
        <v>Door - general</v>
      </c>
      <c r="H35" t="str">
        <f>IFERROR(INDEX(Settings!$A$4:$A$80,SMALL($AC$4:$AC$80,7)-3),"")</f>
        <v/>
      </c>
      <c r="K35">
        <f>IFERROR(INDEX(Settings!$A$4:$A$80,28),"")</f>
        <v>0</v>
      </c>
      <c r="L35">
        <f>IF($K35="","",SUMPRODUCT((Summary!$E$5:$E$241=$K35)*ISNUMBER(Summary!$A$5:$A$241)*(Summary!$A$5:$A$241&gt;=IF($B$3="",0,$B$3))*(Summary!$A$5:$A$241&lt;IF($B$4="",2958465,$B$4+1))))</f>
        <v>0</v>
      </c>
      <c r="M35">
        <f>IF($K35="","",SUMPRODUCT((Summary!$E$5:$E$241=$K35)*(Summary!$G$5:$G$241="Yes")*ISNUMBER(Summary!$A$5:$A$241)*(Summary!$A$5:$A$241&gt;=IF($B$3="",0,$B$3))*(Summary!$A$5:$A$241&lt;IF($B$4="",2958465,$B$4+1))))</f>
        <v>0</v>
      </c>
      <c r="N35">
        <f>IF($K35="","",L35+(13)/100000)</f>
        <v>1.2999999999999999E-4</v>
      </c>
      <c r="O35">
        <f>IF($K35="","",M35+(13)/100000)</f>
        <v>1.2999999999999999E-4</v>
      </c>
      <c r="P35">
        <f>IFERROR(INDEX(Settings!$B$4:$B$80,28),"")</f>
        <v>0</v>
      </c>
      <c r="AA35" t="str">
        <f>IF(Settings!A35="","",IF(COUNTIF(Settings!$B$4:'Settings'!B35,Settings!B35)=1,ROW(Settings!B35),""))</f>
        <v/>
      </c>
      <c r="AC35" t="str">
        <f>IF(Settings!A35="","",IF(Settings!B35=$B$34,ROW(Settings!B35),""))</f>
        <v/>
      </c>
    </row>
    <row r="36" spans="1:137">
      <c r="A36" t="str">
        <f>IF($B$34="","",$B$34&amp;" = "&amp;B35&amp;IF(C35="",""," + "&amp;C35)&amp;IF(D35="",""," + "&amp;D35)&amp;IF(E35="",""," + "&amp;E35)&amp;IF(F35="",""," + "&amp;F35)&amp;IF(G35="",""," + "&amp;G35)&amp;IF(H35="",""," + "&amp;H35))</f>
        <v>Doors = Door Torque + Door Gasket + Door frame heater + Door Torsion rod + Door not closed (Overnight) + Door - general</v>
      </c>
      <c r="B36">
        <f>IFERROR(INDEX($L$8:$L$47,MATCH(LARGE($N$8:$N$47,29),$N$8:$N$47,0)),"")</f>
        <v>0</v>
      </c>
      <c r="C36">
        <f>IFERROR(INDEX($M$8:$M$47,MATCH(LARGE($N$8:$N$47,29),$N$8:$N$47,0)),"")</f>
        <v>0</v>
      </c>
      <c r="E36">
        <f>IFERROR(INDEX($K$8:$K$47,MATCH(LARGE($O$8:$O$47,29),$O$8:$O$47,0)),"")</f>
        <v>0</v>
      </c>
      <c r="F36">
        <f>IFERROR(INDEX($M$8:$M$47,MATCH(LARGE($O$8:$O$47,29),$O$8:$O$47,0)),"")</f>
        <v>0</v>
      </c>
      <c r="K36">
        <f>IFERROR(INDEX(Settings!$A$4:$A$80,29),"")</f>
        <v>0</v>
      </c>
      <c r="L36">
        <f>IF($K36="","",SUMPRODUCT((Summary!$E$5:$E$241=$K36)*ISNUMBER(Summary!$A$5:$A$241)*(Summary!$A$5:$A$241&gt;=IF($B$3="",0,$B$3))*(Summary!$A$5:$A$241&lt;IF($B$4="",2958465,$B$4+1))))</f>
        <v>0</v>
      </c>
      <c r="M36">
        <f>IF($K36="","",SUMPRODUCT((Summary!$E$5:$E$241=$K36)*(Summary!$G$5:$G$241="Yes")*ISNUMBER(Summary!$A$5:$A$241)*(Summary!$A$5:$A$241&gt;=IF($B$3="",0,$B$3))*(Summary!$A$5:$A$241&lt;IF($B$4="",2958465,$B$4+1))))</f>
        <v>0</v>
      </c>
      <c r="N36">
        <f>IF($K36="","",L36+(12)/100000)</f>
        <v>1.2E-4</v>
      </c>
      <c r="O36">
        <f>IF($K36="","",M36+(12)/100000)</f>
        <v>1.2E-4</v>
      </c>
      <c r="P36">
        <f>IFERROR(INDEX(Settings!$B$4:$B$80,29),"")</f>
        <v>0</v>
      </c>
      <c r="AA36" t="str">
        <f>IF(Settings!A36="","",IF(COUNTIF(Settings!$B$4:'Settings'!B36,Settings!B36)=1,ROW(Settings!B36),""))</f>
        <v/>
      </c>
      <c r="AC36" t="str">
        <f>IF(Settings!A36="","",IF(Settings!B36=$B$34,ROW(Settings!B36),""))</f>
        <v/>
      </c>
    </row>
    <row r="37" spans="1:137">
      <c r="A37">
        <f>IFERROR(INDEX($K$8:$K$47,MATCH(LARGE($N$8:$N$47,30),$N$8:$N$47,0)),"")</f>
        <v>0</v>
      </c>
      <c r="B37">
        <f>IFERROR(INDEX($L$8:$L$47,MATCH(LARGE($N$8:$N$47,30),$N$8:$N$47,0)),"")</f>
        <v>0</v>
      </c>
      <c r="C37">
        <f>IFERROR(INDEX($M$8:$M$47,MATCH(LARGE($N$8:$N$47,30),$N$8:$N$47,0)),"")</f>
        <v>0</v>
      </c>
      <c r="E37">
        <f>IFERROR(INDEX($K$8:$K$47,MATCH(LARGE($O$8:$O$47,30),$O$8:$O$47,0)),"")</f>
        <v>0</v>
      </c>
      <c r="F37">
        <f>IFERROR(INDEX($M$8:$M$47,MATCH(LARGE($O$8:$O$47,30),$O$8:$O$47,0)),"")</f>
        <v>0</v>
      </c>
      <c r="K37">
        <f>IFERROR(INDEX(Settings!$A$4:$A$80,30),"")</f>
        <v>0</v>
      </c>
      <c r="L37">
        <f>IF($K37="","",SUMPRODUCT((Summary!$E$5:$E$241=$K37)*ISNUMBER(Summary!$A$5:$A$241)*(Summary!$A$5:$A$241&gt;=IF($B$3="",0,$B$3))*(Summary!$A$5:$A$241&lt;IF($B$4="",2958465,$B$4+1))))</f>
        <v>0</v>
      </c>
      <c r="M37">
        <f>IF($K37="","",SUMPRODUCT((Summary!$E$5:$E$241=$K37)*(Summary!$G$5:$G$241="Yes")*ISNUMBER(Summary!$A$5:$A$241)*(Summary!$A$5:$A$241&gt;=IF($B$3="",0,$B$3))*(Summary!$A$5:$A$241&lt;IF($B$4="",2958465,$B$4+1))))</f>
        <v>0</v>
      </c>
      <c r="N37">
        <f>IF($K37="","",L37+(11)/100000)</f>
        <v>1.1E-4</v>
      </c>
      <c r="O37">
        <f>IF($K37="","",M37+(11)/100000)</f>
        <v>1.1E-4</v>
      </c>
      <c r="P37">
        <f>IFERROR(INDEX(Settings!$B$4:$B$80,30),"")</f>
        <v>0</v>
      </c>
      <c r="AA37" t="str">
        <f>IF(Settings!A37="","",IF(COUNTIF(Settings!$B$4:'Settings'!B37,Settings!B37)=1,ROW(Settings!B37),""))</f>
        <v/>
      </c>
      <c r="AC37" t="str">
        <f>IF(Settings!A37="","",IF(Settings!B37=$B$34,ROW(Settings!B37),""))</f>
        <v/>
      </c>
    </row>
    <row r="38" spans="1:137">
      <c r="A38">
        <f>IFERROR(INDEX($K$8:$K$47,MATCH(LARGE($N$8:$N$47,31),$N$8:$N$47,0)),"")</f>
        <v>0</v>
      </c>
      <c r="B38">
        <f>IFERROR(INDEX($L$8:$L$47,MATCH(LARGE($N$8:$N$47,31),$N$8:$N$47,0)),"")</f>
        <v>0</v>
      </c>
      <c r="C38">
        <f>IFERROR(INDEX($M$8:$M$47,MATCH(LARGE($N$8:$N$47,31),$N$8:$N$47,0)),"")</f>
        <v>0</v>
      </c>
      <c r="E38">
        <f>IFERROR(INDEX($K$8:$K$47,MATCH(LARGE($O$8:$O$47,31),$O$8:$O$47,0)),"")</f>
        <v>0</v>
      </c>
      <c r="F38">
        <f>IFERROR(INDEX($M$8:$M$47,MATCH(LARGE($O$8:$O$47,31),$O$8:$O$47,0)),"")</f>
        <v>0</v>
      </c>
      <c r="K38">
        <f>IFERROR(INDEX(Settings!$A$4:$A$80,31),"")</f>
        <v>0</v>
      </c>
      <c r="L38">
        <f>IF($K38="","",SUMPRODUCT((Summary!$E$5:$E$241=$K38)*ISNUMBER(Summary!$A$5:$A$241)*(Summary!$A$5:$A$241&gt;=IF($B$3="",0,$B$3))*(Summary!$A$5:$A$241&lt;IF($B$4="",2958465,$B$4+1))))</f>
        <v>0</v>
      </c>
      <c r="M38">
        <f>IF($K38="","",SUMPRODUCT((Summary!$E$5:$E$241=$K38)*(Summary!$G$5:$G$241="Yes")*ISNUMBER(Summary!$A$5:$A$241)*(Summary!$A$5:$A$241&gt;=IF($B$3="",0,$B$3))*(Summary!$A$5:$A$241&lt;IF($B$4="",2958465,$B$4+1))))</f>
        <v>0</v>
      </c>
      <c r="N38">
        <f>IF($K38="","",L38+(10)/100000)</f>
        <v>1E-4</v>
      </c>
      <c r="O38">
        <f>IF($K38="","",M38+(10)/100000)</f>
        <v>1E-4</v>
      </c>
      <c r="P38">
        <f>IFERROR(INDEX(Settings!$B$4:$B$80,31),"")</f>
        <v>0</v>
      </c>
      <c r="AA38" t="str">
        <f>IF(Settings!A38="","",IF(COUNTIF(Settings!$B$4:'Settings'!B38,Settings!B38)=1,ROW(Settings!B38),""))</f>
        <v/>
      </c>
      <c r="AC38" t="str">
        <f>IF(Settings!A38="","",IF(Settings!B38=$B$34,ROW(Settings!B38),""))</f>
        <v/>
      </c>
    </row>
    <row r="39" spans="1:137">
      <c r="A39">
        <f>IFERROR(INDEX($K$8:$K$47,MATCH(LARGE($N$8:$N$47,32),$N$8:$N$47,0)),"")</f>
        <v>0</v>
      </c>
      <c r="B39">
        <f>IFERROR(INDEX($L$8:$L$47,MATCH(LARGE($N$8:$N$47,32),$N$8:$N$47,0)),"")</f>
        <v>0</v>
      </c>
      <c r="C39">
        <f>IFERROR(INDEX($M$8:$M$47,MATCH(LARGE($N$8:$N$47,32),$N$8:$N$47,0)),"")</f>
        <v>0</v>
      </c>
      <c r="E39">
        <f>IFERROR(INDEX($K$8:$K$47,MATCH(LARGE($O$8:$O$47,32),$O$8:$O$47,0)),"")</f>
        <v>0</v>
      </c>
      <c r="F39">
        <f>IFERROR(INDEX($M$8:$M$47,MATCH(LARGE($O$8:$O$47,32),$O$8:$O$47,0)),"")</f>
        <v>0</v>
      </c>
      <c r="K39">
        <f>IFERROR(INDEX(Settings!$A$4:$A$80,32),"")</f>
        <v>0</v>
      </c>
      <c r="L39">
        <f>IF($K39="","",SUMPRODUCT((Summary!$E$5:$E$241=$K39)*ISNUMBER(Summary!$A$5:$A$241)*(Summary!$A$5:$A$241&gt;=IF($B$3="",0,$B$3))*(Summary!$A$5:$A$241&lt;IF($B$4="",2958465,$B$4+1))))</f>
        <v>0</v>
      </c>
      <c r="M39">
        <f>IF($K39="","",SUMPRODUCT((Summary!$E$5:$E$241=$K39)*(Summary!$G$5:$G$241="Yes")*ISNUMBER(Summary!$A$5:$A$241)*(Summary!$A$5:$A$241&gt;=IF($B$3="",0,$B$3))*(Summary!$A$5:$A$241&lt;IF($B$4="",2958465,$B$4+1))))</f>
        <v>0</v>
      </c>
      <c r="N39">
        <f>IF($K39="","",L39+(9)/100000)</f>
        <v>9.0000000000000006E-5</v>
      </c>
      <c r="O39">
        <f>IF($K39="","",M39+(9)/100000)</f>
        <v>9.0000000000000006E-5</v>
      </c>
      <c r="P39">
        <f>IFERROR(INDEX(Settings!$B$4:$B$80,32),"")</f>
        <v>0</v>
      </c>
      <c r="AA39" t="str">
        <f>IF(Settings!A39="","",IF(COUNTIF(Settings!$B$4:'Settings'!B39,Settings!B39)=1,ROW(Settings!B39),""))</f>
        <v/>
      </c>
      <c r="AC39" t="str">
        <f>IF(Settings!A39="","",IF(Settings!B39=$B$34,ROW(Settings!B39),""))</f>
        <v/>
      </c>
    </row>
    <row r="40" spans="1:137">
      <c r="A40">
        <f>IFERROR(INDEX($K$8:$K$47,MATCH(LARGE($N$8:$N$47,33),$N$8:$N$47,0)),"")</f>
        <v>0</v>
      </c>
      <c r="B40">
        <f>IFERROR(INDEX($L$8:$L$47,MATCH(LARGE($N$8:$N$47,33),$N$8:$N$47,0)),"")</f>
        <v>0</v>
      </c>
      <c r="C40">
        <f>IFERROR(INDEX($M$8:$M$47,MATCH(LARGE($N$8:$N$47,33),$N$8:$N$47,0)),"")</f>
        <v>0</v>
      </c>
      <c r="E40">
        <f>IFERROR(INDEX($K$8:$K$47,MATCH(LARGE($O$8:$O$47,33),$O$8:$O$47,0)),"")</f>
        <v>0</v>
      </c>
      <c r="F40">
        <f>IFERROR(INDEX($M$8:$M$47,MATCH(LARGE($O$8:$O$47,33),$O$8:$O$47,0)),"")</f>
        <v>0</v>
      </c>
      <c r="K40">
        <f>IFERROR(INDEX(Settings!$A$4:$A$80,33),"")</f>
        <v>0</v>
      </c>
      <c r="L40">
        <f>IF($K40="","",SUMPRODUCT((Summary!$E$5:$E$241=$K40)*ISNUMBER(Summary!$A$5:$A$241)*(Summary!$A$5:$A$241&gt;=IF($B$3="",0,$B$3))*(Summary!$A$5:$A$241&lt;IF($B$4="",2958465,$B$4+1))))</f>
        <v>0</v>
      </c>
      <c r="M40">
        <f>IF($K40="","",SUMPRODUCT((Summary!$E$5:$E$241=$K40)*(Summary!$G$5:$G$241="Yes")*ISNUMBER(Summary!$A$5:$A$241)*(Summary!$A$5:$A$241&gt;=IF($B$3="",0,$B$3))*(Summary!$A$5:$A$241&lt;IF($B$4="",2958465,$B$4+1))))</f>
        <v>0</v>
      </c>
      <c r="N40">
        <f>IF($K40="","",L40+(8)/100000)</f>
        <v>8.0000000000000007E-5</v>
      </c>
      <c r="O40">
        <f>IF($K40="","",M40+(8)/100000)</f>
        <v>8.0000000000000007E-5</v>
      </c>
      <c r="P40">
        <f>IFERROR(INDEX(Settings!$B$4:$B$80,33),"")</f>
        <v>0</v>
      </c>
      <c r="AA40" t="str">
        <f>IF(Settings!A40="","",IF(COUNTIF(Settings!$B$4:'Settings'!B40,Settings!B40)=1,ROW(Settings!B40),""))</f>
        <v/>
      </c>
      <c r="AC40" t="str">
        <f>IF(Settings!A40="","",IF(Settings!B40=$B$34,ROW(Settings!B40),""))</f>
        <v/>
      </c>
      <c r="BC40" t="s">
        <v>1507</v>
      </c>
      <c r="BE40" t="s">
        <v>1155</v>
      </c>
      <c r="BF40" t="s">
        <v>1144</v>
      </c>
      <c r="BG40" t="s">
        <v>1175</v>
      </c>
      <c r="BH40" t="s">
        <v>1148</v>
      </c>
      <c r="BI40" t="s">
        <v>1150</v>
      </c>
      <c r="BJ40" t="s">
        <v>1146</v>
      </c>
      <c r="BK40" t="s">
        <v>1147</v>
      </c>
      <c r="BL40" t="s">
        <v>1162</v>
      </c>
      <c r="BM40" t="s">
        <v>1158</v>
      </c>
      <c r="BN40" t="s">
        <v>1154</v>
      </c>
      <c r="BO40" t="s">
        <v>1152</v>
      </c>
      <c r="BP40" t="s">
        <v>1160</v>
      </c>
      <c r="BQ40" t="s">
        <v>1159</v>
      </c>
      <c r="BR40" t="s">
        <v>1156</v>
      </c>
      <c r="BS40" t="s">
        <v>1153</v>
      </c>
      <c r="BT40" t="s">
        <v>1187</v>
      </c>
      <c r="BU40" t="s">
        <v>1167</v>
      </c>
      <c r="BV40" t="s">
        <v>1149</v>
      </c>
      <c r="BW40" t="s">
        <v>1164</v>
      </c>
      <c r="BX40" t="s">
        <v>1165</v>
      </c>
      <c r="BY40" t="s">
        <v>1163</v>
      </c>
      <c r="BZ40" t="s">
        <v>1227</v>
      </c>
      <c r="CA40" t="s">
        <v>1166</v>
      </c>
      <c r="CB40" t="s">
        <v>1169</v>
      </c>
      <c r="CC40" t="s">
        <v>1157</v>
      </c>
      <c r="DI40" t="str">
        <f>IF(DD41="","",DD41)</f>
        <v>Doors</v>
      </c>
      <c r="DJ40" t="str">
        <f>IF(DD42="","",DD42)</f>
        <v>False Alarm</v>
      </c>
      <c r="DK40" t="str">
        <f>IF(DD43="","",DD43)</f>
        <v>High Store RH</v>
      </c>
      <c r="DL40" t="str">
        <f>IF(DD44="","",DD44)</f>
        <v>DG Installation issue</v>
      </c>
      <c r="DM40" t="str">
        <f>IF(DD45="","",DD45)</f>
        <v>Unknown</v>
      </c>
      <c r="DN40" t="str">
        <f>IF(DD46="","",DD46)</f>
        <v>Ref. leak/ Low charge</v>
      </c>
      <c r="DO40" t="str">
        <f>IF(DD47="","",DD47)</f>
        <v>Communication problem</v>
      </c>
      <c r="DP40" t="str">
        <f>IF(DD48="","",DD48)</f>
        <v>Drain tube blocked</v>
      </c>
      <c r="DQ40" t="str">
        <f>IF(DD49="","",DD49)</f>
        <v>Overstocking</v>
      </c>
      <c r="DR40" t="str">
        <f>IF(DD50="","",DD50)</f>
        <v>Wrong / Loose wiring</v>
      </c>
      <c r="DS40" t="str">
        <f>IF(DD51="","",DD51)</f>
        <v>Component Failure</v>
      </c>
      <c r="DT40" t="str">
        <f>IF(DD52="","",DD52)</f>
        <v>Setpoint change</v>
      </c>
      <c r="DU40" t="str">
        <f>IF(DD53="","",DD53)</f>
        <v>Unidentified air leak</v>
      </c>
      <c r="DV40" t="str">
        <f>IF(DD54="","",DD54)</f>
        <v>Freedom</v>
      </c>
      <c r="DW40" t="str">
        <f>IF(DD55="","",DD55)</f>
        <v>Wrong program</v>
      </c>
      <c r="DX40" t="str">
        <f>IF(DD56="","",DD56)</f>
        <v>Enclosure Seal</v>
      </c>
      <c r="DY40" t="str">
        <f>IF(DD57="","",DD57)</f>
        <v>Defrost Sync</v>
      </c>
      <c r="DZ40" t="str">
        <f>IF(DD58="","",DD58)</f>
        <v>Case End Seal</v>
      </c>
      <c r="EA40" t="str">
        <f>IF(DD59="","",DD59)</f>
        <v>Return Air blocked</v>
      </c>
      <c r="EB40" t="str">
        <f>IF(DD60="","",DD60)</f>
        <v>Heavy case load</v>
      </c>
      <c r="EC40" t="str">
        <f>IF(DD61="","",DD61)</f>
        <v>Program change - Hussmann</v>
      </c>
      <c r="ED40" t="str">
        <f>IF(DD62="","",DD62)</f>
        <v>Value</v>
      </c>
      <c r="EE40">
        <f>IF(DD63="","",DD63)</f>
        <v>240</v>
      </c>
      <c r="EF40">
        <f>IF(DD64="","",DD64)</f>
        <v>400</v>
      </c>
      <c r="EG40">
        <f>IF(DD65="","",DD65)</f>
        <v>80</v>
      </c>
    </row>
    <row r="41" spans="1:137">
      <c r="A41">
        <f>IFERROR(INDEX($K$8:$K$47,MATCH(LARGE($N$8:$N$47,34),$N$8:$N$47,0)),"")</f>
        <v>0</v>
      </c>
      <c r="B41">
        <f>IFERROR(INDEX($L$8:$L$47,MATCH(LARGE($N$8:$N$47,34),$N$8:$N$47,0)),"")</f>
        <v>0</v>
      </c>
      <c r="C41">
        <f>IFERROR(INDEX($M$8:$M$47,MATCH(LARGE($N$8:$N$47,34),$N$8:$N$47,0)),"")</f>
        <v>0</v>
      </c>
      <c r="E41">
        <f>IFERROR(INDEX($K$8:$K$47,MATCH(LARGE($O$8:$O$47,34),$O$8:$O$47,0)),"")</f>
        <v>0</v>
      </c>
      <c r="F41">
        <f>IFERROR(INDEX($M$8:$M$47,MATCH(LARGE($O$8:$O$47,34),$O$8:$O$47,0)),"")</f>
        <v>0</v>
      </c>
      <c r="K41">
        <f>IFERROR(INDEX(Settings!$A$4:$A$80,34),"")</f>
        <v>0</v>
      </c>
      <c r="L41">
        <f>IF($K41="","",SUMPRODUCT((Summary!$E$5:$E$241=$K41)*ISNUMBER(Summary!$A$5:$A$241)*(Summary!$A$5:$A$241&gt;=IF($B$3="",0,$B$3))*(Summary!$A$5:$A$241&lt;IF($B$4="",2958465,$B$4+1))))</f>
        <v>0</v>
      </c>
      <c r="M41">
        <f>IF($K41="","",SUMPRODUCT((Summary!$E$5:$E$241=$K41)*(Summary!$G$5:$G$241="Yes")*ISNUMBER(Summary!$A$5:$A$241)*(Summary!$A$5:$A$241&gt;=IF($B$3="",0,$B$3))*(Summary!$A$5:$A$241&lt;IF($B$4="",2958465,$B$4+1))))</f>
        <v>0</v>
      </c>
      <c r="N41">
        <f>IF($K41="","",L41+(7)/100000)</f>
        <v>6.9999999999999994E-5</v>
      </c>
      <c r="O41">
        <f>IF($K41="","",M41+(7)/100000)</f>
        <v>6.9999999999999994E-5</v>
      </c>
      <c r="P41">
        <f>IFERROR(INDEX(Settings!$B$4:$B$80,34),"")</f>
        <v>0</v>
      </c>
      <c r="AA41" t="str">
        <f>IF(Settings!A41="","",IF(COUNTIF(Settings!$B$4:'Settings'!B41,Settings!B41)=1,ROW(Settings!B41),""))</f>
        <v/>
      </c>
      <c r="AC41" t="str">
        <f>IF(Settings!A41="","",IF(Settings!B41=$B$34,ROW(Settings!B41),""))</f>
        <v/>
      </c>
      <c r="BA41" t="s">
        <v>1155</v>
      </c>
      <c r="BB41">
        <f>SUMPRODUCT((Summary!$E$5:$E$241=$BA41)*(Summary!$G$5:$G$241="Yes")*ISNUMBER(Summary!$A$5:$A$241)*(Summary!$A$5:$A$241&gt;=IF($B$3="",0,$B$3))*(Summary!$A$5:$A$241&lt;IF($B$4="",2958465,$B$4+1)))</f>
        <v>5</v>
      </c>
      <c r="BC41">
        <f>SUMPRODUCT((Summary!$E$5:$E$241=$BA41)*ISNUMBER(Summary!$A$5:$A$241)*(Summary!$A$5:$A$241&gt;=IF($B$3="",0,$B$3))*(Summary!$A$5:$A$241&lt;IF($B$4="",2958465,$B$4+1)))-BB41</f>
        <v>6</v>
      </c>
      <c r="BD41">
        <f t="shared" ref="BD41:BD65" si="3">BB41+BC41</f>
        <v>11</v>
      </c>
      <c r="BE41">
        <f>$BB$41</f>
        <v>5</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DD41" t="str">
        <f>IF($V$8="","",$V$8)</f>
        <v>Doors</v>
      </c>
      <c r="DE41">
        <f t="shared" ref="DE41:DE65" si="4">IF(DD41="","",INDEX($S$8:$S$32,MATCH(DD41,$Q$8:$Q$32,0)))</f>
        <v>5</v>
      </c>
      <c r="DF41">
        <f t="shared" ref="DF41:DF65" si="5">IF(DD41="","",INDEX($R$8:$R$32,MATCH(DD41,$Q$8:$Q$32,0))-DE41)</f>
        <v>24</v>
      </c>
      <c r="DG41">
        <f t="shared" ref="DG41:DG65" si="6">IF(DD41="","",DE41+DF41)</f>
        <v>29</v>
      </c>
      <c r="DI41">
        <f>DE$41</f>
        <v>5</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row>
    <row r="42" spans="1:137">
      <c r="A42">
        <f>IFERROR(INDEX($K$8:$K$47,MATCH(LARGE($N$8:$N$47,35),$N$8:$N$47,0)),"")</f>
        <v>0</v>
      </c>
      <c r="B42">
        <f>IFERROR(INDEX($L$8:$L$47,MATCH(LARGE($N$8:$N$47,35),$N$8:$N$47,0)),"")</f>
        <v>0</v>
      </c>
      <c r="C42">
        <f>IFERROR(INDEX($M$8:$M$47,MATCH(LARGE($N$8:$N$47,35),$N$8:$N$47,0)),"")</f>
        <v>0</v>
      </c>
      <c r="E42">
        <f>IFERROR(INDEX($K$8:$K$47,MATCH(LARGE($O$8:$O$47,35),$O$8:$O$47,0)),"")</f>
        <v>0</v>
      </c>
      <c r="F42">
        <f>IFERROR(INDEX($M$8:$M$47,MATCH(LARGE($O$8:$O$47,35),$O$8:$O$47,0)),"")</f>
        <v>0</v>
      </c>
      <c r="K42">
        <f>IFERROR(INDEX(Settings!$A$4:$A$80,35),"")</f>
        <v>0</v>
      </c>
      <c r="L42">
        <f>IF($K42="","",SUMPRODUCT((Summary!$E$5:$E$241=$K42)*ISNUMBER(Summary!$A$5:$A$241)*(Summary!$A$5:$A$241&gt;=IF($B$3="",0,$B$3))*(Summary!$A$5:$A$241&lt;IF($B$4="",2958465,$B$4+1))))</f>
        <v>0</v>
      </c>
      <c r="M42">
        <f>IF($K42="","",SUMPRODUCT((Summary!$E$5:$E$241=$K42)*(Summary!$G$5:$G$241="Yes")*ISNUMBER(Summary!$A$5:$A$241)*(Summary!$A$5:$A$241&gt;=IF($B$3="",0,$B$3))*(Summary!$A$5:$A$241&lt;IF($B$4="",2958465,$B$4+1))))</f>
        <v>0</v>
      </c>
      <c r="N42">
        <f>IF($K42="","",L42+(6)/100000)</f>
        <v>6.0000000000000002E-5</v>
      </c>
      <c r="O42">
        <f>IF($K42="","",M42+(6)/100000)</f>
        <v>6.0000000000000002E-5</v>
      </c>
      <c r="P42">
        <f>IFERROR(INDEX(Settings!$B$4:$B$80,35),"")</f>
        <v>0</v>
      </c>
      <c r="AA42" t="str">
        <f>IF(Settings!A42="","",IF(COUNTIF(Settings!$B$4:'Settings'!B42,Settings!B42)=1,ROW(Settings!B42),""))</f>
        <v/>
      </c>
      <c r="AC42" t="str">
        <f>IF(Settings!A42="","",IF(Settings!B42=$B$34,ROW(Settings!B42),""))</f>
        <v/>
      </c>
      <c r="BA42" t="s">
        <v>1144</v>
      </c>
      <c r="BB42">
        <f>SUMPRODUCT((Summary!$E$5:$E$241=$BA42)*(Summary!$G$5:$G$241="Yes")*ISNUMBER(Summary!$A$5:$A$241)*(Summary!$A$5:$A$241&gt;=IF($B$3="",0,$B$3))*(Summary!$A$5:$A$241&lt;IF($B$4="",2958465,$B$4+1)))</f>
        <v>1</v>
      </c>
      <c r="BC42">
        <f>SUMPRODUCT((Summary!$E$5:$E$241=$BA42)*ISNUMBER(Summary!$A$5:$A$241)*(Summary!$A$5:$A$241&gt;=IF($B$3="",0,$B$3))*(Summary!$A$5:$A$241&lt;IF($B$4="",2958465,$B$4+1)))-BB42</f>
        <v>6</v>
      </c>
      <c r="BD42">
        <f t="shared" si="3"/>
        <v>7</v>
      </c>
      <c r="BE42">
        <v>0</v>
      </c>
      <c r="BF42">
        <f>$BB$42</f>
        <v>1</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DD42" t="str">
        <f>IF($V$9="","",$V$9)</f>
        <v>False Alarm</v>
      </c>
      <c r="DE42">
        <f t="shared" si="4"/>
        <v>5</v>
      </c>
      <c r="DF42">
        <f t="shared" si="5"/>
        <v>6</v>
      </c>
      <c r="DG42">
        <f t="shared" si="6"/>
        <v>11</v>
      </c>
      <c r="DI42">
        <v>0</v>
      </c>
      <c r="DJ42">
        <f>DE$42</f>
        <v>5</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row>
    <row r="43" spans="1:137">
      <c r="A43">
        <f>IFERROR(INDEX($K$8:$K$47,MATCH(LARGE($N$8:$N$47,36),$N$8:$N$47,0)),"")</f>
        <v>0</v>
      </c>
      <c r="B43">
        <f>IFERROR(INDEX($L$8:$L$47,MATCH(LARGE($N$8:$N$47,36),$N$8:$N$47,0)),"")</f>
        <v>0</v>
      </c>
      <c r="C43">
        <f>IFERROR(INDEX($M$8:$M$47,MATCH(LARGE($N$8:$N$47,36),$N$8:$N$47,0)),"")</f>
        <v>0</v>
      </c>
      <c r="E43">
        <f>IFERROR(INDEX($K$8:$K$47,MATCH(LARGE($O$8:$O$47,36),$O$8:$O$47,0)),"")</f>
        <v>0</v>
      </c>
      <c r="F43">
        <f>IFERROR(INDEX($M$8:$M$47,MATCH(LARGE($O$8:$O$47,36),$O$8:$O$47,0)),"")</f>
        <v>0</v>
      </c>
      <c r="K43">
        <f>IFERROR(INDEX(Settings!$A$4:$A$80,36),"")</f>
        <v>0</v>
      </c>
      <c r="L43">
        <f>IF($K43="","",SUMPRODUCT((Summary!$E$5:$E$241=$K43)*ISNUMBER(Summary!$A$5:$A$241)*(Summary!$A$5:$A$241&gt;=IF($B$3="",0,$B$3))*(Summary!$A$5:$A$241&lt;IF($B$4="",2958465,$B$4+1))))</f>
        <v>0</v>
      </c>
      <c r="M43">
        <f>IF($K43="","",SUMPRODUCT((Summary!$E$5:$E$241=$K43)*(Summary!$G$5:$G$241="Yes")*ISNUMBER(Summary!$A$5:$A$241)*(Summary!$A$5:$A$241&gt;=IF($B$3="",0,$B$3))*(Summary!$A$5:$A$241&lt;IF($B$4="",2958465,$B$4+1))))</f>
        <v>0</v>
      </c>
      <c r="N43">
        <f>IF($K43="","",L43+(5)/100000)</f>
        <v>5.0000000000000002E-5</v>
      </c>
      <c r="O43">
        <f>IF($K43="","",M43+(5)/100000)</f>
        <v>5.0000000000000002E-5</v>
      </c>
      <c r="P43">
        <f>IFERROR(INDEX(Settings!$B$4:$B$80,36),"")</f>
        <v>0</v>
      </c>
      <c r="AA43" t="str">
        <f>IF(Settings!A43="","",IF(COUNTIF(Settings!$B$4:'Settings'!B43,Settings!B43)=1,ROW(Settings!B43),""))</f>
        <v/>
      </c>
      <c r="AC43" t="str">
        <f>IF(Settings!A43="","",IF(Settings!B43=$B$34,ROW(Settings!B43),""))</f>
        <v/>
      </c>
      <c r="BA43" t="s">
        <v>1175</v>
      </c>
      <c r="BB43">
        <f>SUMPRODUCT((Summary!$E$5:$E$241=$BA43)*(Summary!$G$5:$G$241="Yes")*ISNUMBER(Summary!$A$5:$A$241)*(Summary!$A$5:$A$241&gt;=IF($B$3="",0,$B$3))*(Summary!$A$5:$A$241&lt;IF($B$4="",2958465,$B$4+1)))</f>
        <v>2</v>
      </c>
      <c r="BC43">
        <f>SUMPRODUCT((Summary!$E$5:$E$241=$BA43)*ISNUMBER(Summary!$A$5:$A$241)*(Summary!$A$5:$A$241&gt;=IF($B$3="",0,$B$3))*(Summary!$A$5:$A$241&lt;IF($B$4="",2958465,$B$4+1)))-BB43</f>
        <v>12</v>
      </c>
      <c r="BD43">
        <f t="shared" si="3"/>
        <v>14</v>
      </c>
      <c r="BE43">
        <v>0</v>
      </c>
      <c r="BF43">
        <v>0</v>
      </c>
      <c r="BG43">
        <f>$BB$43</f>
        <v>2</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DD43" t="str">
        <f>IF($V$10="","",$V$10)</f>
        <v>High Store RH</v>
      </c>
      <c r="DE43">
        <f t="shared" si="4"/>
        <v>4</v>
      </c>
      <c r="DF43">
        <f t="shared" si="5"/>
        <v>5</v>
      </c>
      <c r="DG43">
        <f t="shared" si="6"/>
        <v>9</v>
      </c>
      <c r="DI43">
        <v>0</v>
      </c>
      <c r="DJ43">
        <v>0</v>
      </c>
      <c r="DK43">
        <f>DE$43</f>
        <v>4</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row>
    <row r="44" spans="1:137">
      <c r="A44">
        <f>IFERROR(INDEX($K$8:$K$47,MATCH(LARGE($N$8:$N$47,37),$N$8:$N$47,0)),"")</f>
        <v>0</v>
      </c>
      <c r="B44">
        <f>IFERROR(INDEX($L$8:$L$47,MATCH(LARGE($N$8:$N$47,37),$N$8:$N$47,0)),"")</f>
        <v>0</v>
      </c>
      <c r="C44">
        <f>IFERROR(INDEX($M$8:$M$47,MATCH(LARGE($N$8:$N$47,37),$N$8:$N$47,0)),"")</f>
        <v>0</v>
      </c>
      <c r="E44">
        <f>IFERROR(INDEX($K$8:$K$47,MATCH(LARGE($O$8:$O$47,37),$O$8:$O$47,0)),"")</f>
        <v>0</v>
      </c>
      <c r="F44">
        <f>IFERROR(INDEX($M$8:$M$47,MATCH(LARGE($O$8:$O$47,37),$O$8:$O$47,0)),"")</f>
        <v>0</v>
      </c>
      <c r="K44">
        <f>IFERROR(INDEX(Settings!$A$4:$A$80,37),"")</f>
        <v>0</v>
      </c>
      <c r="L44">
        <f>IF($K44="","",SUMPRODUCT((Summary!$E$5:$E$241=$K44)*ISNUMBER(Summary!$A$5:$A$241)*(Summary!$A$5:$A$241&gt;=IF($B$3="",0,$B$3))*(Summary!$A$5:$A$241&lt;IF($B$4="",2958465,$B$4+1))))</f>
        <v>0</v>
      </c>
      <c r="M44">
        <f>IF($K44="","",SUMPRODUCT((Summary!$E$5:$E$241=$K44)*(Summary!$G$5:$G$241="Yes")*ISNUMBER(Summary!$A$5:$A$241)*(Summary!$A$5:$A$241&gt;=IF($B$3="",0,$B$3))*(Summary!$A$5:$A$241&lt;IF($B$4="",2958465,$B$4+1))))</f>
        <v>0</v>
      </c>
      <c r="N44">
        <f>IF($K44="","",L44+(4)/100000)</f>
        <v>4.0000000000000003E-5</v>
      </c>
      <c r="O44">
        <f>IF($K44="","",M44+(4)/100000)</f>
        <v>4.0000000000000003E-5</v>
      </c>
      <c r="P44">
        <f>IFERROR(INDEX(Settings!$B$4:$B$80,37),"")</f>
        <v>0</v>
      </c>
      <c r="AA44" t="str">
        <f>IF(Settings!A44="","",IF(COUNTIF(Settings!$B$4:'Settings'!B44,Settings!B44)=1,ROW(Settings!B44),""))</f>
        <v/>
      </c>
      <c r="AC44" t="str">
        <f>IF(Settings!A44="","",IF(Settings!B44=$B$34,ROW(Settings!B44),""))</f>
        <v/>
      </c>
      <c r="BA44" t="s">
        <v>1148</v>
      </c>
      <c r="BB44">
        <f>SUMPRODUCT((Summary!$E$5:$E$241=$BA44)*(Summary!$G$5:$G$241="Yes")*ISNUMBER(Summary!$A$5:$A$241)*(Summary!$A$5:$A$241&gt;=IF($B$3="",0,$B$3))*(Summary!$A$5:$A$241&lt;IF($B$4="",2958465,$B$4+1)))</f>
        <v>2</v>
      </c>
      <c r="BC44">
        <f>SUMPRODUCT((Summary!$E$5:$E$241=$BA44)*ISNUMBER(Summary!$A$5:$A$241)*(Summary!$A$5:$A$241&gt;=IF($B$3="",0,$B$3))*(Summary!$A$5:$A$241&lt;IF($B$4="",2958465,$B$4+1)))-BB44</f>
        <v>2</v>
      </c>
      <c r="BD44">
        <f t="shared" si="3"/>
        <v>4</v>
      </c>
      <c r="BE44">
        <v>0</v>
      </c>
      <c r="BF44">
        <v>0</v>
      </c>
      <c r="BG44">
        <v>0</v>
      </c>
      <c r="BH44">
        <f>$BB$44</f>
        <v>2</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DD44" t="str">
        <f>IF($V$11="","",$V$11)</f>
        <v>DG Installation issue</v>
      </c>
      <c r="DE44">
        <f t="shared" si="4"/>
        <v>1</v>
      </c>
      <c r="DF44">
        <f t="shared" si="5"/>
        <v>4</v>
      </c>
      <c r="DG44">
        <f t="shared" si="6"/>
        <v>5</v>
      </c>
      <c r="DI44">
        <v>0</v>
      </c>
      <c r="DJ44">
        <v>0</v>
      </c>
      <c r="DK44">
        <v>0</v>
      </c>
      <c r="DL44">
        <f>DE$44</f>
        <v>1</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row>
    <row r="45" spans="1:137">
      <c r="A45">
        <f>IFERROR(INDEX($K$8:$K$47,MATCH(LARGE($N$8:$N$47,38),$N$8:$N$47,0)),"")</f>
        <v>0</v>
      </c>
      <c r="B45">
        <f>IFERROR(INDEX($L$8:$L$47,MATCH(LARGE($N$8:$N$47,38),$N$8:$N$47,0)),"")</f>
        <v>0</v>
      </c>
      <c r="C45">
        <f>IFERROR(INDEX($M$8:$M$47,MATCH(LARGE($N$8:$N$47,38),$N$8:$N$47,0)),"")</f>
        <v>0</v>
      </c>
      <c r="E45">
        <f>IFERROR(INDEX($K$8:$K$47,MATCH(LARGE($O$8:$O$47,38),$O$8:$O$47,0)),"")</f>
        <v>0</v>
      </c>
      <c r="F45">
        <f>IFERROR(INDEX($M$8:$M$47,MATCH(LARGE($O$8:$O$47,38),$O$8:$O$47,0)),"")</f>
        <v>0</v>
      </c>
      <c r="K45">
        <f>IFERROR(INDEX(Settings!$A$4:$A$80,38),"")</f>
        <v>0</v>
      </c>
      <c r="L45">
        <f>IF($K45="","",SUMPRODUCT((Summary!$E$5:$E$241=$K45)*ISNUMBER(Summary!$A$5:$A$241)*(Summary!$A$5:$A$241&gt;=IF($B$3="",0,$B$3))*(Summary!$A$5:$A$241&lt;IF($B$4="",2958465,$B$4+1))))</f>
        <v>0</v>
      </c>
      <c r="M45">
        <f>IF($K45="","",SUMPRODUCT((Summary!$E$5:$E$241=$K45)*(Summary!$G$5:$G$241="Yes")*ISNUMBER(Summary!$A$5:$A$241)*(Summary!$A$5:$A$241&gt;=IF($B$3="",0,$B$3))*(Summary!$A$5:$A$241&lt;IF($B$4="",2958465,$B$4+1))))</f>
        <v>0</v>
      </c>
      <c r="N45">
        <f>IF($K45="","",L45+(3)/100000)</f>
        <v>3.0000000000000001E-5</v>
      </c>
      <c r="O45">
        <f>IF($K45="","",M45+(3)/100000)</f>
        <v>3.0000000000000001E-5</v>
      </c>
      <c r="P45">
        <f>IFERROR(INDEX(Settings!$B$4:$B$80,38),"")</f>
        <v>0</v>
      </c>
      <c r="AA45" t="str">
        <f>IF(Settings!A45="","",IF(COUNTIF(Settings!$B$4:'Settings'!B45,Settings!B45)=1,ROW(Settings!B45),""))</f>
        <v/>
      </c>
      <c r="AC45" t="str">
        <f>IF(Settings!A45="","",IF(Settings!B45=$B$34,ROW(Settings!B45),""))</f>
        <v/>
      </c>
      <c r="BA45" t="s">
        <v>1150</v>
      </c>
      <c r="BB45">
        <f>SUMPRODUCT((Summary!$E$5:$E$241=$BA45)*(Summary!$G$5:$G$241="Yes")*ISNUMBER(Summary!$A$5:$A$241)*(Summary!$A$5:$A$241&gt;=IF($B$3="",0,$B$3))*(Summary!$A$5:$A$241&lt;IF($B$4="",2958465,$B$4+1)))</f>
        <v>1</v>
      </c>
      <c r="BC45">
        <f>SUMPRODUCT((Summary!$E$5:$E$241=$BA45)*ISNUMBER(Summary!$A$5:$A$241)*(Summary!$A$5:$A$241&gt;=IF($B$3="",0,$B$3))*(Summary!$A$5:$A$241&lt;IF($B$4="",2958465,$B$4+1)))-BB45</f>
        <v>3</v>
      </c>
      <c r="BD45">
        <f t="shared" si="3"/>
        <v>4</v>
      </c>
      <c r="BE45">
        <v>0</v>
      </c>
      <c r="BF45">
        <v>0</v>
      </c>
      <c r="BG45">
        <v>0</v>
      </c>
      <c r="BH45">
        <v>0</v>
      </c>
      <c r="BI45">
        <f>$BB$45</f>
        <v>1</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DD45" t="str">
        <f>IF($V$12="","",$V$12)</f>
        <v>Unknown</v>
      </c>
      <c r="DE45">
        <f t="shared" si="4"/>
        <v>0</v>
      </c>
      <c r="DF45">
        <f t="shared" si="5"/>
        <v>5</v>
      </c>
      <c r="DG45">
        <f t="shared" si="6"/>
        <v>5</v>
      </c>
      <c r="DI45">
        <v>0</v>
      </c>
      <c r="DJ45">
        <v>0</v>
      </c>
      <c r="DK45">
        <v>0</v>
      </c>
      <c r="DL45">
        <v>0</v>
      </c>
      <c r="DM45">
        <f>DE$45</f>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row>
    <row r="46" spans="1:137">
      <c r="A46">
        <f>IFERROR(INDEX($K$8:$K$47,MATCH(LARGE($N$8:$N$47,39),$N$8:$N$47,0)),"")</f>
        <v>0</v>
      </c>
      <c r="B46">
        <f>IFERROR(INDEX($L$8:$L$47,MATCH(LARGE($N$8:$N$47,39),$N$8:$N$47,0)),"")</f>
        <v>0</v>
      </c>
      <c r="C46">
        <f>IFERROR(INDEX($M$8:$M$47,MATCH(LARGE($N$8:$N$47,39),$N$8:$N$47,0)),"")</f>
        <v>0</v>
      </c>
      <c r="E46">
        <f>IFERROR(INDEX($K$8:$K$47,MATCH(LARGE($O$8:$O$47,39),$O$8:$O$47,0)),"")</f>
        <v>0</v>
      </c>
      <c r="F46">
        <f>IFERROR(INDEX($M$8:$M$47,MATCH(LARGE($O$8:$O$47,39),$O$8:$O$47,0)),"")</f>
        <v>0</v>
      </c>
      <c r="K46">
        <f>IFERROR(INDEX(Settings!$A$4:$A$80,39),"")</f>
        <v>0</v>
      </c>
      <c r="L46">
        <f>IF($K46="","",SUMPRODUCT((Summary!$E$5:$E$241=$K46)*ISNUMBER(Summary!$A$5:$A$241)*(Summary!$A$5:$A$241&gt;=IF($B$3="",0,$B$3))*(Summary!$A$5:$A$241&lt;IF($B$4="",2958465,$B$4+1))))</f>
        <v>0</v>
      </c>
      <c r="M46">
        <f>IF($K46="","",SUMPRODUCT((Summary!$E$5:$E$241=$K46)*(Summary!$G$5:$G$241="Yes")*ISNUMBER(Summary!$A$5:$A$241)*(Summary!$A$5:$A$241&gt;=IF($B$3="",0,$B$3))*(Summary!$A$5:$A$241&lt;IF($B$4="",2958465,$B$4+1))))</f>
        <v>0</v>
      </c>
      <c r="N46">
        <f>IF($K46="","",L46+(2)/100000)</f>
        <v>2.0000000000000002E-5</v>
      </c>
      <c r="O46">
        <f>IF($K46="","",M46+(2)/100000)</f>
        <v>2.0000000000000002E-5</v>
      </c>
      <c r="P46">
        <f>IFERROR(INDEX(Settings!$B$4:$B$80,39),"")</f>
        <v>0</v>
      </c>
      <c r="AA46" t="str">
        <f>IF(Settings!A46="","",IF(COUNTIF(Settings!$B$4:'Settings'!B46,Settings!B46)=1,ROW(Settings!B46),""))</f>
        <v/>
      </c>
      <c r="AC46" t="str">
        <f>IF(Settings!A46="","",IF(Settings!B46=$B$34,ROW(Settings!B46),""))</f>
        <v/>
      </c>
      <c r="BA46" t="s">
        <v>1146</v>
      </c>
      <c r="BB46">
        <f>SUMPRODUCT((Summary!$E$5:$E$241=$BA46)*(Summary!$G$5:$G$241="Yes")*ISNUMBER(Summary!$A$5:$A$241)*(Summary!$A$5:$A$241&gt;=IF($B$3="",0,$B$3))*(Summary!$A$5:$A$241&lt;IF($B$4="",2958465,$B$4+1)))</f>
        <v>0</v>
      </c>
      <c r="BC46">
        <f>SUMPRODUCT((Summary!$E$5:$E$241=$BA46)*ISNUMBER(Summary!$A$5:$A$241)*(Summary!$A$5:$A$241&gt;=IF($B$3="",0,$B$3))*(Summary!$A$5:$A$241&lt;IF($B$4="",2958465,$B$4+1)))-BB46</f>
        <v>3</v>
      </c>
      <c r="BD46">
        <f t="shared" si="3"/>
        <v>3</v>
      </c>
      <c r="BE46">
        <v>0</v>
      </c>
      <c r="BF46">
        <v>0</v>
      </c>
      <c r="BG46">
        <v>0</v>
      </c>
      <c r="BH46">
        <v>0</v>
      </c>
      <c r="BI46">
        <v>0</v>
      </c>
      <c r="BJ46">
        <f>$BB$46</f>
        <v>0</v>
      </c>
      <c r="BK46">
        <v>0</v>
      </c>
      <c r="BL46">
        <v>0</v>
      </c>
      <c r="BM46">
        <v>0</v>
      </c>
      <c r="BN46">
        <v>0</v>
      </c>
      <c r="BO46">
        <v>0</v>
      </c>
      <c r="BP46">
        <v>0</v>
      </c>
      <c r="BQ46">
        <v>0</v>
      </c>
      <c r="BR46">
        <v>0</v>
      </c>
      <c r="BS46">
        <v>0</v>
      </c>
      <c r="BT46">
        <v>0</v>
      </c>
      <c r="BU46">
        <v>0</v>
      </c>
      <c r="BV46">
        <v>0</v>
      </c>
      <c r="BW46">
        <v>0</v>
      </c>
      <c r="BX46">
        <v>0</v>
      </c>
      <c r="BY46">
        <v>0</v>
      </c>
      <c r="BZ46">
        <v>0</v>
      </c>
      <c r="CA46">
        <v>0</v>
      </c>
      <c r="CB46">
        <v>0</v>
      </c>
      <c r="CC46">
        <v>0</v>
      </c>
      <c r="DD46" t="str">
        <f>IF($V$13="","",$V$13)</f>
        <v>Ref. leak/ Low charge</v>
      </c>
      <c r="DE46">
        <f t="shared" si="4"/>
        <v>2</v>
      </c>
      <c r="DF46">
        <f t="shared" si="5"/>
        <v>2</v>
      </c>
      <c r="DG46">
        <f t="shared" si="6"/>
        <v>4</v>
      </c>
      <c r="DI46">
        <v>0</v>
      </c>
      <c r="DJ46">
        <v>0</v>
      </c>
      <c r="DK46">
        <v>0</v>
      </c>
      <c r="DL46">
        <v>0</v>
      </c>
      <c r="DM46">
        <v>0</v>
      </c>
      <c r="DN46">
        <f>DE$46</f>
        <v>2</v>
      </c>
      <c r="DO46">
        <v>0</v>
      </c>
      <c r="DP46">
        <v>0</v>
      </c>
      <c r="DQ46">
        <v>0</v>
      </c>
      <c r="DR46">
        <v>0</v>
      </c>
      <c r="DS46">
        <v>0</v>
      </c>
      <c r="DT46">
        <v>0</v>
      </c>
      <c r="DU46">
        <v>0</v>
      </c>
      <c r="DV46">
        <v>0</v>
      </c>
      <c r="DW46">
        <v>0</v>
      </c>
      <c r="DX46">
        <v>0</v>
      </c>
      <c r="DY46">
        <v>0</v>
      </c>
      <c r="DZ46">
        <v>0</v>
      </c>
      <c r="EA46">
        <v>0</v>
      </c>
      <c r="EB46">
        <v>0</v>
      </c>
      <c r="EC46">
        <v>0</v>
      </c>
      <c r="ED46">
        <v>0</v>
      </c>
      <c r="EE46">
        <v>0</v>
      </c>
      <c r="EF46">
        <v>0</v>
      </c>
      <c r="EG46">
        <v>0</v>
      </c>
    </row>
    <row r="47" spans="1:137">
      <c r="A47">
        <f>IFERROR(INDEX($K$8:$K$47,MATCH(LARGE($N$8:$N$47,40),$N$8:$N$47,0)),"")</f>
        <v>0</v>
      </c>
      <c r="B47">
        <f>IFERROR(INDEX($L$8:$L$47,MATCH(LARGE($N$8:$N$47,40),$N$8:$N$47,0)),"")</f>
        <v>0</v>
      </c>
      <c r="C47">
        <f>IFERROR(INDEX($M$8:$M$47,MATCH(LARGE($N$8:$N$47,40),$N$8:$N$47,0)),"")</f>
        <v>0</v>
      </c>
      <c r="E47">
        <f>IFERROR(INDEX($K$8:$K$47,MATCH(LARGE($O$8:$O$47,40),$O$8:$O$47,0)),"")</f>
        <v>0</v>
      </c>
      <c r="F47">
        <f>IFERROR(INDEX($M$8:$M$47,MATCH(LARGE($O$8:$O$47,40),$O$8:$O$47,0)),"")</f>
        <v>0</v>
      </c>
      <c r="K47">
        <f>IFERROR(INDEX(Settings!$A$4:$A$80,40),"")</f>
        <v>0</v>
      </c>
      <c r="L47">
        <f>IF($K47="","",SUMPRODUCT((Summary!$E$5:$E$241=$K47)*ISNUMBER(Summary!$A$5:$A$241)*(Summary!$A$5:$A$241&gt;=IF($B$3="",0,$B$3))*(Summary!$A$5:$A$241&lt;IF($B$4="",2958465,$B$4+1))))</f>
        <v>0</v>
      </c>
      <c r="M47">
        <f>IF($K47="","",SUMPRODUCT((Summary!$E$5:$E$241=$K47)*(Summary!$G$5:$G$241="Yes")*ISNUMBER(Summary!$A$5:$A$241)*(Summary!$A$5:$A$241&gt;=IF($B$3="",0,$B$3))*(Summary!$A$5:$A$241&lt;IF($B$4="",2958465,$B$4+1))))</f>
        <v>0</v>
      </c>
      <c r="N47">
        <f>IF($K47="","",L47+(1)/100000)</f>
        <v>1.0000000000000001E-5</v>
      </c>
      <c r="O47">
        <f>IF($K47="","",M47+(1)/100000)</f>
        <v>1.0000000000000001E-5</v>
      </c>
      <c r="P47">
        <f>IFERROR(INDEX(Settings!$B$4:$B$80,40),"")</f>
        <v>0</v>
      </c>
      <c r="AA47" t="str">
        <f>IF(Settings!A47="","",IF(COUNTIF(Settings!$B$4:'Settings'!B47,Settings!B47)=1,ROW(Settings!B47),""))</f>
        <v/>
      </c>
      <c r="AC47" t="str">
        <f>IF(Settings!A47="","",IF(Settings!B47=$B$34,ROW(Settings!B47),""))</f>
        <v/>
      </c>
      <c r="BA47" t="s">
        <v>1147</v>
      </c>
      <c r="BB47">
        <f>SUMPRODUCT((Summary!$E$5:$E$241=$BA47)*(Summary!$G$5:$G$241="Yes")*ISNUMBER(Summary!$A$5:$A$241)*(Summary!$A$5:$A$241&gt;=IF($B$3="",0,$B$3))*(Summary!$A$5:$A$241&lt;IF($B$4="",2958465,$B$4+1)))</f>
        <v>4</v>
      </c>
      <c r="BC47">
        <f>SUMPRODUCT((Summary!$E$5:$E$241=$BA47)*ISNUMBER(Summary!$A$5:$A$241)*(Summary!$A$5:$A$241&gt;=IF($B$3="",0,$B$3))*(Summary!$A$5:$A$241&lt;IF($B$4="",2958465,$B$4+1)))-BB47</f>
        <v>5</v>
      </c>
      <c r="BD47">
        <f t="shared" si="3"/>
        <v>9</v>
      </c>
      <c r="BE47">
        <v>0</v>
      </c>
      <c r="BF47">
        <v>0</v>
      </c>
      <c r="BG47">
        <v>0</v>
      </c>
      <c r="BH47">
        <v>0</v>
      </c>
      <c r="BI47">
        <v>0</v>
      </c>
      <c r="BJ47">
        <v>0</v>
      </c>
      <c r="BK47">
        <f>$BB$47</f>
        <v>4</v>
      </c>
      <c r="BL47">
        <v>0</v>
      </c>
      <c r="BM47">
        <v>0</v>
      </c>
      <c r="BN47">
        <v>0</v>
      </c>
      <c r="BO47">
        <v>0</v>
      </c>
      <c r="BP47">
        <v>0</v>
      </c>
      <c r="BQ47">
        <v>0</v>
      </c>
      <c r="BR47">
        <v>0</v>
      </c>
      <c r="BS47">
        <v>0</v>
      </c>
      <c r="BT47">
        <v>0</v>
      </c>
      <c r="BU47">
        <v>0</v>
      </c>
      <c r="BV47">
        <v>0</v>
      </c>
      <c r="BW47">
        <v>0</v>
      </c>
      <c r="BX47">
        <v>0</v>
      </c>
      <c r="BY47">
        <v>0</v>
      </c>
      <c r="BZ47">
        <v>0</v>
      </c>
      <c r="CA47">
        <v>0</v>
      </c>
      <c r="CB47">
        <v>0</v>
      </c>
      <c r="CC47">
        <v>0</v>
      </c>
      <c r="DD47" t="str">
        <f>IF($V$14="","",$V$14)</f>
        <v>Communication problem</v>
      </c>
      <c r="DE47">
        <f t="shared" si="4"/>
        <v>1</v>
      </c>
      <c r="DF47">
        <f t="shared" si="5"/>
        <v>3</v>
      </c>
      <c r="DG47">
        <f t="shared" si="6"/>
        <v>4</v>
      </c>
      <c r="DI47">
        <v>0</v>
      </c>
      <c r="DJ47">
        <v>0</v>
      </c>
      <c r="DK47">
        <v>0</v>
      </c>
      <c r="DL47">
        <v>0</v>
      </c>
      <c r="DM47">
        <v>0</v>
      </c>
      <c r="DN47">
        <v>0</v>
      </c>
      <c r="DO47">
        <f>DE$47</f>
        <v>1</v>
      </c>
      <c r="DP47">
        <v>0</v>
      </c>
      <c r="DQ47">
        <v>0</v>
      </c>
      <c r="DR47">
        <v>0</v>
      </c>
      <c r="DS47">
        <v>0</v>
      </c>
      <c r="DT47">
        <v>0</v>
      </c>
      <c r="DU47">
        <v>0</v>
      </c>
      <c r="DV47">
        <v>0</v>
      </c>
      <c r="DW47">
        <v>0</v>
      </c>
      <c r="DX47">
        <v>0</v>
      </c>
      <c r="DY47">
        <v>0</v>
      </c>
      <c r="DZ47">
        <v>0</v>
      </c>
      <c r="EA47">
        <v>0</v>
      </c>
      <c r="EB47">
        <v>0</v>
      </c>
      <c r="EC47">
        <v>0</v>
      </c>
      <c r="ED47">
        <v>0</v>
      </c>
      <c r="EE47">
        <v>0</v>
      </c>
      <c r="EF47">
        <v>0</v>
      </c>
      <c r="EG47">
        <v>0</v>
      </c>
    </row>
    <row r="48" spans="1:137">
      <c r="AA48" t="str">
        <f>IF(Settings!A48="","",IF(COUNTIF(Settings!$B$4:'Settings'!B48,Settings!B48)=1,ROW(Settings!B48),""))</f>
        <v/>
      </c>
      <c r="AC48" t="str">
        <f>IF(Settings!A48="","",IF(Settings!B48=$B$34,ROW(Settings!B48),""))</f>
        <v/>
      </c>
      <c r="BA48" t="s">
        <v>1162</v>
      </c>
      <c r="BB48">
        <f>SUMPRODUCT((Summary!$E$5:$E$241=$BA48)*(Summary!$G$5:$G$241="Yes")*ISNUMBER(Summary!$A$5:$A$241)*(Summary!$A$5:$A$241&gt;=IF($B$3="",0,$B$3))*(Summary!$A$5:$A$241&lt;IF($B$4="",2958465,$B$4+1)))</f>
        <v>1</v>
      </c>
      <c r="BC48">
        <f>SUMPRODUCT((Summary!$E$5:$E$241=$BA48)*ISNUMBER(Summary!$A$5:$A$241)*(Summary!$A$5:$A$241&gt;=IF($B$3="",0,$B$3))*(Summary!$A$5:$A$241&lt;IF($B$4="",2958465,$B$4+1)))-BB48</f>
        <v>4</v>
      </c>
      <c r="BD48">
        <f t="shared" si="3"/>
        <v>5</v>
      </c>
      <c r="BE48">
        <v>0</v>
      </c>
      <c r="BF48">
        <v>0</v>
      </c>
      <c r="BG48">
        <v>0</v>
      </c>
      <c r="BH48">
        <v>0</v>
      </c>
      <c r="BI48">
        <v>0</v>
      </c>
      <c r="BJ48">
        <v>0</v>
      </c>
      <c r="BK48">
        <v>0</v>
      </c>
      <c r="BL48">
        <f>$BB$48</f>
        <v>1</v>
      </c>
      <c r="BM48">
        <v>0</v>
      </c>
      <c r="BN48">
        <v>0</v>
      </c>
      <c r="BO48">
        <v>0</v>
      </c>
      <c r="BP48">
        <v>0</v>
      </c>
      <c r="BQ48">
        <v>0</v>
      </c>
      <c r="BR48">
        <v>0</v>
      </c>
      <c r="BS48">
        <v>0</v>
      </c>
      <c r="BT48">
        <v>0</v>
      </c>
      <c r="BU48">
        <v>0</v>
      </c>
      <c r="BV48">
        <v>0</v>
      </c>
      <c r="BW48">
        <v>0</v>
      </c>
      <c r="BX48">
        <v>0</v>
      </c>
      <c r="BY48">
        <v>0</v>
      </c>
      <c r="BZ48">
        <v>0</v>
      </c>
      <c r="CA48">
        <v>0</v>
      </c>
      <c r="CB48">
        <v>0</v>
      </c>
      <c r="CC48">
        <v>0</v>
      </c>
      <c r="DD48" t="str">
        <f>IF($V$15="","",$V$15)</f>
        <v>Drain tube blocked</v>
      </c>
      <c r="DE48">
        <f t="shared" si="4"/>
        <v>0</v>
      </c>
      <c r="DF48">
        <f t="shared" si="5"/>
        <v>3</v>
      </c>
      <c r="DG48">
        <f t="shared" si="6"/>
        <v>3</v>
      </c>
      <c r="DI48">
        <v>0</v>
      </c>
      <c r="DJ48">
        <v>0</v>
      </c>
      <c r="DK48">
        <v>0</v>
      </c>
      <c r="DL48">
        <v>0</v>
      </c>
      <c r="DM48">
        <v>0</v>
      </c>
      <c r="DN48">
        <v>0</v>
      </c>
      <c r="DO48">
        <v>0</v>
      </c>
      <c r="DP48">
        <f>DE$48</f>
        <v>0</v>
      </c>
      <c r="DQ48">
        <v>0</v>
      </c>
      <c r="DR48">
        <v>0</v>
      </c>
      <c r="DS48">
        <v>0</v>
      </c>
      <c r="DT48">
        <v>0</v>
      </c>
      <c r="DU48">
        <v>0</v>
      </c>
      <c r="DV48">
        <v>0</v>
      </c>
      <c r="DW48">
        <v>0</v>
      </c>
      <c r="DX48">
        <v>0</v>
      </c>
      <c r="DY48">
        <v>0</v>
      </c>
      <c r="DZ48">
        <v>0</v>
      </c>
      <c r="EA48">
        <v>0</v>
      </c>
      <c r="EB48">
        <v>0</v>
      </c>
      <c r="EC48">
        <v>0</v>
      </c>
      <c r="ED48">
        <v>0</v>
      </c>
      <c r="EE48">
        <v>0</v>
      </c>
      <c r="EF48">
        <v>0</v>
      </c>
      <c r="EG48">
        <v>0</v>
      </c>
    </row>
    <row r="49" spans="27:137">
      <c r="AA49" t="str">
        <f>IF(Settings!A49="","",IF(COUNTIF(Settings!$B$4:'Settings'!B49,Settings!B49)=1,ROW(Settings!B49),""))</f>
        <v/>
      </c>
      <c r="AC49" t="str">
        <f>IF(Settings!A49="","",IF(Settings!B49=$B$34,ROW(Settings!B49),""))</f>
        <v/>
      </c>
      <c r="BA49" t="s">
        <v>1158</v>
      </c>
      <c r="BB49">
        <f>SUMPRODUCT((Summary!$E$5:$E$241=$BA49)*(Summary!$G$5:$G$241="Yes")*ISNUMBER(Summary!$A$5:$A$241)*(Summary!$A$5:$A$241&gt;=IF($B$3="",0,$B$3))*(Summary!$A$5:$A$241&lt;IF($B$4="",2958465,$B$4+1)))</f>
        <v>0</v>
      </c>
      <c r="BC49">
        <f>SUMPRODUCT((Summary!$E$5:$E$241=$BA49)*ISNUMBER(Summary!$A$5:$A$241)*(Summary!$A$5:$A$241&gt;=IF($B$3="",0,$B$3))*(Summary!$A$5:$A$241&lt;IF($B$4="",2958465,$B$4+1)))-BB49</f>
        <v>5</v>
      </c>
      <c r="BD49">
        <f t="shared" si="3"/>
        <v>5</v>
      </c>
      <c r="BE49">
        <v>0</v>
      </c>
      <c r="BF49">
        <v>0</v>
      </c>
      <c r="BG49">
        <v>0</v>
      </c>
      <c r="BH49">
        <v>0</v>
      </c>
      <c r="BI49">
        <v>0</v>
      </c>
      <c r="BJ49">
        <v>0</v>
      </c>
      <c r="BK49">
        <v>0</v>
      </c>
      <c r="BL49">
        <v>0</v>
      </c>
      <c r="BM49">
        <f>$BB$49</f>
        <v>0</v>
      </c>
      <c r="BN49">
        <v>0</v>
      </c>
      <c r="BO49">
        <v>0</v>
      </c>
      <c r="BP49">
        <v>0</v>
      </c>
      <c r="BQ49">
        <v>0</v>
      </c>
      <c r="BR49">
        <v>0</v>
      </c>
      <c r="BS49">
        <v>0</v>
      </c>
      <c r="BT49">
        <v>0</v>
      </c>
      <c r="BU49">
        <v>0</v>
      </c>
      <c r="BV49">
        <v>0</v>
      </c>
      <c r="BW49">
        <v>0</v>
      </c>
      <c r="BX49">
        <v>0</v>
      </c>
      <c r="BY49">
        <v>0</v>
      </c>
      <c r="BZ49">
        <v>0</v>
      </c>
      <c r="CA49">
        <v>0</v>
      </c>
      <c r="CB49">
        <v>0</v>
      </c>
      <c r="CC49">
        <v>0</v>
      </c>
      <c r="DD49" t="str">
        <f>IF($V$16="","",$V$16)</f>
        <v>Overstocking</v>
      </c>
      <c r="DE49">
        <f t="shared" si="4"/>
        <v>3</v>
      </c>
      <c r="DF49">
        <f t="shared" si="5"/>
        <v>0</v>
      </c>
      <c r="DG49">
        <f t="shared" si="6"/>
        <v>3</v>
      </c>
      <c r="DI49">
        <v>0</v>
      </c>
      <c r="DJ49">
        <v>0</v>
      </c>
      <c r="DK49">
        <v>0</v>
      </c>
      <c r="DL49">
        <v>0</v>
      </c>
      <c r="DM49">
        <v>0</v>
      </c>
      <c r="DN49">
        <v>0</v>
      </c>
      <c r="DO49">
        <v>0</v>
      </c>
      <c r="DP49">
        <v>0</v>
      </c>
      <c r="DQ49">
        <f>DE$49</f>
        <v>3</v>
      </c>
      <c r="DR49">
        <v>0</v>
      </c>
      <c r="DS49">
        <v>0</v>
      </c>
      <c r="DT49">
        <v>0</v>
      </c>
      <c r="DU49">
        <v>0</v>
      </c>
      <c r="DV49">
        <v>0</v>
      </c>
      <c r="DW49">
        <v>0</v>
      </c>
      <c r="DX49">
        <v>0</v>
      </c>
      <c r="DY49">
        <v>0</v>
      </c>
      <c r="DZ49">
        <v>0</v>
      </c>
      <c r="EA49">
        <v>0</v>
      </c>
      <c r="EB49">
        <v>0</v>
      </c>
      <c r="EC49">
        <v>0</v>
      </c>
      <c r="ED49">
        <v>0</v>
      </c>
      <c r="EE49">
        <v>0</v>
      </c>
      <c r="EF49">
        <v>0</v>
      </c>
      <c r="EG49">
        <v>0</v>
      </c>
    </row>
    <row r="50" spans="27:137">
      <c r="AA50" t="str">
        <f>IF(Settings!A50="","",IF(COUNTIF(Settings!$B$4:'Settings'!B50,Settings!B50)=1,ROW(Settings!B50),""))</f>
        <v/>
      </c>
      <c r="AC50" t="str">
        <f>IF(Settings!A50="","",IF(Settings!B50=$B$34,ROW(Settings!B50),""))</f>
        <v/>
      </c>
      <c r="BA50" t="s">
        <v>1154</v>
      </c>
      <c r="BB50">
        <f>SUMPRODUCT((Summary!$E$5:$E$241=$BA50)*(Summary!$G$5:$G$241="Yes")*ISNUMBER(Summary!$A$5:$A$241)*(Summary!$A$5:$A$241&gt;=IF($B$3="",0,$B$3))*(Summary!$A$5:$A$241&lt;IF($B$4="",2958465,$B$4+1)))</f>
        <v>2</v>
      </c>
      <c r="BC50">
        <f>SUMPRODUCT((Summary!$E$5:$E$241=$BA50)*ISNUMBER(Summary!$A$5:$A$241)*(Summary!$A$5:$A$241&gt;=IF($B$3="",0,$B$3))*(Summary!$A$5:$A$241&lt;IF($B$4="",2958465,$B$4+1)))-BB50</f>
        <v>0</v>
      </c>
      <c r="BD50">
        <f t="shared" si="3"/>
        <v>2</v>
      </c>
      <c r="BE50">
        <v>0</v>
      </c>
      <c r="BF50">
        <v>0</v>
      </c>
      <c r="BG50">
        <v>0</v>
      </c>
      <c r="BH50">
        <v>0</v>
      </c>
      <c r="BI50">
        <v>0</v>
      </c>
      <c r="BJ50">
        <v>0</v>
      </c>
      <c r="BK50">
        <v>0</v>
      </c>
      <c r="BL50">
        <v>0</v>
      </c>
      <c r="BM50">
        <v>0</v>
      </c>
      <c r="BN50">
        <f>$BB$50</f>
        <v>2</v>
      </c>
      <c r="BO50">
        <v>0</v>
      </c>
      <c r="BP50">
        <v>0</v>
      </c>
      <c r="BQ50">
        <v>0</v>
      </c>
      <c r="BR50">
        <v>0</v>
      </c>
      <c r="BS50">
        <v>0</v>
      </c>
      <c r="BT50">
        <v>0</v>
      </c>
      <c r="BU50">
        <v>0</v>
      </c>
      <c r="BV50">
        <v>0</v>
      </c>
      <c r="BW50">
        <v>0</v>
      </c>
      <c r="BX50">
        <v>0</v>
      </c>
      <c r="BY50">
        <v>0</v>
      </c>
      <c r="BZ50">
        <v>0</v>
      </c>
      <c r="CA50">
        <v>0</v>
      </c>
      <c r="CB50">
        <v>0</v>
      </c>
      <c r="CC50">
        <v>0</v>
      </c>
      <c r="DD50" t="str">
        <f>IF($V$17="","",$V$17)</f>
        <v>Wrong / Loose wiring</v>
      </c>
      <c r="DE50">
        <f t="shared" si="4"/>
        <v>2</v>
      </c>
      <c r="DF50">
        <f t="shared" si="5"/>
        <v>0</v>
      </c>
      <c r="DG50">
        <f t="shared" si="6"/>
        <v>2</v>
      </c>
      <c r="DI50">
        <v>0</v>
      </c>
      <c r="DJ50">
        <v>0</v>
      </c>
      <c r="DK50">
        <v>0</v>
      </c>
      <c r="DL50">
        <v>0</v>
      </c>
      <c r="DM50">
        <v>0</v>
      </c>
      <c r="DN50">
        <v>0</v>
      </c>
      <c r="DO50">
        <v>0</v>
      </c>
      <c r="DP50">
        <v>0</v>
      </c>
      <c r="DQ50">
        <v>0</v>
      </c>
      <c r="DR50">
        <f>DE$50</f>
        <v>2</v>
      </c>
      <c r="DS50">
        <v>0</v>
      </c>
      <c r="DT50">
        <v>0</v>
      </c>
      <c r="DU50">
        <v>0</v>
      </c>
      <c r="DV50">
        <v>0</v>
      </c>
      <c r="DW50">
        <v>0</v>
      </c>
      <c r="DX50">
        <v>0</v>
      </c>
      <c r="DY50">
        <v>0</v>
      </c>
      <c r="DZ50">
        <v>0</v>
      </c>
      <c r="EA50">
        <v>0</v>
      </c>
      <c r="EB50">
        <v>0</v>
      </c>
      <c r="EC50">
        <v>0</v>
      </c>
      <c r="ED50">
        <v>0</v>
      </c>
      <c r="EE50">
        <v>0</v>
      </c>
      <c r="EF50">
        <v>0</v>
      </c>
      <c r="EG50">
        <v>0</v>
      </c>
    </row>
    <row r="51" spans="27:137">
      <c r="AA51" t="str">
        <f>IF(Settings!A51="","",IF(COUNTIF(Settings!$B$4:'Settings'!B51,Settings!B51)=1,ROW(Settings!B51),""))</f>
        <v/>
      </c>
      <c r="AC51" t="str">
        <f>IF(Settings!A51="","",IF(Settings!B51=$B$34,ROW(Settings!B51),""))</f>
        <v/>
      </c>
      <c r="BA51" t="s">
        <v>1152</v>
      </c>
      <c r="BB51">
        <f>SUMPRODUCT((Summary!$E$5:$E$241=$BA51)*(Summary!$G$5:$G$241="Yes")*ISNUMBER(Summary!$A$5:$A$241)*(Summary!$A$5:$A$241&gt;=IF($B$3="",0,$B$3))*(Summary!$A$5:$A$241&lt;IF($B$4="",2958465,$B$4+1)))</f>
        <v>0</v>
      </c>
      <c r="BC51">
        <f>SUMPRODUCT((Summary!$E$5:$E$241=$BA51)*ISNUMBER(Summary!$A$5:$A$241)*(Summary!$A$5:$A$241&gt;=IF($B$3="",0,$B$3))*(Summary!$A$5:$A$241&lt;IF($B$4="",2958465,$B$4+1)))-BB51</f>
        <v>2</v>
      </c>
      <c r="BD51">
        <f t="shared" si="3"/>
        <v>2</v>
      </c>
      <c r="BE51">
        <v>0</v>
      </c>
      <c r="BF51">
        <v>0</v>
      </c>
      <c r="BG51">
        <v>0</v>
      </c>
      <c r="BH51">
        <v>0</v>
      </c>
      <c r="BI51">
        <v>0</v>
      </c>
      <c r="BJ51">
        <v>0</v>
      </c>
      <c r="BK51">
        <v>0</v>
      </c>
      <c r="BL51">
        <v>0</v>
      </c>
      <c r="BM51">
        <v>0</v>
      </c>
      <c r="BN51">
        <v>0</v>
      </c>
      <c r="BO51">
        <f>$BB$51</f>
        <v>0</v>
      </c>
      <c r="BP51">
        <v>0</v>
      </c>
      <c r="BQ51">
        <v>0</v>
      </c>
      <c r="BR51">
        <v>0</v>
      </c>
      <c r="BS51">
        <v>0</v>
      </c>
      <c r="BT51">
        <v>0</v>
      </c>
      <c r="BU51">
        <v>0</v>
      </c>
      <c r="BV51">
        <v>0</v>
      </c>
      <c r="BW51">
        <v>0</v>
      </c>
      <c r="BX51">
        <v>0</v>
      </c>
      <c r="BY51">
        <v>0</v>
      </c>
      <c r="BZ51">
        <v>0</v>
      </c>
      <c r="CA51">
        <v>0</v>
      </c>
      <c r="CB51">
        <v>0</v>
      </c>
      <c r="CC51">
        <v>0</v>
      </c>
      <c r="DD51" t="str">
        <f>IF($V$18="","",$V$18)</f>
        <v>Component Failure</v>
      </c>
      <c r="DE51">
        <f t="shared" si="4"/>
        <v>0</v>
      </c>
      <c r="DF51">
        <f t="shared" si="5"/>
        <v>2</v>
      </c>
      <c r="DG51">
        <f t="shared" si="6"/>
        <v>2</v>
      </c>
      <c r="DI51">
        <v>0</v>
      </c>
      <c r="DJ51">
        <v>0</v>
      </c>
      <c r="DK51">
        <v>0</v>
      </c>
      <c r="DL51">
        <v>0</v>
      </c>
      <c r="DM51">
        <v>0</v>
      </c>
      <c r="DN51">
        <v>0</v>
      </c>
      <c r="DO51">
        <v>0</v>
      </c>
      <c r="DP51">
        <v>0</v>
      </c>
      <c r="DQ51">
        <v>0</v>
      </c>
      <c r="DR51">
        <v>0</v>
      </c>
      <c r="DS51">
        <f>DE$51</f>
        <v>0</v>
      </c>
      <c r="DT51">
        <v>0</v>
      </c>
      <c r="DU51">
        <v>0</v>
      </c>
      <c r="DV51">
        <v>0</v>
      </c>
      <c r="DW51">
        <v>0</v>
      </c>
      <c r="DX51">
        <v>0</v>
      </c>
      <c r="DY51">
        <v>0</v>
      </c>
      <c r="DZ51">
        <v>0</v>
      </c>
      <c r="EA51">
        <v>0</v>
      </c>
      <c r="EB51">
        <v>0</v>
      </c>
      <c r="EC51">
        <v>0</v>
      </c>
      <c r="ED51">
        <v>0</v>
      </c>
      <c r="EE51">
        <v>0</v>
      </c>
      <c r="EF51">
        <v>0</v>
      </c>
      <c r="EG51">
        <v>0</v>
      </c>
    </row>
    <row r="52" spans="27:137">
      <c r="AA52" t="str">
        <f>IF(Settings!A52="","",IF(COUNTIF(Settings!$B$4:'Settings'!B52,Settings!B52)=1,ROW(Settings!B52),""))</f>
        <v/>
      </c>
      <c r="AC52" t="str">
        <f>IF(Settings!A52="","",IF(Settings!B52=$B$34,ROW(Settings!B52),""))</f>
        <v/>
      </c>
      <c r="BA52" t="s">
        <v>1160</v>
      </c>
      <c r="BB52">
        <f>SUMPRODUCT((Summary!$E$5:$E$241=$BA52)*(Summary!$G$5:$G$241="Yes")*ISNUMBER(Summary!$A$5:$A$241)*(Summary!$A$5:$A$241&gt;=IF($B$3="",0,$B$3))*(Summary!$A$5:$A$241&lt;IF($B$4="",2958465,$B$4+1)))</f>
        <v>1</v>
      </c>
      <c r="BC52">
        <f>SUMPRODUCT((Summary!$E$5:$E$241=$BA52)*ISNUMBER(Summary!$A$5:$A$241)*(Summary!$A$5:$A$241&gt;=IF($B$3="",0,$B$3))*(Summary!$A$5:$A$241&lt;IF($B$4="",2958465,$B$4+1)))-BB52</f>
        <v>0</v>
      </c>
      <c r="BD52">
        <f t="shared" si="3"/>
        <v>1</v>
      </c>
      <c r="BE52">
        <v>0</v>
      </c>
      <c r="BF52">
        <v>0</v>
      </c>
      <c r="BG52">
        <v>0</v>
      </c>
      <c r="BH52">
        <v>0</v>
      </c>
      <c r="BI52">
        <v>0</v>
      </c>
      <c r="BJ52">
        <v>0</v>
      </c>
      <c r="BK52">
        <v>0</v>
      </c>
      <c r="BL52">
        <v>0</v>
      </c>
      <c r="BM52">
        <v>0</v>
      </c>
      <c r="BN52">
        <v>0</v>
      </c>
      <c r="BO52">
        <v>0</v>
      </c>
      <c r="BP52">
        <f>$BB$52</f>
        <v>1</v>
      </c>
      <c r="BQ52">
        <v>0</v>
      </c>
      <c r="BR52">
        <v>0</v>
      </c>
      <c r="BS52">
        <v>0</v>
      </c>
      <c r="BT52">
        <v>0</v>
      </c>
      <c r="BU52">
        <v>0</v>
      </c>
      <c r="BV52">
        <v>0</v>
      </c>
      <c r="BW52">
        <v>0</v>
      </c>
      <c r="BX52">
        <v>0</v>
      </c>
      <c r="BY52">
        <v>0</v>
      </c>
      <c r="BZ52">
        <v>0</v>
      </c>
      <c r="CA52">
        <v>0</v>
      </c>
      <c r="CB52">
        <v>0</v>
      </c>
      <c r="CC52">
        <v>0</v>
      </c>
      <c r="DD52" t="str">
        <f>IF($V$19="","",$V$19)</f>
        <v>Setpoint change</v>
      </c>
      <c r="DE52">
        <f t="shared" si="4"/>
        <v>1</v>
      </c>
      <c r="DF52">
        <f t="shared" si="5"/>
        <v>0</v>
      </c>
      <c r="DG52">
        <f t="shared" si="6"/>
        <v>1</v>
      </c>
      <c r="DI52">
        <v>0</v>
      </c>
      <c r="DJ52">
        <v>0</v>
      </c>
      <c r="DK52">
        <v>0</v>
      </c>
      <c r="DL52">
        <v>0</v>
      </c>
      <c r="DM52">
        <v>0</v>
      </c>
      <c r="DN52">
        <v>0</v>
      </c>
      <c r="DO52">
        <v>0</v>
      </c>
      <c r="DP52">
        <v>0</v>
      </c>
      <c r="DQ52">
        <v>0</v>
      </c>
      <c r="DR52">
        <v>0</v>
      </c>
      <c r="DS52">
        <v>0</v>
      </c>
      <c r="DT52">
        <f>DE$52</f>
        <v>1</v>
      </c>
      <c r="DU52">
        <v>0</v>
      </c>
      <c r="DV52">
        <v>0</v>
      </c>
      <c r="DW52">
        <v>0</v>
      </c>
      <c r="DX52">
        <v>0</v>
      </c>
      <c r="DY52">
        <v>0</v>
      </c>
      <c r="DZ52">
        <v>0</v>
      </c>
      <c r="EA52">
        <v>0</v>
      </c>
      <c r="EB52">
        <v>0</v>
      </c>
      <c r="EC52">
        <v>0</v>
      </c>
      <c r="ED52">
        <v>0</v>
      </c>
      <c r="EE52">
        <v>0</v>
      </c>
      <c r="EF52">
        <v>0</v>
      </c>
      <c r="EG52">
        <v>0</v>
      </c>
    </row>
    <row r="53" spans="27:137">
      <c r="AA53" t="str">
        <f>IF(Settings!A53="","",IF(COUNTIF(Settings!$B$4:'Settings'!B53,Settings!B53)=1,ROW(Settings!B53),""))</f>
        <v/>
      </c>
      <c r="AC53" t="str">
        <f>IF(Settings!A53="","",IF(Settings!B53=$B$34,ROW(Settings!B53),""))</f>
        <v/>
      </c>
      <c r="BA53" t="s">
        <v>1159</v>
      </c>
      <c r="BB53">
        <f>SUMPRODUCT((Summary!$E$5:$E$241=$BA53)*(Summary!$G$5:$G$241="Yes")*ISNUMBER(Summary!$A$5:$A$241)*(Summary!$A$5:$A$241&gt;=IF($B$3="",0,$B$3))*(Summary!$A$5:$A$241&lt;IF($B$4="",2958465,$B$4+1)))</f>
        <v>0</v>
      </c>
      <c r="BC53">
        <f>SUMPRODUCT((Summary!$E$5:$E$241=$BA53)*ISNUMBER(Summary!$A$5:$A$241)*(Summary!$A$5:$A$241&gt;=IF($B$3="",0,$B$3))*(Summary!$A$5:$A$241&lt;IF($B$4="",2958465,$B$4+1)))-BB53</f>
        <v>1</v>
      </c>
      <c r="BD53">
        <f t="shared" si="3"/>
        <v>1</v>
      </c>
      <c r="BE53">
        <v>0</v>
      </c>
      <c r="BF53">
        <v>0</v>
      </c>
      <c r="BG53">
        <v>0</v>
      </c>
      <c r="BH53">
        <v>0</v>
      </c>
      <c r="BI53">
        <v>0</v>
      </c>
      <c r="BJ53">
        <v>0</v>
      </c>
      <c r="BK53">
        <v>0</v>
      </c>
      <c r="BL53">
        <v>0</v>
      </c>
      <c r="BM53">
        <v>0</v>
      </c>
      <c r="BN53">
        <v>0</v>
      </c>
      <c r="BO53">
        <v>0</v>
      </c>
      <c r="BP53">
        <v>0</v>
      </c>
      <c r="BQ53">
        <f>$BB$53</f>
        <v>0</v>
      </c>
      <c r="BR53">
        <v>0</v>
      </c>
      <c r="BS53">
        <v>0</v>
      </c>
      <c r="BT53">
        <v>0</v>
      </c>
      <c r="BU53">
        <v>0</v>
      </c>
      <c r="BV53">
        <v>0</v>
      </c>
      <c r="BW53">
        <v>0</v>
      </c>
      <c r="BX53">
        <v>0</v>
      </c>
      <c r="BY53">
        <v>0</v>
      </c>
      <c r="BZ53">
        <v>0</v>
      </c>
      <c r="CA53">
        <v>0</v>
      </c>
      <c r="CB53">
        <v>0</v>
      </c>
      <c r="CC53">
        <v>0</v>
      </c>
      <c r="DD53" t="str">
        <f>IF($V$20="","",$V$20)</f>
        <v>Unidentified air leak</v>
      </c>
      <c r="DE53">
        <f t="shared" si="4"/>
        <v>0</v>
      </c>
      <c r="DF53">
        <f t="shared" si="5"/>
        <v>1</v>
      </c>
      <c r="DG53">
        <f t="shared" si="6"/>
        <v>1</v>
      </c>
      <c r="DI53">
        <v>0</v>
      </c>
      <c r="DJ53">
        <v>0</v>
      </c>
      <c r="DK53">
        <v>0</v>
      </c>
      <c r="DL53">
        <v>0</v>
      </c>
      <c r="DM53">
        <v>0</v>
      </c>
      <c r="DN53">
        <v>0</v>
      </c>
      <c r="DO53">
        <v>0</v>
      </c>
      <c r="DP53">
        <v>0</v>
      </c>
      <c r="DQ53">
        <v>0</v>
      </c>
      <c r="DR53">
        <v>0</v>
      </c>
      <c r="DS53">
        <v>0</v>
      </c>
      <c r="DT53">
        <v>0</v>
      </c>
      <c r="DU53">
        <f>DE$53</f>
        <v>0</v>
      </c>
      <c r="DV53">
        <v>0</v>
      </c>
      <c r="DW53">
        <v>0</v>
      </c>
      <c r="DX53">
        <v>0</v>
      </c>
      <c r="DY53">
        <v>0</v>
      </c>
      <c r="DZ53">
        <v>0</v>
      </c>
      <c r="EA53">
        <v>0</v>
      </c>
      <c r="EB53">
        <v>0</v>
      </c>
      <c r="EC53">
        <v>0</v>
      </c>
      <c r="ED53">
        <v>0</v>
      </c>
      <c r="EE53">
        <v>0</v>
      </c>
      <c r="EF53">
        <v>0</v>
      </c>
      <c r="EG53">
        <v>0</v>
      </c>
    </row>
    <row r="54" spans="27:137">
      <c r="AA54" t="str">
        <f>IF(Settings!A54="","",IF(COUNTIF(Settings!$B$4:'Settings'!B54,Settings!B54)=1,ROW(Settings!B54),""))</f>
        <v/>
      </c>
      <c r="AC54" t="str">
        <f>IF(Settings!A54="","",IF(Settings!B54=$B$34,ROW(Settings!B54),""))</f>
        <v/>
      </c>
      <c r="BA54" t="s">
        <v>1156</v>
      </c>
      <c r="BB54">
        <f>SUMPRODUCT((Summary!$E$5:$E$241=$BA54)*(Summary!$G$5:$G$241="Yes")*ISNUMBER(Summary!$A$5:$A$241)*(Summary!$A$5:$A$241&gt;=IF($B$3="",0,$B$3))*(Summary!$A$5:$A$241&lt;IF($B$4="",2958465,$B$4+1)))</f>
        <v>0</v>
      </c>
      <c r="BC54">
        <f>SUMPRODUCT((Summary!$E$5:$E$241=$BA54)*ISNUMBER(Summary!$A$5:$A$241)*(Summary!$A$5:$A$241&gt;=IF($B$3="",0,$B$3))*(Summary!$A$5:$A$241&lt;IF($B$4="",2958465,$B$4+1)))-BB54</f>
        <v>0</v>
      </c>
      <c r="BD54">
        <f t="shared" si="3"/>
        <v>0</v>
      </c>
      <c r="BE54">
        <v>0</v>
      </c>
      <c r="BF54">
        <v>0</v>
      </c>
      <c r="BG54">
        <v>0</v>
      </c>
      <c r="BH54">
        <v>0</v>
      </c>
      <c r="BI54">
        <v>0</v>
      </c>
      <c r="BJ54">
        <v>0</v>
      </c>
      <c r="BK54">
        <v>0</v>
      </c>
      <c r="BL54">
        <v>0</v>
      </c>
      <c r="BM54">
        <v>0</v>
      </c>
      <c r="BN54">
        <v>0</v>
      </c>
      <c r="BO54">
        <v>0</v>
      </c>
      <c r="BP54">
        <v>0</v>
      </c>
      <c r="BQ54">
        <v>0</v>
      </c>
      <c r="BR54">
        <f>$BB$54</f>
        <v>0</v>
      </c>
      <c r="BS54">
        <v>0</v>
      </c>
      <c r="BT54">
        <v>0</v>
      </c>
      <c r="BU54">
        <v>0</v>
      </c>
      <c r="BV54">
        <v>0</v>
      </c>
      <c r="BW54">
        <v>0</v>
      </c>
      <c r="BX54">
        <v>0</v>
      </c>
      <c r="BY54">
        <v>0</v>
      </c>
      <c r="BZ54">
        <v>0</v>
      </c>
      <c r="CA54">
        <v>0</v>
      </c>
      <c r="CB54">
        <v>0</v>
      </c>
      <c r="CC54">
        <v>0</v>
      </c>
      <c r="DD54" t="str">
        <f>IF($V$21="","",$V$21)</f>
        <v>Freedom</v>
      </c>
      <c r="DE54">
        <f t="shared" si="4"/>
        <v>0</v>
      </c>
      <c r="DF54">
        <f t="shared" si="5"/>
        <v>1</v>
      </c>
      <c r="DG54">
        <f t="shared" si="6"/>
        <v>1</v>
      </c>
      <c r="DI54">
        <v>0</v>
      </c>
      <c r="DJ54">
        <v>0</v>
      </c>
      <c r="DK54">
        <v>0</v>
      </c>
      <c r="DL54">
        <v>0</v>
      </c>
      <c r="DM54">
        <v>0</v>
      </c>
      <c r="DN54">
        <v>0</v>
      </c>
      <c r="DO54">
        <v>0</v>
      </c>
      <c r="DP54">
        <v>0</v>
      </c>
      <c r="DQ54">
        <v>0</v>
      </c>
      <c r="DR54">
        <v>0</v>
      </c>
      <c r="DS54">
        <v>0</v>
      </c>
      <c r="DT54">
        <v>0</v>
      </c>
      <c r="DU54">
        <v>0</v>
      </c>
      <c r="DV54">
        <f>DE$54</f>
        <v>0</v>
      </c>
      <c r="DW54">
        <v>0</v>
      </c>
      <c r="DX54">
        <v>0</v>
      </c>
      <c r="DY54">
        <v>0</v>
      </c>
      <c r="DZ54">
        <v>0</v>
      </c>
      <c r="EA54">
        <v>0</v>
      </c>
      <c r="EB54">
        <v>0</v>
      </c>
      <c r="EC54">
        <v>0</v>
      </c>
      <c r="ED54">
        <v>0</v>
      </c>
      <c r="EE54">
        <v>0</v>
      </c>
      <c r="EF54">
        <v>0</v>
      </c>
      <c r="EG54">
        <v>0</v>
      </c>
    </row>
    <row r="55" spans="27:137">
      <c r="AA55" t="str">
        <f>IF(Settings!A55="","",IF(COUNTIF(Settings!$B$4:'Settings'!B55,Settings!B55)=1,ROW(Settings!B55),""))</f>
        <v/>
      </c>
      <c r="AC55" t="str">
        <f>IF(Settings!A55="","",IF(Settings!B55=$B$34,ROW(Settings!B55),""))</f>
        <v/>
      </c>
      <c r="BA55" t="s">
        <v>1153</v>
      </c>
      <c r="BB55">
        <f>SUMPRODUCT((Summary!$E$5:$E$241=$BA55)*(Summary!$G$5:$G$241="Yes")*ISNUMBER(Summary!$A$5:$A$241)*(Summary!$A$5:$A$241&gt;=IF($B$3="",0,$B$3))*(Summary!$A$5:$A$241&lt;IF($B$4="",2958465,$B$4+1)))</f>
        <v>0</v>
      </c>
      <c r="BC55">
        <f>SUMPRODUCT((Summary!$E$5:$E$241=$BA55)*ISNUMBER(Summary!$A$5:$A$241)*(Summary!$A$5:$A$241&gt;=IF($B$3="",0,$B$3))*(Summary!$A$5:$A$241&lt;IF($B$4="",2958465,$B$4+1)))-BB55</f>
        <v>0</v>
      </c>
      <c r="BD55">
        <f t="shared" si="3"/>
        <v>0</v>
      </c>
      <c r="BE55">
        <v>0</v>
      </c>
      <c r="BF55">
        <v>0</v>
      </c>
      <c r="BG55">
        <v>0</v>
      </c>
      <c r="BH55">
        <v>0</v>
      </c>
      <c r="BI55">
        <v>0</v>
      </c>
      <c r="BJ55">
        <v>0</v>
      </c>
      <c r="BK55">
        <v>0</v>
      </c>
      <c r="BL55">
        <v>0</v>
      </c>
      <c r="BM55">
        <v>0</v>
      </c>
      <c r="BN55">
        <v>0</v>
      </c>
      <c r="BO55">
        <v>0</v>
      </c>
      <c r="BP55">
        <v>0</v>
      </c>
      <c r="BQ55">
        <v>0</v>
      </c>
      <c r="BR55">
        <v>0</v>
      </c>
      <c r="BS55">
        <f>$BB$55</f>
        <v>0</v>
      </c>
      <c r="BT55">
        <v>0</v>
      </c>
      <c r="BU55">
        <v>0</v>
      </c>
      <c r="BV55">
        <v>0</v>
      </c>
      <c r="BW55">
        <v>0</v>
      </c>
      <c r="BX55">
        <v>0</v>
      </c>
      <c r="BY55">
        <v>0</v>
      </c>
      <c r="BZ55">
        <v>0</v>
      </c>
      <c r="CA55">
        <v>0</v>
      </c>
      <c r="CB55">
        <v>0</v>
      </c>
      <c r="CC55">
        <v>0</v>
      </c>
      <c r="DD55" t="str">
        <f>IF($V$22="","",$V$22)</f>
        <v>Wrong program</v>
      </c>
      <c r="DE55">
        <f t="shared" si="4"/>
        <v>0</v>
      </c>
      <c r="DF55">
        <f t="shared" si="5"/>
        <v>1</v>
      </c>
      <c r="DG55">
        <f t="shared" si="6"/>
        <v>1</v>
      </c>
      <c r="DI55">
        <v>0</v>
      </c>
      <c r="DJ55">
        <v>0</v>
      </c>
      <c r="DK55">
        <v>0</v>
      </c>
      <c r="DL55">
        <v>0</v>
      </c>
      <c r="DM55">
        <v>0</v>
      </c>
      <c r="DN55">
        <v>0</v>
      </c>
      <c r="DO55">
        <v>0</v>
      </c>
      <c r="DP55">
        <v>0</v>
      </c>
      <c r="DQ55">
        <v>0</v>
      </c>
      <c r="DR55">
        <v>0</v>
      </c>
      <c r="DS55">
        <v>0</v>
      </c>
      <c r="DT55">
        <v>0</v>
      </c>
      <c r="DU55">
        <v>0</v>
      </c>
      <c r="DV55">
        <v>0</v>
      </c>
      <c r="DW55">
        <f>DE$55</f>
        <v>0</v>
      </c>
      <c r="DX55">
        <v>0</v>
      </c>
      <c r="DY55">
        <v>0</v>
      </c>
      <c r="DZ55">
        <v>0</v>
      </c>
      <c r="EA55">
        <v>0</v>
      </c>
      <c r="EB55">
        <v>0</v>
      </c>
      <c r="EC55">
        <v>0</v>
      </c>
      <c r="ED55">
        <v>0</v>
      </c>
      <c r="EE55">
        <v>0</v>
      </c>
      <c r="EF55">
        <v>0</v>
      </c>
      <c r="EG55">
        <v>0</v>
      </c>
    </row>
    <row r="56" spans="27:137">
      <c r="AA56" t="str">
        <f>IF(Settings!A56="","",IF(COUNTIF(Settings!$B$4:'Settings'!B56,Settings!B56)=1,ROW(Settings!B56),""))</f>
        <v/>
      </c>
      <c r="AC56" t="str">
        <f>IF(Settings!A56="","",IF(Settings!B56=$B$34,ROW(Settings!B56),""))</f>
        <v/>
      </c>
      <c r="BA56" t="s">
        <v>1187</v>
      </c>
      <c r="BB56">
        <f>SUMPRODUCT((Summary!$E$5:$E$241=$BA56)*(Summary!$G$5:$G$241="Yes")*ISNUMBER(Summary!$A$5:$A$241)*(Summary!$A$5:$A$241&gt;=IF($B$3="",0,$B$3))*(Summary!$A$5:$A$241&lt;IF($B$4="",2958465,$B$4+1)))</f>
        <v>0</v>
      </c>
      <c r="BC56">
        <f>SUMPRODUCT((Summary!$E$5:$E$241=$BA56)*ISNUMBER(Summary!$A$5:$A$241)*(Summary!$A$5:$A$241&gt;=IF($B$3="",0,$B$3))*(Summary!$A$5:$A$241&lt;IF($B$4="",2958465,$B$4+1)))-BB56</f>
        <v>3</v>
      </c>
      <c r="BD56">
        <f t="shared" si="3"/>
        <v>3</v>
      </c>
      <c r="BE56">
        <v>0</v>
      </c>
      <c r="BF56">
        <v>0</v>
      </c>
      <c r="BG56">
        <v>0</v>
      </c>
      <c r="BH56">
        <v>0</v>
      </c>
      <c r="BI56">
        <v>0</v>
      </c>
      <c r="BJ56">
        <v>0</v>
      </c>
      <c r="BK56">
        <v>0</v>
      </c>
      <c r="BL56">
        <v>0</v>
      </c>
      <c r="BM56">
        <v>0</v>
      </c>
      <c r="BN56">
        <v>0</v>
      </c>
      <c r="BO56">
        <v>0</v>
      </c>
      <c r="BP56">
        <v>0</v>
      </c>
      <c r="BQ56">
        <v>0</v>
      </c>
      <c r="BR56">
        <v>0</v>
      </c>
      <c r="BS56">
        <v>0</v>
      </c>
      <c r="BT56">
        <f>$BB$56</f>
        <v>0</v>
      </c>
      <c r="BU56">
        <v>0</v>
      </c>
      <c r="BV56">
        <v>0</v>
      </c>
      <c r="BW56">
        <v>0</v>
      </c>
      <c r="BX56">
        <v>0</v>
      </c>
      <c r="BY56">
        <v>0</v>
      </c>
      <c r="BZ56">
        <v>0</v>
      </c>
      <c r="CA56">
        <v>0</v>
      </c>
      <c r="CB56">
        <v>0</v>
      </c>
      <c r="CC56">
        <v>0</v>
      </c>
      <c r="DD56" t="str">
        <f>IF($V$23="","",$V$23)</f>
        <v>Enclosure Seal</v>
      </c>
      <c r="DE56">
        <f t="shared" si="4"/>
        <v>0</v>
      </c>
      <c r="DF56">
        <f t="shared" si="5"/>
        <v>0</v>
      </c>
      <c r="DG56">
        <f t="shared" si="6"/>
        <v>0</v>
      </c>
      <c r="DI56">
        <v>0</v>
      </c>
      <c r="DJ56">
        <v>0</v>
      </c>
      <c r="DK56">
        <v>0</v>
      </c>
      <c r="DL56">
        <v>0</v>
      </c>
      <c r="DM56">
        <v>0</v>
      </c>
      <c r="DN56">
        <v>0</v>
      </c>
      <c r="DO56">
        <v>0</v>
      </c>
      <c r="DP56">
        <v>0</v>
      </c>
      <c r="DQ56">
        <v>0</v>
      </c>
      <c r="DR56">
        <v>0</v>
      </c>
      <c r="DS56">
        <v>0</v>
      </c>
      <c r="DT56">
        <v>0</v>
      </c>
      <c r="DU56">
        <v>0</v>
      </c>
      <c r="DV56">
        <v>0</v>
      </c>
      <c r="DW56">
        <v>0</v>
      </c>
      <c r="DX56">
        <f>DE$56</f>
        <v>0</v>
      </c>
      <c r="DY56">
        <v>0</v>
      </c>
      <c r="DZ56">
        <v>0</v>
      </c>
      <c r="EA56">
        <v>0</v>
      </c>
      <c r="EB56">
        <v>0</v>
      </c>
      <c r="EC56">
        <v>0</v>
      </c>
      <c r="ED56">
        <v>0</v>
      </c>
      <c r="EE56">
        <v>0</v>
      </c>
      <c r="EF56">
        <v>0</v>
      </c>
      <c r="EG56">
        <v>0</v>
      </c>
    </row>
    <row r="57" spans="27:137">
      <c r="AA57" t="str">
        <f>IF(Settings!A57="","",IF(COUNTIF(Settings!$B$4:'Settings'!B57,Settings!B57)=1,ROW(Settings!B57),""))</f>
        <v/>
      </c>
      <c r="AC57" t="str">
        <f>IF(Settings!A57="","",IF(Settings!B57=$B$34,ROW(Settings!B57),""))</f>
        <v/>
      </c>
      <c r="BA57" t="s">
        <v>1167</v>
      </c>
      <c r="BB57">
        <f>SUMPRODUCT((Summary!$E$5:$E$241=$BA57)*(Summary!$G$5:$G$241="Yes")*ISNUMBER(Summary!$A$5:$A$241)*(Summary!$A$5:$A$241&gt;=IF($B$3="",0,$B$3))*(Summary!$A$5:$A$241&lt;IF($B$4="",2958465,$B$4+1)))</f>
        <v>0</v>
      </c>
      <c r="BC57">
        <f>SUMPRODUCT((Summary!$E$5:$E$241=$BA57)*ISNUMBER(Summary!$A$5:$A$241)*(Summary!$A$5:$A$241&gt;=IF($B$3="",0,$B$3))*(Summary!$A$5:$A$241&lt;IF($B$4="",2958465,$B$4+1)))-BB57</f>
        <v>3</v>
      </c>
      <c r="BD57">
        <f t="shared" si="3"/>
        <v>3</v>
      </c>
      <c r="BE57">
        <v>0</v>
      </c>
      <c r="BF57">
        <v>0</v>
      </c>
      <c r="BG57">
        <v>0</v>
      </c>
      <c r="BH57">
        <v>0</v>
      </c>
      <c r="BI57">
        <v>0</v>
      </c>
      <c r="BJ57">
        <v>0</v>
      </c>
      <c r="BK57">
        <v>0</v>
      </c>
      <c r="BL57">
        <v>0</v>
      </c>
      <c r="BM57">
        <v>0</v>
      </c>
      <c r="BN57">
        <v>0</v>
      </c>
      <c r="BO57">
        <v>0</v>
      </c>
      <c r="BP57">
        <v>0</v>
      </c>
      <c r="BQ57">
        <v>0</v>
      </c>
      <c r="BR57">
        <v>0</v>
      </c>
      <c r="BS57">
        <v>0</v>
      </c>
      <c r="BT57">
        <v>0</v>
      </c>
      <c r="BU57">
        <f>$BB$57</f>
        <v>0</v>
      </c>
      <c r="BV57">
        <v>0</v>
      </c>
      <c r="BW57">
        <v>0</v>
      </c>
      <c r="BX57">
        <v>0</v>
      </c>
      <c r="BY57">
        <v>0</v>
      </c>
      <c r="BZ57">
        <v>0</v>
      </c>
      <c r="CA57">
        <v>0</v>
      </c>
      <c r="CB57">
        <v>0</v>
      </c>
      <c r="CC57">
        <v>0</v>
      </c>
      <c r="DD57" t="str">
        <f>IF($V$24="","",$V$24)</f>
        <v>Defrost Sync</v>
      </c>
      <c r="DE57">
        <f t="shared" si="4"/>
        <v>0</v>
      </c>
      <c r="DF57">
        <f t="shared" si="5"/>
        <v>0</v>
      </c>
      <c r="DG57">
        <f t="shared" si="6"/>
        <v>0</v>
      </c>
      <c r="DI57">
        <v>0</v>
      </c>
      <c r="DJ57">
        <v>0</v>
      </c>
      <c r="DK57">
        <v>0</v>
      </c>
      <c r="DL57">
        <v>0</v>
      </c>
      <c r="DM57">
        <v>0</v>
      </c>
      <c r="DN57">
        <v>0</v>
      </c>
      <c r="DO57">
        <v>0</v>
      </c>
      <c r="DP57">
        <v>0</v>
      </c>
      <c r="DQ57">
        <v>0</v>
      </c>
      <c r="DR57">
        <v>0</v>
      </c>
      <c r="DS57">
        <v>0</v>
      </c>
      <c r="DT57">
        <v>0</v>
      </c>
      <c r="DU57">
        <v>0</v>
      </c>
      <c r="DV57">
        <v>0</v>
      </c>
      <c r="DW57">
        <v>0</v>
      </c>
      <c r="DX57">
        <v>0</v>
      </c>
      <c r="DY57">
        <f>DE$57</f>
        <v>0</v>
      </c>
      <c r="DZ57">
        <v>0</v>
      </c>
      <c r="EA57">
        <v>0</v>
      </c>
      <c r="EB57">
        <v>0</v>
      </c>
      <c r="EC57">
        <v>0</v>
      </c>
      <c r="ED57">
        <v>0</v>
      </c>
      <c r="EE57">
        <v>0</v>
      </c>
      <c r="EF57">
        <v>0</v>
      </c>
      <c r="EG57">
        <v>0</v>
      </c>
    </row>
    <row r="58" spans="27:137">
      <c r="AA58" t="str">
        <f>IF(Settings!A58="","",IF(COUNTIF(Settings!$B$4:'Settings'!B58,Settings!B58)=1,ROW(Settings!B58),""))</f>
        <v/>
      </c>
      <c r="AC58" t="str">
        <f>IF(Settings!A58="","",IF(Settings!B58=$B$34,ROW(Settings!B58),""))</f>
        <v/>
      </c>
      <c r="BA58" t="s">
        <v>1149</v>
      </c>
      <c r="BB58">
        <f>SUMPRODUCT((Summary!$E$5:$E$241=$BA58)*(Summary!$G$5:$G$241="Yes")*ISNUMBER(Summary!$A$5:$A$241)*(Summary!$A$5:$A$241&gt;=IF($B$3="",0,$B$3))*(Summary!$A$5:$A$241&lt;IF($B$4="",2958465,$B$4+1)))</f>
        <v>0</v>
      </c>
      <c r="BC58">
        <f>SUMPRODUCT((Summary!$E$5:$E$241=$BA58)*ISNUMBER(Summary!$A$5:$A$241)*(Summary!$A$5:$A$241&gt;=IF($B$3="",0,$B$3))*(Summary!$A$5:$A$241&lt;IF($B$4="",2958465,$B$4+1)))-BB58</f>
        <v>0</v>
      </c>
      <c r="BD58">
        <f t="shared" si="3"/>
        <v>0</v>
      </c>
      <c r="BE58">
        <v>0</v>
      </c>
      <c r="BF58">
        <v>0</v>
      </c>
      <c r="BG58">
        <v>0</v>
      </c>
      <c r="BH58">
        <v>0</v>
      </c>
      <c r="BI58">
        <v>0</v>
      </c>
      <c r="BJ58">
        <v>0</v>
      </c>
      <c r="BK58">
        <v>0</v>
      </c>
      <c r="BL58">
        <v>0</v>
      </c>
      <c r="BM58">
        <v>0</v>
      </c>
      <c r="BN58">
        <v>0</v>
      </c>
      <c r="BO58">
        <v>0</v>
      </c>
      <c r="BP58">
        <v>0</v>
      </c>
      <c r="BQ58">
        <v>0</v>
      </c>
      <c r="BR58">
        <v>0</v>
      </c>
      <c r="BS58">
        <v>0</v>
      </c>
      <c r="BT58">
        <v>0</v>
      </c>
      <c r="BU58">
        <v>0</v>
      </c>
      <c r="BV58">
        <f>$BB$58</f>
        <v>0</v>
      </c>
      <c r="BW58">
        <v>0</v>
      </c>
      <c r="BX58">
        <v>0</v>
      </c>
      <c r="BY58">
        <v>0</v>
      </c>
      <c r="BZ58">
        <v>0</v>
      </c>
      <c r="CA58">
        <v>0</v>
      </c>
      <c r="CB58">
        <v>0</v>
      </c>
      <c r="CC58">
        <v>0</v>
      </c>
      <c r="DD58" t="str">
        <f>IF($V$25="","",$V$25)</f>
        <v>Case End Seal</v>
      </c>
      <c r="DE58">
        <f t="shared" si="4"/>
        <v>0</v>
      </c>
      <c r="DF58">
        <f t="shared" si="5"/>
        <v>0</v>
      </c>
      <c r="DG58">
        <f t="shared" si="6"/>
        <v>0</v>
      </c>
      <c r="DI58">
        <v>0</v>
      </c>
      <c r="DJ58">
        <v>0</v>
      </c>
      <c r="DK58">
        <v>0</v>
      </c>
      <c r="DL58">
        <v>0</v>
      </c>
      <c r="DM58">
        <v>0</v>
      </c>
      <c r="DN58">
        <v>0</v>
      </c>
      <c r="DO58">
        <v>0</v>
      </c>
      <c r="DP58">
        <v>0</v>
      </c>
      <c r="DQ58">
        <v>0</v>
      </c>
      <c r="DR58">
        <v>0</v>
      </c>
      <c r="DS58">
        <v>0</v>
      </c>
      <c r="DT58">
        <v>0</v>
      </c>
      <c r="DU58">
        <v>0</v>
      </c>
      <c r="DV58">
        <v>0</v>
      </c>
      <c r="DW58">
        <v>0</v>
      </c>
      <c r="DX58">
        <v>0</v>
      </c>
      <c r="DY58">
        <v>0</v>
      </c>
      <c r="DZ58">
        <f>DE$58</f>
        <v>0</v>
      </c>
      <c r="EA58">
        <v>0</v>
      </c>
      <c r="EB58">
        <v>0</v>
      </c>
      <c r="EC58">
        <v>0</v>
      </c>
      <c r="ED58">
        <v>0</v>
      </c>
      <c r="EE58">
        <v>0</v>
      </c>
      <c r="EF58">
        <v>0</v>
      </c>
      <c r="EG58">
        <v>0</v>
      </c>
    </row>
    <row r="59" spans="27:137">
      <c r="AA59" t="str">
        <f>IF(Settings!A59="","",IF(COUNTIF(Settings!$B$4:'Settings'!B59,Settings!B59)=1,ROW(Settings!B59),""))</f>
        <v/>
      </c>
      <c r="AC59" t="str">
        <f>IF(Settings!A59="","",IF(Settings!B59=$B$34,ROW(Settings!B59),""))</f>
        <v/>
      </c>
      <c r="BA59" t="s">
        <v>1164</v>
      </c>
      <c r="BB59">
        <f>SUMPRODUCT((Summary!$E$5:$E$241=$BA59)*(Summary!$G$5:$G$241="Yes")*ISNUMBER(Summary!$A$5:$A$241)*(Summary!$A$5:$A$241&gt;=IF($B$3="",0,$B$3))*(Summary!$A$5:$A$241&lt;IF($B$4="",2958465,$B$4+1)))</f>
        <v>3</v>
      </c>
      <c r="BC59">
        <f>SUMPRODUCT((Summary!$E$5:$E$241=$BA59)*ISNUMBER(Summary!$A$5:$A$241)*(Summary!$A$5:$A$241&gt;=IF($B$3="",0,$B$3))*(Summary!$A$5:$A$241&lt;IF($B$4="",2958465,$B$4+1)))-BB59</f>
        <v>0</v>
      </c>
      <c r="BD59">
        <f t="shared" si="3"/>
        <v>3</v>
      </c>
      <c r="BE59">
        <v>0</v>
      </c>
      <c r="BF59">
        <v>0</v>
      </c>
      <c r="BG59">
        <v>0</v>
      </c>
      <c r="BH59">
        <v>0</v>
      </c>
      <c r="BI59">
        <v>0</v>
      </c>
      <c r="BJ59">
        <v>0</v>
      </c>
      <c r="BK59">
        <v>0</v>
      </c>
      <c r="BL59">
        <v>0</v>
      </c>
      <c r="BM59">
        <v>0</v>
      </c>
      <c r="BN59">
        <v>0</v>
      </c>
      <c r="BO59">
        <v>0</v>
      </c>
      <c r="BP59">
        <v>0</v>
      </c>
      <c r="BQ59">
        <v>0</v>
      </c>
      <c r="BR59">
        <v>0</v>
      </c>
      <c r="BS59">
        <v>0</v>
      </c>
      <c r="BT59">
        <v>0</v>
      </c>
      <c r="BU59">
        <v>0</v>
      </c>
      <c r="BV59">
        <v>0</v>
      </c>
      <c r="BW59">
        <f>$BB$59</f>
        <v>3</v>
      </c>
      <c r="BX59">
        <v>0</v>
      </c>
      <c r="BY59">
        <v>0</v>
      </c>
      <c r="BZ59">
        <v>0</v>
      </c>
      <c r="CA59">
        <v>0</v>
      </c>
      <c r="CB59">
        <v>0</v>
      </c>
      <c r="CC59">
        <v>0</v>
      </c>
      <c r="DD59" t="str">
        <f>IF($V$26="","",$V$26)</f>
        <v>Return Air blocked</v>
      </c>
      <c r="DE59">
        <f t="shared" si="4"/>
        <v>0</v>
      </c>
      <c r="DF59">
        <f t="shared" si="5"/>
        <v>0</v>
      </c>
      <c r="DG59">
        <f t="shared" si="6"/>
        <v>0</v>
      </c>
      <c r="DI59">
        <v>0</v>
      </c>
      <c r="DJ59">
        <v>0</v>
      </c>
      <c r="DK59">
        <v>0</v>
      </c>
      <c r="DL59">
        <v>0</v>
      </c>
      <c r="DM59">
        <v>0</v>
      </c>
      <c r="DN59">
        <v>0</v>
      </c>
      <c r="DO59">
        <v>0</v>
      </c>
      <c r="DP59">
        <v>0</v>
      </c>
      <c r="DQ59">
        <v>0</v>
      </c>
      <c r="DR59">
        <v>0</v>
      </c>
      <c r="DS59">
        <v>0</v>
      </c>
      <c r="DT59">
        <v>0</v>
      </c>
      <c r="DU59">
        <v>0</v>
      </c>
      <c r="DV59">
        <v>0</v>
      </c>
      <c r="DW59">
        <v>0</v>
      </c>
      <c r="DX59">
        <v>0</v>
      </c>
      <c r="DY59">
        <v>0</v>
      </c>
      <c r="DZ59">
        <v>0</v>
      </c>
      <c r="EA59">
        <f>DE$59</f>
        <v>0</v>
      </c>
      <c r="EB59">
        <v>0</v>
      </c>
      <c r="EC59">
        <v>0</v>
      </c>
      <c r="ED59">
        <v>0</v>
      </c>
      <c r="EE59">
        <v>0</v>
      </c>
      <c r="EF59">
        <v>0</v>
      </c>
      <c r="EG59">
        <v>0</v>
      </c>
    </row>
    <row r="60" spans="27:137">
      <c r="AA60" t="str">
        <f>IF(Settings!A60="","",IF(COUNTIF(Settings!$B$4:'Settings'!B60,Settings!B60)=1,ROW(Settings!B60),""))</f>
        <v/>
      </c>
      <c r="AC60" t="str">
        <f>IF(Settings!A60="","",IF(Settings!B60=$B$34,ROW(Settings!B60),""))</f>
        <v/>
      </c>
      <c r="BA60" t="s">
        <v>1165</v>
      </c>
      <c r="BB60">
        <f>SUMPRODUCT((Summary!$E$5:$E$241=$BA60)*(Summary!$G$5:$G$241="Yes")*ISNUMBER(Summary!$A$5:$A$241)*(Summary!$A$5:$A$241&gt;=IF($B$3="",0,$B$3))*(Summary!$A$5:$A$241&lt;IF($B$4="",2958465,$B$4+1)))</f>
        <v>0</v>
      </c>
      <c r="BC60">
        <f>SUMPRODUCT((Summary!$E$5:$E$241=$BA60)*ISNUMBER(Summary!$A$5:$A$241)*(Summary!$A$5:$A$241&gt;=IF($B$3="",0,$B$3))*(Summary!$A$5:$A$241&lt;IF($B$4="",2958465,$B$4+1)))-BB60</f>
        <v>1</v>
      </c>
      <c r="BD60">
        <f t="shared" si="3"/>
        <v>1</v>
      </c>
      <c r="BE60">
        <v>0</v>
      </c>
      <c r="BF60">
        <v>0</v>
      </c>
      <c r="BG60">
        <v>0</v>
      </c>
      <c r="BH60">
        <v>0</v>
      </c>
      <c r="BI60">
        <v>0</v>
      </c>
      <c r="BJ60">
        <v>0</v>
      </c>
      <c r="BK60">
        <v>0</v>
      </c>
      <c r="BL60">
        <v>0</v>
      </c>
      <c r="BM60">
        <v>0</v>
      </c>
      <c r="BN60">
        <v>0</v>
      </c>
      <c r="BO60">
        <v>0</v>
      </c>
      <c r="BP60">
        <v>0</v>
      </c>
      <c r="BQ60">
        <v>0</v>
      </c>
      <c r="BR60">
        <v>0</v>
      </c>
      <c r="BS60">
        <v>0</v>
      </c>
      <c r="BT60">
        <v>0</v>
      </c>
      <c r="BU60">
        <v>0</v>
      </c>
      <c r="BV60">
        <v>0</v>
      </c>
      <c r="BW60">
        <v>0</v>
      </c>
      <c r="BX60">
        <f>$BB$60</f>
        <v>0</v>
      </c>
      <c r="BY60">
        <v>0</v>
      </c>
      <c r="BZ60">
        <v>0</v>
      </c>
      <c r="CA60">
        <v>0</v>
      </c>
      <c r="CB60">
        <v>0</v>
      </c>
      <c r="CC60">
        <v>0</v>
      </c>
      <c r="DD60" t="str">
        <f>IF($V$27="","",$V$27)</f>
        <v>Heavy case load</v>
      </c>
      <c r="DE60">
        <f t="shared" si="4"/>
        <v>0</v>
      </c>
      <c r="DF60">
        <f t="shared" si="5"/>
        <v>0</v>
      </c>
      <c r="DG60">
        <f t="shared" si="6"/>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f>DE$60</f>
        <v>0</v>
      </c>
      <c r="EC60">
        <v>0</v>
      </c>
      <c r="ED60">
        <v>0</v>
      </c>
      <c r="EE60">
        <v>0</v>
      </c>
      <c r="EF60">
        <v>0</v>
      </c>
      <c r="EG60">
        <v>0</v>
      </c>
    </row>
    <row r="61" spans="27:137">
      <c r="AA61" t="str">
        <f>IF(Settings!A61="","",IF(COUNTIF(Settings!$B$4:'Settings'!B61,Settings!B61)=1,ROW(Settings!B61),""))</f>
        <v/>
      </c>
      <c r="AC61" t="str">
        <f>IF(Settings!A61="","",IF(Settings!B61=$B$34,ROW(Settings!B61),""))</f>
        <v/>
      </c>
      <c r="BA61" t="s">
        <v>1163</v>
      </c>
      <c r="BB61">
        <f>SUMPRODUCT((Summary!$E$5:$E$241=$BA61)*(Summary!$G$5:$G$241="Yes")*ISNUMBER(Summary!$A$5:$A$241)*(Summary!$A$5:$A$241&gt;=IF($B$3="",0,$B$3))*(Summary!$A$5:$A$241&lt;IF($B$4="",2958465,$B$4+1)))</f>
        <v>0</v>
      </c>
      <c r="BC61">
        <f>SUMPRODUCT((Summary!$E$5:$E$241=$BA61)*ISNUMBER(Summary!$A$5:$A$241)*(Summary!$A$5:$A$241&gt;=IF($B$3="",0,$B$3))*(Summary!$A$5:$A$241&lt;IF($B$4="",2958465,$B$4+1)))-BB61</f>
        <v>0</v>
      </c>
      <c r="BD61">
        <f t="shared" si="3"/>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f>$BB$61</f>
        <v>0</v>
      </c>
      <c r="BZ61">
        <v>0</v>
      </c>
      <c r="CA61">
        <v>0</v>
      </c>
      <c r="CB61">
        <v>0</v>
      </c>
      <c r="CC61">
        <v>0</v>
      </c>
      <c r="DD61" t="str">
        <f>IF($V$28="","",$V$28)</f>
        <v>Program change - Hussmann</v>
      </c>
      <c r="DE61">
        <f t="shared" si="4"/>
        <v>0</v>
      </c>
      <c r="DF61">
        <f t="shared" si="5"/>
        <v>0</v>
      </c>
      <c r="DG61">
        <f t="shared" si="6"/>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f>DE$61</f>
        <v>0</v>
      </c>
      <c r="ED61">
        <v>0</v>
      </c>
      <c r="EE61">
        <v>0</v>
      </c>
      <c r="EF61">
        <v>0</v>
      </c>
      <c r="EG61">
        <v>0</v>
      </c>
    </row>
    <row r="62" spans="27:137">
      <c r="AA62" t="str">
        <f>IF(Settings!A62="","",IF(COUNTIF(Settings!$B$4:'Settings'!B62,Settings!B62)=1,ROW(Settings!B62),""))</f>
        <v/>
      </c>
      <c r="AC62" t="str">
        <f>IF(Settings!A62="","",IF(Settings!B62=$B$34,ROW(Settings!B62),""))</f>
        <v/>
      </c>
      <c r="BA62" t="s">
        <v>1227</v>
      </c>
      <c r="BB62">
        <f>SUMPRODUCT((Summary!$E$5:$E$241=$BA62)*(Summary!$G$5:$G$241="Yes")*ISNUMBER(Summary!$A$5:$A$241)*(Summary!$A$5:$A$241&gt;=IF($B$3="",0,$B$3))*(Summary!$A$5:$A$241&lt;IF($B$4="",2958465,$B$4+1)))</f>
        <v>1</v>
      </c>
      <c r="BC62">
        <f>SUMPRODUCT((Summary!$E$5:$E$241=$BA62)*ISNUMBER(Summary!$A$5:$A$241)*(Summary!$A$5:$A$241&gt;=IF($B$3="",0,$B$3))*(Summary!$A$5:$A$241&lt;IF($B$4="",2958465,$B$4+1)))-BB62</f>
        <v>0</v>
      </c>
      <c r="BD62">
        <f t="shared" si="3"/>
        <v>1</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f>$BB$62</f>
        <v>1</v>
      </c>
      <c r="CA62">
        <v>0</v>
      </c>
      <c r="CB62">
        <v>0</v>
      </c>
      <c r="CC62">
        <v>0</v>
      </c>
      <c r="DD62" t="str">
        <f>IF($V$29="","",$V$29)</f>
        <v>Value</v>
      </c>
      <c r="DE62">
        <f t="shared" si="4"/>
        <v>0</v>
      </c>
      <c r="DF62">
        <f t="shared" si="5"/>
        <v>0</v>
      </c>
      <c r="DG62">
        <f t="shared" si="6"/>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f>DE$62</f>
        <v>0</v>
      </c>
      <c r="EE62">
        <v>0</v>
      </c>
      <c r="EF62">
        <v>0</v>
      </c>
      <c r="EG62">
        <v>0</v>
      </c>
    </row>
    <row r="63" spans="27:137">
      <c r="AA63" t="str">
        <f>IF(Settings!A63="","",IF(COUNTIF(Settings!$B$4:'Settings'!B63,Settings!B63)=1,ROW(Settings!B63),""))</f>
        <v/>
      </c>
      <c r="AC63" t="str">
        <f>IF(Settings!A63="","",IF(Settings!B63=$B$34,ROW(Settings!B63),""))</f>
        <v/>
      </c>
      <c r="BA63" t="s">
        <v>1166</v>
      </c>
      <c r="BB63">
        <f>SUMPRODUCT((Summary!$E$5:$E$241=$BA63)*(Summary!$G$5:$G$241="Yes")*ISNUMBER(Summary!$A$5:$A$241)*(Summary!$A$5:$A$241&gt;=IF($B$3="",0,$B$3))*(Summary!$A$5:$A$241&lt;IF($B$4="",2958465,$B$4+1)))</f>
        <v>0</v>
      </c>
      <c r="BC63">
        <f>SUMPRODUCT((Summary!$E$5:$E$241=$BA63)*ISNUMBER(Summary!$A$5:$A$241)*(Summary!$A$5:$A$241&gt;=IF($B$3="",0,$B$3))*(Summary!$A$5:$A$241&lt;IF($B$4="",2958465,$B$4+1)))-BB63</f>
        <v>0</v>
      </c>
      <c r="BD63">
        <f t="shared" si="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f>$BB$63</f>
        <v>0</v>
      </c>
      <c r="CB63">
        <v>0</v>
      </c>
      <c r="CC63">
        <v>0</v>
      </c>
      <c r="DD63">
        <f>IF($V$30="","",$V$30)</f>
        <v>240</v>
      </c>
      <c r="DE63">
        <f t="shared" si="4"/>
        <v>0</v>
      </c>
      <c r="DF63">
        <f t="shared" si="5"/>
        <v>0</v>
      </c>
      <c r="DG63">
        <f t="shared" si="6"/>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f>DE$63</f>
        <v>0</v>
      </c>
      <c r="EF63">
        <v>0</v>
      </c>
      <c r="EG63">
        <v>0</v>
      </c>
    </row>
    <row r="64" spans="27:137">
      <c r="AA64">
        <f>IF(Settings!A64="","",IF(COUNTIF(Settings!$B$4:'Settings'!B64,Settings!B64)=1,ROW(Settings!B64),""))</f>
        <v>64</v>
      </c>
      <c r="AC64" t="str">
        <f>IF(Settings!A64="","",IF(Settings!B64=$B$34,ROW(Settings!B64),""))</f>
        <v/>
      </c>
      <c r="BA64" t="s">
        <v>1173</v>
      </c>
      <c r="BB64">
        <f>SUMPRODUCT((Summary!$E$5:$E$241=$BA64)*(Summary!$G$5:$G$241="Yes")*ISNUMBER(Summary!$A$5:$A$241)*(Summary!$A$5:$A$241&gt;=IF($B$3="",0,$B$3))*(Summary!$A$5:$A$241&lt;IF($B$4="",2958465,$B$4+1)))</f>
        <v>1</v>
      </c>
      <c r="BC64">
        <f>SUMPRODUCT((Summary!$E$5:$E$241=$BA64)*ISNUMBER(Summary!$A$5:$A$241)*(Summary!$A$5:$A$241&gt;=IF($B$3="",0,$B$3))*(Summary!$A$5:$A$241&lt;IF($B$4="",2958465,$B$4+1)))-BB64</f>
        <v>0</v>
      </c>
      <c r="BD64">
        <f t="shared" si="3"/>
        <v>1</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f>$BB$64</f>
        <v>1</v>
      </c>
      <c r="CC64">
        <v>0</v>
      </c>
      <c r="DD64">
        <f>IF($V$31="","",$V$31)</f>
        <v>400</v>
      </c>
      <c r="DE64">
        <f t="shared" si="4"/>
        <v>0</v>
      </c>
      <c r="DF64">
        <f t="shared" si="5"/>
        <v>0</v>
      </c>
      <c r="DG64">
        <f t="shared" si="6"/>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f>DE$64</f>
        <v>0</v>
      </c>
      <c r="EG64">
        <v>0</v>
      </c>
    </row>
    <row r="65" spans="27:137">
      <c r="AA65">
        <f>IF(Settings!A65="","",IF(COUNTIF(Settings!$B$4:'Settings'!B65,Settings!B65)=1,ROW(Settings!B65),""))</f>
        <v>65</v>
      </c>
      <c r="AC65" t="str">
        <f>IF(Settings!A65="","",IF(Settings!B65=$B$34,ROW(Settings!B65),""))</f>
        <v/>
      </c>
      <c r="BA65" t="s">
        <v>1157</v>
      </c>
      <c r="BB65">
        <f>SUMPRODUCT((Summary!$E$5:$E$241=$BA65)*(Summary!$G$5:$G$241="Yes")*ISNUMBER(Summary!$A$5:$A$241)*(Summary!$A$5:$A$241&gt;=IF($B$3="",0,$B$3))*(Summary!$A$5:$A$241&lt;IF($B$4="",2958465,$B$4+1)))</f>
        <v>0</v>
      </c>
      <c r="BC65">
        <f>SUMPRODUCT((Summary!$E$5:$E$241=$BA65)*ISNUMBER(Summary!$A$5:$A$241)*(Summary!$A$5:$A$241&gt;=IF($B$3="",0,$B$3))*(Summary!$A$5:$A$241&lt;IF($B$4="",2958465,$B$4+1)))-BB65</f>
        <v>0</v>
      </c>
      <c r="BD65">
        <f t="shared" si="3"/>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f>$BB$65</f>
        <v>0</v>
      </c>
      <c r="DD65">
        <f>IF($V$32="","",$V$32)</f>
        <v>80</v>
      </c>
      <c r="DE65">
        <f t="shared" si="4"/>
        <v>0</v>
      </c>
      <c r="DF65">
        <f t="shared" si="5"/>
        <v>0</v>
      </c>
      <c r="DG65">
        <f t="shared" si="6"/>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f>DE$65</f>
        <v>0</v>
      </c>
    </row>
    <row r="66" spans="27:137">
      <c r="AA66">
        <f>IF(Settings!A66="","",IF(COUNTIF(Settings!$B$4:'Settings'!B66,Settings!B66)=1,ROW(Settings!B66),""))</f>
        <v>66</v>
      </c>
      <c r="AC66" t="str">
        <f>IF(Settings!A66="","",IF(Settings!B66=$B$34,ROW(Settings!B66),""))</f>
        <v/>
      </c>
    </row>
    <row r="67" spans="27:137">
      <c r="AA67">
        <f>IF(Settings!A67="","",IF(COUNTIF(Settings!$B$4:'Settings'!B67,Settings!B67)=1,ROW(Settings!B67),""))</f>
        <v>67</v>
      </c>
      <c r="AC67" t="str">
        <f>IF(Settings!A67="","",IF(Settings!B67=$B$34,ROW(Settings!B67),""))</f>
        <v/>
      </c>
    </row>
    <row r="68" spans="27:137">
      <c r="AA68">
        <f>IF(Settings!A68="","",IF(COUNTIF(Settings!$B$4:'Settings'!B68,Settings!B68)=1,ROW(Settings!B68),""))</f>
        <v>68</v>
      </c>
      <c r="AC68" t="str">
        <f>IF(Settings!A68="","",IF(Settings!B68=$B$34,ROW(Settings!B68),""))</f>
        <v/>
      </c>
    </row>
    <row r="69" spans="27:137">
      <c r="AA69">
        <f>IF(Settings!A69="","",IF(COUNTIF(Settings!$B$4:'Settings'!B69,Settings!B69)=1,ROW(Settings!B69),""))</f>
        <v>69</v>
      </c>
      <c r="AC69" t="str">
        <f>IF(Settings!A69="","",IF(Settings!B69=$B$34,ROW(Settings!B69),""))</f>
        <v/>
      </c>
    </row>
    <row r="70" spans="27:137">
      <c r="AA70" t="str">
        <f>IF(Settings!A70="","",IF(COUNTIF(Settings!$B$4:'Settings'!B70,Settings!B70)=1,ROW(Settings!B70),""))</f>
        <v/>
      </c>
      <c r="AC70" t="str">
        <f>IF(Settings!A70="","",IF(Settings!B70=$B$34,ROW(Settings!B70),""))</f>
        <v/>
      </c>
    </row>
    <row r="71" spans="27:137">
      <c r="AA71" t="str">
        <f>IF(Settings!A71="","",IF(COUNTIF(Settings!$B$4:'Settings'!B71,Settings!B71)=1,ROW(Settings!B71),""))</f>
        <v/>
      </c>
      <c r="AC71" t="str">
        <f>IF(Settings!A71="","",IF(Settings!B71=$B$34,ROW(Settings!B71),""))</f>
        <v/>
      </c>
    </row>
    <row r="72" spans="27:137">
      <c r="AA72" t="str">
        <f>IF(Settings!A72="","",IF(COUNTIF(Settings!$B$4:'Settings'!B72,Settings!B72)=1,ROW(Settings!B72),""))</f>
        <v/>
      </c>
      <c r="AC72" t="str">
        <f>IF(Settings!A72="","",IF(Settings!B72=$B$34,ROW(Settings!B72),""))</f>
        <v/>
      </c>
    </row>
    <row r="73" spans="27:137">
      <c r="AA73" t="str">
        <f>IF(Settings!A73="","",IF(COUNTIF(Settings!$B$4:'Settings'!B73,Settings!B73)=1,ROW(Settings!B73),""))</f>
        <v/>
      </c>
      <c r="AC73" t="str">
        <f>IF(Settings!A73="","",IF(Settings!B73=$B$34,ROW(Settings!B73),""))</f>
        <v/>
      </c>
    </row>
    <row r="74" spans="27:137">
      <c r="AA74" t="str">
        <f>IF(Settings!A74="","",IF(COUNTIF(Settings!$B$4:'Settings'!B74,Settings!B74)=1,ROW(Settings!B74),""))</f>
        <v/>
      </c>
      <c r="AC74" t="str">
        <f>IF(Settings!A74="","",IF(Settings!B74=$B$34,ROW(Settings!B74),""))</f>
        <v/>
      </c>
    </row>
    <row r="75" spans="27:137">
      <c r="AA75" t="str">
        <f>IF(Settings!A75="","",IF(COUNTIF(Settings!$B$4:'Settings'!B75,Settings!B75)=1,ROW(Settings!B75),""))</f>
        <v/>
      </c>
      <c r="AC75" t="str">
        <f>IF(Settings!A75="","",IF(Settings!B75=$B$34,ROW(Settings!B75),""))</f>
        <v/>
      </c>
    </row>
    <row r="76" spans="27:137">
      <c r="AA76" t="str">
        <f>IF(Settings!A76="","",IF(COUNTIF(Settings!$B$4:'Settings'!B76,Settings!B76)=1,ROW(Settings!B76),""))</f>
        <v/>
      </c>
      <c r="AC76" t="str">
        <f>IF(Settings!A76="","",IF(Settings!B76=$B$34,ROW(Settings!B76),""))</f>
        <v/>
      </c>
    </row>
    <row r="77" spans="27:137">
      <c r="AA77" t="str">
        <f>IF(Settings!A77="","",IF(COUNTIF(Settings!$B$4:'Settings'!B77,Settings!B77)=1,ROW(Settings!B77),""))</f>
        <v/>
      </c>
      <c r="AC77" t="str">
        <f>IF(Settings!A77="","",IF(Settings!B77=$B$34,ROW(Settings!B77),""))</f>
        <v/>
      </c>
    </row>
    <row r="78" spans="27:137">
      <c r="AA78" t="str">
        <f>IF(Settings!A78="","",IF(COUNTIF(Settings!$B$4:'Settings'!B78,Settings!B78)=1,ROW(Settings!B78),""))</f>
        <v/>
      </c>
      <c r="AC78" t="str">
        <f>IF(Settings!A78="","",IF(Settings!B78=$B$34,ROW(Settings!B78),""))</f>
        <v/>
      </c>
    </row>
    <row r="79" spans="27:137">
      <c r="AA79" t="str">
        <f>IF(Settings!A79="","",IF(COUNTIF(Settings!$B$4:'Settings'!B79,Settings!B79)=1,ROW(Settings!B79),""))</f>
        <v/>
      </c>
      <c r="AC79" t="str">
        <f>IF(Settings!A79="","",IF(Settings!B79=$B$34,ROW(Settings!B79),""))</f>
        <v/>
      </c>
    </row>
    <row r="80" spans="27:137">
      <c r="AA80" t="str">
        <f>IF(Settings!A80="","",IF(COUNTIF(Settings!$B$4:'Settings'!B80,Settings!B80)=1,ROW(Settings!B80),""))</f>
        <v/>
      </c>
      <c r="AC80" t="str">
        <f>IF(Settings!A80="","",IF(Settings!B80=$B$34,ROW(Settings!B80),""))</f>
        <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showGridLines="0" zoomScale="80" workbookViewId="0">
      <selection activeCell="K39" sqref="K39"/>
    </sheetView>
  </sheetViews>
  <sheetFormatPr defaultRowHeight="13.8"/>
  <cols>
    <col min="1" max="1" width="22" customWidth="1"/>
    <col min="2" max="2" width="14" customWidth="1"/>
  </cols>
  <sheetData>
    <row r="1" spans="1:2" ht="17.399999999999999">
      <c r="A1" s="1" t="s">
        <v>1508</v>
      </c>
      <c r="B1" s="1" t="s">
        <v>1503</v>
      </c>
    </row>
    <row r="2" spans="1:2">
      <c r="A2" t="s">
        <v>1509</v>
      </c>
      <c r="B2" cm="1">
        <f t="array" ref="B2">SUMPRODUCT(--ISNUMBER(SEARCH(A2,Summary!$H$5:$H$241)),--ISNUMBER(Summary!$A$5:$A$241),--(Summary!$A$5:$A$241&gt;=IF(Graphs!$B$3="",0,Graphs!$B$3)),--(Summary!$A$5:$A$241&lt;IF(Graphs!$B$4="",2958465,Graphs!$B$4+1)))</f>
        <v>21</v>
      </c>
    </row>
    <row r="3" spans="1:2">
      <c r="A3" t="s">
        <v>1510</v>
      </c>
      <c r="B3" cm="1">
        <f t="array" ref="B3">SUMPRODUCT(--ISNUMBER(SEARCH(A3,Summary!$H$5:$H$241)),--ISNUMBER(Summary!$A$5:$A$241),--(Summary!$A$5:$A$241&gt;=IF(Graphs!$B$3="",0,Graphs!$B$3)),--(Summary!$A$5:$A$241&lt;IF(Graphs!$B$4="",2958465,Graphs!$B$4+1)))</f>
        <v>32</v>
      </c>
    </row>
    <row r="4" spans="1:2">
      <c r="A4" t="s">
        <v>1511</v>
      </c>
      <c r="B4" cm="1">
        <f t="array" ref="B4">SUMPRODUCT(--ISNUMBER(SEARCH(A4,Summary!$H$5:$H$241)),--ISNUMBER(Summary!$A$5:$A$241),--(Summary!$A$5:$A$241&gt;=IF(Graphs!$B$3="",0,Graphs!$B$3)),--(Summary!$A$5:$A$241&lt;IF(Graphs!$B$4="",2958465,Graphs!$B$4+1)))</f>
        <v>3</v>
      </c>
    </row>
    <row r="5" spans="1:2">
      <c r="A5" t="s">
        <v>1512</v>
      </c>
      <c r="B5" cm="1">
        <f t="array" ref="B5">SUMPRODUCT(--ISNUMBER(SEARCH(A5,Summary!$H$5:$H$241)),--ISNUMBER(Summary!$A$5:$A$241),--(Summary!$A$5:$A$241&gt;=IF(Graphs!$B$3="",0,Graphs!$B$3)),--(Summary!$A$5:$A$241&lt;IF(Graphs!$B$4="",2958465,Graphs!$B$4+1)))</f>
        <v>6</v>
      </c>
    </row>
    <row r="6" spans="1:2">
      <c r="A6" t="s">
        <v>1513</v>
      </c>
      <c r="B6" cm="1">
        <f t="array" ref="B6">SUMPRODUCT(--ISNUMBER(SEARCH(A6,Summary!$H$5:$H$241)),--ISNUMBER(Summary!$A$5:$A$241),--(Summary!$A$5:$A$241&gt;=IF(Graphs!$B$3="",0,Graphs!$B$3)),--(Summary!$A$5:$A$241&lt;IF(Graphs!$B$4="",2958465,Graphs!$B$4+1)))</f>
        <v>14</v>
      </c>
    </row>
    <row r="7" spans="1:2">
      <c r="A7" t="s">
        <v>1514</v>
      </c>
      <c r="B7" cm="1">
        <f t="array" ref="B7">SUMPRODUCT(--ISNUMBER(SEARCH(A7,Summary!$H$5:$H$241)),--ISNUMBER(Summary!$A$5:$A$241),--(Summary!$A$5:$A$241&gt;=IF(Graphs!$B$3="",0,Graphs!$B$3)),--(Summary!$A$5:$A$241&lt;IF(Graphs!$B$4="",2958465,Graphs!$B$4+1)))</f>
        <v>4</v>
      </c>
    </row>
    <row r="10" spans="1:2">
      <c r="A10" t="s">
        <v>1515</v>
      </c>
      <c r="B10" s="2">
        <f>Graphs!B3</f>
        <v>46174</v>
      </c>
    </row>
    <row r="11" spans="1:2">
      <c r="A11" t="s">
        <v>1516</v>
      </c>
      <c r="B11" s="2">
        <f>Graphs!B4</f>
        <v>46218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15</vt:i4>
      </vt:variant>
    </vt:vector>
  </HeadingPairs>
  <TitlesOfParts>
    <vt:vector size="27" baseType="lpstr">
      <vt:lpstr>README</vt:lpstr>
      <vt:lpstr>Dashboard</vt:lpstr>
      <vt:lpstr>Summary</vt:lpstr>
      <vt:lpstr>Raw Data</vt:lpstr>
      <vt:lpstr>Settings</vt:lpstr>
      <vt:lpstr>Store List</vt:lpstr>
      <vt:lpstr>Calc_Weekly</vt:lpstr>
      <vt:lpstr>Calc_Charts</vt:lpstr>
      <vt:lpstr>Data Checks</vt:lpstr>
      <vt:lpstr>Counts</vt:lpstr>
      <vt:lpstr>Graphs</vt:lpstr>
      <vt:lpstr>Case Nomenclature Graph</vt:lpstr>
      <vt:lpstr>ch6_cats</vt:lpstr>
      <vt:lpstr>ch6_vals</vt:lpstr>
      <vt:lpstr>ch7_prefix</vt:lpstr>
      <vt:lpstr>ch8_prefix</vt:lpstr>
      <vt:lpstr>ch9_prefix</vt:lpstr>
      <vt:lpstr>set_causes</vt:lpstr>
      <vt:lpstr>set_colors</vt:lpstr>
      <vt:lpstr>set_from</vt:lpstr>
      <vt:lpstr>set_groups</vt:lpstr>
      <vt:lpstr>set_maxCauses</vt:lpstr>
      <vt:lpstr>set_maxRawRow</vt:lpstr>
      <vt:lpstr>set_maxSummaryRow</vt:lpstr>
      <vt:lpstr>set_tiebreakDivisor</vt:lpstr>
      <vt:lpstr>set_to</vt:lpstr>
      <vt:lpstr>set_weeksShown</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Vennu, Sunil</dc:creator>
  <cp:keywords/>
  <dc:description/>
  <cp:lastModifiedBy>Archana silamkoti</cp:lastModifiedBy>
  <cp:revision/>
  <dcterms:created xsi:type="dcterms:W3CDTF">2026-07-16T18:37:05Z</dcterms:created>
  <dcterms:modified xsi:type="dcterms:W3CDTF">2026-07-17T04:30:49Z</dcterms:modified>
  <cp:category/>
  <cp:contentStatus/>
</cp:coreProperties>
</file>